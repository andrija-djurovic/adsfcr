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codeName="ThisWorkbook"/>
  <xr:revisionPtr revIDLastSave="2" documentId="13_ncr:1_{66A49B4E-5F7F-4005-9FC0-3FFD65B83BF0}" xr6:coauthVersionLast="47" xr6:coauthVersionMax="47" xr10:uidLastSave="{6A2C252B-220C-4406-9B6A-AF4C3A8CF303}"/>
  <workbookProtection workbookPassword="9BF7" lockStructure="1"/>
  <bookViews>
    <workbookView xWindow="-110" yWindow="-110" windowWidth="19420" windowHeight="11500" tabRatio="754" activeTab="4" xr2:uid="{00000000-000D-0000-FFFF-FFFF00000000}"/>
  </bookViews>
  <sheets>
    <sheet name="Index" sheetId="1" r:id="rId1"/>
    <sheet name="1.0" sheetId="2" r:id="rId2"/>
    <sheet name="1.1" sheetId="3" r:id="rId3"/>
    <sheet name="1.2" sheetId="4" r:id="rId4"/>
    <sheet name="2.0" sheetId="5" r:id="rId5"/>
    <sheet name="2.1" sheetId="6" r:id="rId6"/>
    <sheet name="3.0" sheetId="7" r:id="rId7"/>
    <sheet name="4.1" sheetId="8" r:id="rId8"/>
    <sheet name="4.2" sheetId="9" r:id="rId9"/>
    <sheet name="4.3" sheetId="10" r:id="rId10"/>
    <sheet name="Instructions" sheetId="11" r:id="rId11"/>
    <sheet name="Glossary" sheetId="12" r:id="rId12"/>
  </sheets>
  <definedNames>
    <definedName name="_xlnm._FilterDatabase" localSheetId="11" hidden="1">Glossary!$B$6:$D$6</definedName>
    <definedName name="Back_testing_LGD">Glossary!$B$7</definedName>
    <definedName name="Bank_s_assessment">Glossary!$B$8</definedName>
    <definedName name="Bank_s_comments">Glossary!$B$9</definedName>
    <definedName name="Coverage_in_internal_validation">Glossary!$B$10</definedName>
    <definedName name="Discriminatory_Power_LGD">Glossary!$B$11</definedName>
    <definedName name="Duration_of_the_recovery_process">Glossary!$B$12</definedName>
    <definedName name="Estimation_period">Glossary!$B$13</definedName>
    <definedName name="Expected_Loss">Glossary!$B$14</definedName>
    <definedName name="Exposure_at_Default">Glossary!$B$15</definedName>
    <definedName name="Exposure_Value">Glossary!$B$16</definedName>
    <definedName name="Facility_grade___pool">Glossary!$B$17</definedName>
    <definedName name="Generalised_AUC">Glossary!$B$18</definedName>
    <definedName name="Information_on_the_initial_sample">Glossary!$B$19</definedName>
    <definedName name="LGD_1.0a">'1.0'!$C$5</definedName>
    <definedName name="LGD_1.0b">'1.0'!$C$7</definedName>
    <definedName name="LGD_1.0c">'1.0'!$C$9</definedName>
    <definedName name="LGD_1.0d">'1.0'!$C$11</definedName>
    <definedName name="LGD_1.0e">'1.0'!$C$13</definedName>
    <definedName name="LGD_1.0f">'1.0'!$C$15</definedName>
    <definedName name="LGD_1.0g">'1.0'!$C$17</definedName>
    <definedName name="LGD_1.1a">'1.1'!$G$6:$I$9</definedName>
    <definedName name="LGD_1.1b">'1.1'!$E$14:$I$17</definedName>
    <definedName name="LGD_1.2a">'1.2'!$D$7:$E$12</definedName>
    <definedName name="LGD_2.0a">'2.0'!$E$8:$W$8</definedName>
    <definedName name="LGD_2.0b">'2.0'!$E$10:$E$21</definedName>
    <definedName name="LGD_2.0c">'2.0'!$G$10:$W$21</definedName>
    <definedName name="LGD_2.1a">'2.1'!$E$7:$AF$7</definedName>
    <definedName name="LGD_2.1b">'2.1'!$D$9:$E$28</definedName>
    <definedName name="LGD_2.1c">'2.1'!$G$9:$AF$28</definedName>
    <definedName name="LGD_3.0a">'3.0'!$D$7:$L$7</definedName>
    <definedName name="LGD_4.1a">'4.1'!$D$7:$E$7</definedName>
    <definedName name="LGD_4.2a">'4.2'!$D$9:$M$28</definedName>
    <definedName name="LGD_4.2b">'4.2'!$E$33</definedName>
    <definedName name="LGD_4.3a">'4.3'!$D$7:$E$11</definedName>
    <definedName name="LGD_4.3b">'4.3'!$D$15</definedName>
    <definedName name="LGD_Distribution">Glossary!$B$20</definedName>
    <definedName name="Loan_to_Value">Glossary!#REF!</definedName>
    <definedName name="Missing_Values_LGD">Glossary!$B$21</definedName>
    <definedName name="Model__ID">Glossary!$B$22</definedName>
    <definedName name="Modelling_approach">Glossary!$B$23</definedName>
    <definedName name="Number_facilities__backtesting">Glossary!$B$25</definedName>
    <definedName name="number_facilities_default">Glossary!$B$26</definedName>
    <definedName name="Number_of_facilities__application_portfolio">Glossary!$B$24</definedName>
    <definedName name="Number_of_Facility_Grades_or_Pools__K">Glossary!$B$27</definedName>
    <definedName name="Original_exposure">Glossary!$B$28</definedName>
    <definedName name="Portfolio">Glossary!$B$29</definedName>
    <definedName name="_xlnm.Print_Area" localSheetId="1">'1.0'!$B$2:$F$25</definedName>
    <definedName name="_xlnm.Print_Area" localSheetId="2">'1.1'!$B$2:$I$17</definedName>
    <definedName name="_xlnm.Print_Area" localSheetId="3">'1.2'!$B$2:$F$12</definedName>
    <definedName name="_xlnm.Print_Area" localSheetId="4">'2.0'!$B$2:$W$21</definedName>
    <definedName name="_xlnm.Print_Area" localSheetId="5">'2.1'!$B$2:$AF$28</definedName>
    <definedName name="_xlnm.Print_Area" localSheetId="6">'3.0'!$B$2:$L$7</definedName>
    <definedName name="_xlnm.Print_Area" localSheetId="7">'4.1'!$B$2:$F$7</definedName>
    <definedName name="_xlnm.Print_Area" localSheetId="8">'4.2'!$B$2:$M$40</definedName>
    <definedName name="_xlnm.Print_Area" localSheetId="9">'4.3'!$B$2:$F$15</definedName>
    <definedName name="_xlnm.Print_Area" localSheetId="11">Glossary!$A$1:$N$36</definedName>
    <definedName name="_xlnm.Print_Area" localSheetId="0">Index!$B$2:$G$14</definedName>
    <definedName name="_xlnm.Print_Area" localSheetId="10">Instructions!$A$1:$D$17</definedName>
    <definedName name="Relevant_observation_period">Glossary!$B$30</definedName>
    <definedName name="Risk_Weighted_Exposure_Amount">Glossary!$B$31</definedName>
    <definedName name="Time_in_default">Glossary!$B$32</definedName>
    <definedName name="Var_gAUC_init">Glossary!$B$33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5" i="3" l="1"/>
  <c r="AA8" i="5" l="1"/>
  <c r="G10" i="7"/>
  <c r="H10" i="7"/>
  <c r="L9" i="7"/>
  <c r="I9" i="7"/>
  <c r="I11" i="7" s="1"/>
  <c r="J9" i="7"/>
  <c r="J11" i="7" s="1"/>
  <c r="K9" i="7"/>
  <c r="AB8" i="5"/>
  <c r="AI8" i="5"/>
  <c r="AJ8" i="5"/>
  <c r="AE8" i="5"/>
  <c r="AF8" i="5"/>
  <c r="AG8" i="5"/>
  <c r="AH8" i="5"/>
  <c r="I11" i="4"/>
  <c r="H11" i="4" s="1"/>
  <c r="I9" i="4"/>
  <c r="AS8" i="5"/>
  <c r="AS9" i="5" s="1" a="1"/>
  <c r="AU19" i="5"/>
  <c r="BH19" i="5" s="1" a="1"/>
  <c r="BH19" i="5" s="1"/>
  <c r="AU20" i="5"/>
  <c r="BG20" i="5" s="1" a="1"/>
  <c r="BG20" i="5" s="1"/>
  <c r="AU21" i="5"/>
  <c r="BD21" i="5" s="1" a="1"/>
  <c r="BD21" i="5" s="1"/>
  <c r="AU10" i="5"/>
  <c r="BH10" i="5" s="1" a="1"/>
  <c r="BH10" i="5" s="1"/>
  <c r="AU11" i="5"/>
  <c r="BC11" i="5" s="1" a="1"/>
  <c r="BC11" i="5" s="1"/>
  <c r="AU12" i="5"/>
  <c r="AU13" i="5"/>
  <c r="AX13" i="5" s="1" a="1"/>
  <c r="AX13" i="5" s="1"/>
  <c r="AU14" i="5"/>
  <c r="BF14" i="5" s="1" a="1"/>
  <c r="BF14" i="5" s="1"/>
  <c r="AU15" i="5"/>
  <c r="AZ15" i="5" s="1" a="1"/>
  <c r="AZ15" i="5" s="1"/>
  <c r="AU16" i="5"/>
  <c r="AU17" i="5"/>
  <c r="AW17" i="5" s="1" a="1"/>
  <c r="AW17" i="5" s="1"/>
  <c r="AU18" i="5"/>
  <c r="BF18" i="5" s="1" a="1"/>
  <c r="BF18" i="5" s="1"/>
  <c r="D9" i="7"/>
  <c r="D11" i="7" s="1"/>
  <c r="K11" i="7"/>
  <c r="L17" i="3"/>
  <c r="L16" i="3"/>
  <c r="L14" i="3"/>
  <c r="P14" i="3"/>
  <c r="AF10" i="9"/>
  <c r="AF11" i="9"/>
  <c r="AF12" i="9"/>
  <c r="AF13" i="9"/>
  <c r="AF14" i="9"/>
  <c r="AF15" i="9"/>
  <c r="AF16" i="9"/>
  <c r="AF17" i="9"/>
  <c r="AF18" i="9"/>
  <c r="AF19" i="9"/>
  <c r="AF20" i="9"/>
  <c r="AF21" i="9"/>
  <c r="AF22" i="9"/>
  <c r="AF23" i="9"/>
  <c r="AF24" i="9"/>
  <c r="AF25" i="9"/>
  <c r="AF26" i="9"/>
  <c r="AF27" i="9"/>
  <c r="AF28" i="9"/>
  <c r="AF9" i="9"/>
  <c r="D10" i="8"/>
  <c r="C10" i="8" s="1"/>
  <c r="G12" i="1" s="1"/>
  <c r="E7" i="9"/>
  <c r="AI14" i="5"/>
  <c r="AJ14" i="5" s="1"/>
  <c r="Z14" i="5" s="1"/>
  <c r="R10" i="9"/>
  <c r="R11" i="9"/>
  <c r="R12" i="9"/>
  <c r="R13" i="9"/>
  <c r="R14" i="9"/>
  <c r="R15" i="9"/>
  <c r="R16" i="9"/>
  <c r="R17" i="9"/>
  <c r="R18" i="9"/>
  <c r="R19" i="9"/>
  <c r="R20" i="9"/>
  <c r="R21" i="9"/>
  <c r="R22" i="9"/>
  <c r="R23" i="9"/>
  <c r="R24" i="9"/>
  <c r="R25" i="9"/>
  <c r="R26" i="9"/>
  <c r="R27" i="9"/>
  <c r="R28" i="9"/>
  <c r="AE28" i="9" s="1"/>
  <c r="R9" i="9"/>
  <c r="AW17" i="6"/>
  <c r="AW21" i="6"/>
  <c r="AW25" i="6"/>
  <c r="AV9" i="6"/>
  <c r="AW9" i="6" s="1"/>
  <c r="AV10" i="6"/>
  <c r="AN27" i="6" s="1" a="1"/>
  <c r="AN27" i="6" s="1"/>
  <c r="AV11" i="6"/>
  <c r="AN23" i="6" s="1" a="1"/>
  <c r="AN23" i="6" s="1"/>
  <c r="AV12" i="6"/>
  <c r="AV13" i="6"/>
  <c r="AV14" i="6"/>
  <c r="AN13" i="6" s="1" a="1"/>
  <c r="AN13" i="6" s="1"/>
  <c r="AV15" i="6"/>
  <c r="AW15" i="6" s="1"/>
  <c r="AV16" i="6"/>
  <c r="AW16" i="6" s="1"/>
  <c r="AV17" i="6"/>
  <c r="AN24" i="6" s="1" a="1"/>
  <c r="AN24" i="6" s="1"/>
  <c r="AV18" i="6"/>
  <c r="AN21" i="6" s="1" a="1"/>
  <c r="AN21" i="6" s="1"/>
  <c r="AV19" i="6"/>
  <c r="AW19" i="6" s="1"/>
  <c r="AV20" i="6"/>
  <c r="AW20" i="6" s="1"/>
  <c r="AV21" i="6"/>
  <c r="AV22" i="6"/>
  <c r="AW22" i="6" s="1"/>
  <c r="AV23" i="6"/>
  <c r="AV24" i="6"/>
  <c r="AW24" i="6" s="1"/>
  <c r="AV25" i="6"/>
  <c r="AV26" i="6"/>
  <c r="AV27" i="6"/>
  <c r="AW27" i="6" s="1"/>
  <c r="AV28" i="6"/>
  <c r="AV8" i="6"/>
  <c r="AU10" i="6"/>
  <c r="AU11" i="6"/>
  <c r="AW11" i="6" s="1"/>
  <c r="AU12" i="6"/>
  <c r="AU13" i="6"/>
  <c r="AW13" i="6" s="1"/>
  <c r="AU14" i="6"/>
  <c r="BF45" i="6" s="1" a="1"/>
  <c r="BF45" i="6" s="1"/>
  <c r="AU15" i="6"/>
  <c r="AU16" i="6"/>
  <c r="AU17" i="6"/>
  <c r="AU18" i="6"/>
  <c r="AU19" i="6"/>
  <c r="AU20" i="6"/>
  <c r="AU21" i="6"/>
  <c r="AU22" i="6"/>
  <c r="AU23" i="6"/>
  <c r="AU24" i="6"/>
  <c r="AU25" i="6"/>
  <c r="AU26" i="6"/>
  <c r="AW26" i="6" s="1"/>
  <c r="AU27" i="6"/>
  <c r="AU28" i="6"/>
  <c r="AU9" i="6"/>
  <c r="BG56" i="6" s="1" a="1"/>
  <c r="BG56" i="6" s="1"/>
  <c r="AM31" i="5"/>
  <c r="AO41" i="5" s="1" a="1"/>
  <c r="AO41" i="5" s="1"/>
  <c r="AG20" i="5" s="1"/>
  <c r="AM32" i="5"/>
  <c r="AM33" i="5"/>
  <c r="AM34" i="5"/>
  <c r="AM35" i="5"/>
  <c r="AM36" i="5"/>
  <c r="AM37" i="5"/>
  <c r="AM38" i="5"/>
  <c r="AM39" i="5"/>
  <c r="AM40" i="5"/>
  <c r="AM41" i="5"/>
  <c r="AM30" i="5"/>
  <c r="AL31" i="5"/>
  <c r="AL32" i="5"/>
  <c r="AL33" i="5"/>
  <c r="AL34" i="5"/>
  <c r="AL35" i="5"/>
  <c r="AL36" i="5"/>
  <c r="AL37" i="5"/>
  <c r="AL38" i="5"/>
  <c r="AL39" i="5"/>
  <c r="AL40" i="5"/>
  <c r="AL41" i="5"/>
  <c r="AL30" i="5"/>
  <c r="AK31" i="5"/>
  <c r="AK32" i="5"/>
  <c r="AO39" i="5" s="1" a="1"/>
  <c r="AO39" i="5" s="1"/>
  <c r="AG18" i="5" s="1"/>
  <c r="AK33" i="5"/>
  <c r="AK34" i="5"/>
  <c r="AK35" i="5"/>
  <c r="AK36" i="5"/>
  <c r="AK37" i="5"/>
  <c r="AK38" i="5"/>
  <c r="AK39" i="5"/>
  <c r="AK40" i="5"/>
  <c r="AK41" i="5"/>
  <c r="AK30" i="5"/>
  <c r="AJ31" i="5"/>
  <c r="AJ32" i="5"/>
  <c r="AJ33" i="5"/>
  <c r="AJ34" i="5"/>
  <c r="AJ35" i="5"/>
  <c r="AJ36" i="5"/>
  <c r="AJ37" i="5"/>
  <c r="AJ38" i="5"/>
  <c r="AJ39" i="5"/>
  <c r="AJ40" i="5"/>
  <c r="AJ41" i="5"/>
  <c r="AJ30" i="5"/>
  <c r="AO38" i="5" s="1" a="1"/>
  <c r="AO38" i="5" s="1"/>
  <c r="AG17" i="5" s="1"/>
  <c r="AI31" i="5"/>
  <c r="AP37" i="5" s="1" a="1"/>
  <c r="AP37" i="5" s="1"/>
  <c r="AF16" i="5" s="1"/>
  <c r="AI32" i="5"/>
  <c r="AI33" i="5"/>
  <c r="AI34" i="5"/>
  <c r="AI35" i="5"/>
  <c r="AI36" i="5"/>
  <c r="AI37" i="5"/>
  <c r="AI38" i="5"/>
  <c r="AI39" i="5"/>
  <c r="AI40" i="5"/>
  <c r="AI41" i="5"/>
  <c r="AI30" i="5"/>
  <c r="AH31" i="5"/>
  <c r="AO36" i="5" s="1" a="1"/>
  <c r="AO36" i="5" s="1"/>
  <c r="AH32" i="5"/>
  <c r="AH33" i="5"/>
  <c r="AH34" i="5"/>
  <c r="AH35" i="5"/>
  <c r="AH36" i="5"/>
  <c r="AH37" i="5"/>
  <c r="AH38" i="5"/>
  <c r="AH39" i="5"/>
  <c r="AH40" i="5"/>
  <c r="AH41" i="5"/>
  <c r="AH30" i="5"/>
  <c r="AG31" i="5"/>
  <c r="AG32" i="5"/>
  <c r="AG33" i="5"/>
  <c r="AG34" i="5"/>
  <c r="AG35" i="5"/>
  <c r="AG36" i="5"/>
  <c r="AG37" i="5"/>
  <c r="AG38" i="5"/>
  <c r="AG39" i="5"/>
  <c r="AG40" i="5"/>
  <c r="AG41" i="5"/>
  <c r="AG30" i="5"/>
  <c r="AF31" i="5"/>
  <c r="AF32" i="5"/>
  <c r="AF33" i="5"/>
  <c r="AF30" i="5"/>
  <c r="AF34" i="5"/>
  <c r="AF35" i="5"/>
  <c r="AF36" i="5"/>
  <c r="AF37" i="5"/>
  <c r="AF38" i="5"/>
  <c r="AF39" i="5"/>
  <c r="AF40" i="5"/>
  <c r="AF41" i="5"/>
  <c r="AE31" i="5"/>
  <c r="AE30" i="5"/>
  <c r="AE32" i="5"/>
  <c r="AE33" i="5"/>
  <c r="AE34" i="5"/>
  <c r="AE35" i="5"/>
  <c r="AE36" i="5"/>
  <c r="AE37" i="5"/>
  <c r="AE38" i="5"/>
  <c r="AE39" i="5"/>
  <c r="AE40" i="5"/>
  <c r="AE41" i="5"/>
  <c r="AD31" i="5"/>
  <c r="AO32" i="5" s="1" a="1"/>
  <c r="AO32" i="5" s="1"/>
  <c r="AG11" i="5" s="1"/>
  <c r="AD32" i="5"/>
  <c r="AD33" i="5"/>
  <c r="AD34" i="5"/>
  <c r="AD35" i="5"/>
  <c r="AD36" i="5"/>
  <c r="AD37" i="5"/>
  <c r="AD38" i="5"/>
  <c r="AD39" i="5"/>
  <c r="AD40" i="5"/>
  <c r="AD41" i="5"/>
  <c r="AD30" i="5"/>
  <c r="AC31" i="5"/>
  <c r="AC32" i="5"/>
  <c r="AC33" i="5"/>
  <c r="AC34" i="5"/>
  <c r="AC35" i="5"/>
  <c r="AC36" i="5"/>
  <c r="AC37" i="5"/>
  <c r="AO31" i="5" s="1" a="1"/>
  <c r="AO31" i="5" s="1"/>
  <c r="AG10" i="5" s="1"/>
  <c r="AC38" i="5"/>
  <c r="AC39" i="5"/>
  <c r="AC40" i="5"/>
  <c r="AC41" i="5"/>
  <c r="AC30" i="5"/>
  <c r="AB31" i="5"/>
  <c r="AB32" i="5"/>
  <c r="AB33" i="5"/>
  <c r="AP30" i="5" s="1" a="1"/>
  <c r="AP30" i="5" s="1"/>
  <c r="AB34" i="5"/>
  <c r="AB35" i="5"/>
  <c r="AB36" i="5"/>
  <c r="AB37" i="5"/>
  <c r="AB38" i="5"/>
  <c r="AO30" i="5" s="1" a="1"/>
  <c r="AO30" i="5" s="1"/>
  <c r="AB39" i="5"/>
  <c r="AB40" i="5"/>
  <c r="AB41" i="5"/>
  <c r="AB30" i="5"/>
  <c r="AJ38" i="6"/>
  <c r="AJ39" i="6"/>
  <c r="AJ40" i="6"/>
  <c r="AJ41" i="6"/>
  <c r="AJ42" i="6"/>
  <c r="AJ43" i="6"/>
  <c r="AJ44" i="6"/>
  <c r="AJ45" i="6"/>
  <c r="AJ46" i="6"/>
  <c r="AJ47" i="6"/>
  <c r="AJ48" i="6"/>
  <c r="AJ49" i="6"/>
  <c r="AJ50" i="6"/>
  <c r="AJ51" i="6"/>
  <c r="AJ52" i="6"/>
  <c r="AJ53" i="6"/>
  <c r="AJ54" i="6"/>
  <c r="AJ55" i="6"/>
  <c r="AJ56" i="6"/>
  <c r="AJ57" i="6"/>
  <c r="AJ37" i="6"/>
  <c r="AM36" i="6"/>
  <c r="AN36" i="6"/>
  <c r="AO36" i="6"/>
  <c r="AP36" i="6"/>
  <c r="AQ36" i="6"/>
  <c r="AR36" i="6"/>
  <c r="AS36" i="6"/>
  <c r="AT36" i="6"/>
  <c r="AU36" i="6"/>
  <c r="AV36" i="6"/>
  <c r="AW36" i="6"/>
  <c r="AX36" i="6"/>
  <c r="AY36" i="6"/>
  <c r="AZ36" i="6"/>
  <c r="BA36" i="6"/>
  <c r="BB36" i="6"/>
  <c r="BC36" i="6"/>
  <c r="BD36" i="6"/>
  <c r="BE36" i="6"/>
  <c r="AL36" i="6"/>
  <c r="BE38" i="6"/>
  <c r="BE39" i="6"/>
  <c r="BE40" i="6"/>
  <c r="BE41" i="6"/>
  <c r="BE42" i="6"/>
  <c r="BE43" i="6"/>
  <c r="BE44" i="6"/>
  <c r="BE45" i="6"/>
  <c r="BE46" i="6"/>
  <c r="BE47" i="6"/>
  <c r="BE48" i="6"/>
  <c r="BE49" i="6"/>
  <c r="BE50" i="6"/>
  <c r="BE51" i="6"/>
  <c r="BE52" i="6"/>
  <c r="BE53" i="6"/>
  <c r="BE54" i="6"/>
  <c r="BE55" i="6"/>
  <c r="BE56" i="6"/>
  <c r="BE57" i="6"/>
  <c r="BE37" i="6"/>
  <c r="BF57" i="6" s="1" a="1"/>
  <c r="BF57" i="6" s="1"/>
  <c r="BD38" i="6"/>
  <c r="BD39" i="6"/>
  <c r="BD40" i="6"/>
  <c r="BD41" i="6"/>
  <c r="BD42" i="6"/>
  <c r="BD43" i="6"/>
  <c r="BD44" i="6"/>
  <c r="BD45" i="6"/>
  <c r="BD46" i="6"/>
  <c r="BD47" i="6"/>
  <c r="BD48" i="6"/>
  <c r="BD49" i="6"/>
  <c r="BD50" i="6"/>
  <c r="BD51" i="6"/>
  <c r="BD52" i="6"/>
  <c r="BD53" i="6"/>
  <c r="BD54" i="6"/>
  <c r="BD55" i="6"/>
  <c r="BD56" i="6"/>
  <c r="BD57" i="6"/>
  <c r="BD37" i="6"/>
  <c r="BC38" i="6"/>
  <c r="BC39" i="6"/>
  <c r="BC40" i="6"/>
  <c r="BC41" i="6"/>
  <c r="BC42" i="6"/>
  <c r="BC43" i="6"/>
  <c r="BC44" i="6"/>
  <c r="BC45" i="6"/>
  <c r="BC46" i="6"/>
  <c r="BC47" i="6"/>
  <c r="BC48" i="6"/>
  <c r="BC49" i="6"/>
  <c r="BC50" i="6"/>
  <c r="BC51" i="6"/>
  <c r="BC52" i="6"/>
  <c r="BC53" i="6"/>
  <c r="BC54" i="6"/>
  <c r="BC55" i="6"/>
  <c r="BC56" i="6"/>
  <c r="BC57" i="6"/>
  <c r="BC37" i="6"/>
  <c r="BB38" i="6"/>
  <c r="BB39" i="6"/>
  <c r="BB40" i="6"/>
  <c r="BB41" i="6"/>
  <c r="BB42" i="6"/>
  <c r="BB43" i="6"/>
  <c r="BB44" i="6"/>
  <c r="BB45" i="6"/>
  <c r="BB46" i="6"/>
  <c r="BB47" i="6"/>
  <c r="BB48" i="6"/>
  <c r="BB49" i="6"/>
  <c r="BB50" i="6"/>
  <c r="BB51" i="6"/>
  <c r="BB52" i="6"/>
  <c r="BB53" i="6"/>
  <c r="BB54" i="6"/>
  <c r="BB55" i="6"/>
  <c r="BB56" i="6"/>
  <c r="BB57" i="6"/>
  <c r="BB37" i="6"/>
  <c r="BG54" i="6" s="1" a="1"/>
  <c r="BG54" i="6" s="1"/>
  <c r="BA38" i="6"/>
  <c r="BA39" i="6"/>
  <c r="BA40" i="6"/>
  <c r="BA41" i="6"/>
  <c r="BA42" i="6"/>
  <c r="BA43" i="6"/>
  <c r="BA44" i="6"/>
  <c r="BA45" i="6"/>
  <c r="BA46" i="6"/>
  <c r="BA47" i="6"/>
  <c r="BA48" i="6"/>
  <c r="BA49" i="6"/>
  <c r="BA50" i="6"/>
  <c r="BA51" i="6"/>
  <c r="BA52" i="6"/>
  <c r="BA53" i="6"/>
  <c r="BA54" i="6"/>
  <c r="BA55" i="6"/>
  <c r="BA56" i="6"/>
  <c r="BA57" i="6"/>
  <c r="BA37" i="6"/>
  <c r="AZ38" i="6"/>
  <c r="AZ39" i="6"/>
  <c r="AZ40" i="6"/>
  <c r="AZ41" i="6"/>
  <c r="AZ42" i="6"/>
  <c r="AZ43" i="6"/>
  <c r="AZ44" i="6"/>
  <c r="AZ45" i="6"/>
  <c r="AZ46" i="6"/>
  <c r="AZ47" i="6"/>
  <c r="AZ48" i="6"/>
  <c r="AZ49" i="6"/>
  <c r="AZ50" i="6"/>
  <c r="AZ51" i="6"/>
  <c r="AZ52" i="6"/>
  <c r="AZ53" i="6"/>
  <c r="AZ54" i="6"/>
  <c r="AZ55" i="6"/>
  <c r="AZ56" i="6"/>
  <c r="AZ57" i="6"/>
  <c r="AZ37" i="6"/>
  <c r="AY38" i="6"/>
  <c r="AY39" i="6"/>
  <c r="AY40" i="6"/>
  <c r="AY41" i="6"/>
  <c r="AY42" i="6"/>
  <c r="AY43" i="6"/>
  <c r="AY44" i="6"/>
  <c r="AY45" i="6"/>
  <c r="AY46" i="6"/>
  <c r="AY47" i="6"/>
  <c r="AY48" i="6"/>
  <c r="AY49" i="6"/>
  <c r="AY50" i="6"/>
  <c r="AY51" i="6"/>
  <c r="AY52" i="6"/>
  <c r="AY53" i="6"/>
  <c r="AY54" i="6"/>
  <c r="AY55" i="6"/>
  <c r="AY56" i="6"/>
  <c r="AY57" i="6"/>
  <c r="AY37" i="6"/>
  <c r="BF51" i="6" s="1" a="1"/>
  <c r="BF51" i="6" s="1"/>
  <c r="AX38" i="6"/>
  <c r="AX39" i="6"/>
  <c r="AX40" i="6"/>
  <c r="AX41" i="6"/>
  <c r="AX42" i="6"/>
  <c r="AX43" i="6"/>
  <c r="AX44" i="6"/>
  <c r="AX45" i="6"/>
  <c r="AX46" i="6"/>
  <c r="AX47" i="6"/>
  <c r="AX48" i="6"/>
  <c r="AX49" i="6"/>
  <c r="AX50" i="6"/>
  <c r="AX51" i="6"/>
  <c r="AX52" i="6"/>
  <c r="AX53" i="6"/>
  <c r="AX54" i="6"/>
  <c r="AX55" i="6"/>
  <c r="AX56" i="6"/>
  <c r="AX57" i="6"/>
  <c r="AX37" i="6"/>
  <c r="BG50" i="6" s="1" a="1"/>
  <c r="BG50" i="6" s="1"/>
  <c r="AW38" i="6"/>
  <c r="AW39" i="6"/>
  <c r="AW40" i="6"/>
  <c r="AW41" i="6"/>
  <c r="AW42" i="6"/>
  <c r="AW43" i="6"/>
  <c r="AW44" i="6"/>
  <c r="AW45" i="6"/>
  <c r="AW46" i="6"/>
  <c r="AW47" i="6"/>
  <c r="AW48" i="6"/>
  <c r="AW49" i="6"/>
  <c r="AW50" i="6"/>
  <c r="AW51" i="6"/>
  <c r="AW52" i="6"/>
  <c r="AW53" i="6"/>
  <c r="AW54" i="6"/>
  <c r="AW55" i="6"/>
  <c r="AW56" i="6"/>
  <c r="AW57" i="6"/>
  <c r="AW37" i="6"/>
  <c r="AV38" i="6"/>
  <c r="AV39" i="6"/>
  <c r="AV40" i="6"/>
  <c r="AV41" i="6"/>
  <c r="AV42" i="6"/>
  <c r="AV43" i="6"/>
  <c r="AV44" i="6"/>
  <c r="AV45" i="6"/>
  <c r="AV46" i="6"/>
  <c r="AV47" i="6"/>
  <c r="AV48" i="6"/>
  <c r="AV49" i="6"/>
  <c r="AV50" i="6"/>
  <c r="AV51" i="6"/>
  <c r="AV52" i="6"/>
  <c r="AV53" i="6"/>
  <c r="AV54" i="6"/>
  <c r="AV55" i="6"/>
  <c r="AV56" i="6"/>
  <c r="AV57" i="6"/>
  <c r="AV37" i="6"/>
  <c r="AU38" i="6"/>
  <c r="AU39" i="6"/>
  <c r="AU40" i="6"/>
  <c r="AU41" i="6"/>
  <c r="AU42" i="6"/>
  <c r="AU43" i="6"/>
  <c r="AU44" i="6"/>
  <c r="AU45" i="6"/>
  <c r="AU46" i="6"/>
  <c r="AU47" i="6"/>
  <c r="AU48" i="6"/>
  <c r="AU49" i="6"/>
  <c r="AU50" i="6"/>
  <c r="AU51" i="6"/>
  <c r="AU52" i="6"/>
  <c r="AU53" i="6"/>
  <c r="AU54" i="6"/>
  <c r="AU55" i="6"/>
  <c r="AU56" i="6"/>
  <c r="AU57" i="6"/>
  <c r="AU37" i="6"/>
  <c r="AT38" i="6"/>
  <c r="AT39" i="6"/>
  <c r="AT40" i="6"/>
  <c r="AT41" i="6"/>
  <c r="AT42" i="6"/>
  <c r="AT43" i="6"/>
  <c r="AT44" i="6"/>
  <c r="AT45" i="6"/>
  <c r="AT46" i="6"/>
  <c r="AT47" i="6"/>
  <c r="AT48" i="6"/>
  <c r="AT49" i="6"/>
  <c r="AT50" i="6"/>
  <c r="AT51" i="6"/>
  <c r="AT52" i="6"/>
  <c r="AT53" i="6"/>
  <c r="AT54" i="6"/>
  <c r="AT55" i="6"/>
  <c r="AT56" i="6"/>
  <c r="AT57" i="6"/>
  <c r="AT37" i="6"/>
  <c r="AS38" i="6"/>
  <c r="AS39" i="6"/>
  <c r="AS40" i="6"/>
  <c r="AS41" i="6"/>
  <c r="AS42" i="6"/>
  <c r="AS43" i="6"/>
  <c r="AS44" i="6"/>
  <c r="AS45" i="6"/>
  <c r="AS46" i="6"/>
  <c r="AS47" i="6"/>
  <c r="AS48" i="6"/>
  <c r="AS49" i="6"/>
  <c r="AS50" i="6"/>
  <c r="AS51" i="6"/>
  <c r="AS52" i="6"/>
  <c r="AS53" i="6"/>
  <c r="AS54" i="6"/>
  <c r="AS55" i="6"/>
  <c r="AS56" i="6"/>
  <c r="AS57" i="6"/>
  <c r="AS37" i="6"/>
  <c r="AR38" i="6"/>
  <c r="AR39" i="6"/>
  <c r="AR40" i="6"/>
  <c r="AR41" i="6"/>
  <c r="AR42" i="6"/>
  <c r="AR43" i="6"/>
  <c r="AR44" i="6"/>
  <c r="AR45" i="6"/>
  <c r="AR46" i="6"/>
  <c r="AR47" i="6"/>
  <c r="AR48" i="6"/>
  <c r="AR49" i="6"/>
  <c r="AR50" i="6"/>
  <c r="AR51" i="6"/>
  <c r="AR52" i="6"/>
  <c r="AR53" i="6"/>
  <c r="AR54" i="6"/>
  <c r="AR55" i="6"/>
  <c r="AR56" i="6"/>
  <c r="AR57" i="6"/>
  <c r="AR37" i="6"/>
  <c r="BG44" i="6" s="1" a="1"/>
  <c r="BG44" i="6" s="1"/>
  <c r="AQ38" i="6"/>
  <c r="AQ39" i="6"/>
  <c r="AQ40" i="6"/>
  <c r="AQ41" i="6"/>
  <c r="AQ42" i="6"/>
  <c r="AQ43" i="6"/>
  <c r="AQ44" i="6"/>
  <c r="AQ45" i="6"/>
  <c r="AQ46" i="6"/>
  <c r="AQ47" i="6"/>
  <c r="AQ48" i="6"/>
  <c r="AQ49" i="6"/>
  <c r="AQ50" i="6"/>
  <c r="AQ51" i="6"/>
  <c r="AQ52" i="6"/>
  <c r="AQ53" i="6"/>
  <c r="AQ54" i="6"/>
  <c r="AQ55" i="6"/>
  <c r="AQ56" i="6"/>
  <c r="AQ57" i="6"/>
  <c r="AQ37" i="6"/>
  <c r="AP38" i="6"/>
  <c r="AP39" i="6"/>
  <c r="AP40" i="6"/>
  <c r="AP41" i="6"/>
  <c r="AP42" i="6"/>
  <c r="AP43" i="6"/>
  <c r="AP44" i="6"/>
  <c r="AP45" i="6"/>
  <c r="AP46" i="6"/>
  <c r="AP47" i="6"/>
  <c r="AP48" i="6"/>
  <c r="AP49" i="6"/>
  <c r="AP50" i="6"/>
  <c r="AP51" i="6"/>
  <c r="AP52" i="6"/>
  <c r="AP53" i="6"/>
  <c r="AP54" i="6"/>
  <c r="AP55" i="6"/>
  <c r="AP56" i="6"/>
  <c r="AP57" i="6"/>
  <c r="AP37" i="6"/>
  <c r="AO38" i="6"/>
  <c r="AO39" i="6"/>
  <c r="AO40" i="6"/>
  <c r="AO41" i="6"/>
  <c r="AO42" i="6"/>
  <c r="AO43" i="6"/>
  <c r="AO44" i="6"/>
  <c r="AO45" i="6"/>
  <c r="AO46" i="6"/>
  <c r="AO47" i="6"/>
  <c r="AO48" i="6"/>
  <c r="AO49" i="6"/>
  <c r="AO50" i="6"/>
  <c r="AO51" i="6"/>
  <c r="AO52" i="6"/>
  <c r="AO53" i="6"/>
  <c r="AO54" i="6"/>
  <c r="AO55" i="6"/>
  <c r="AO56" i="6"/>
  <c r="AO57" i="6"/>
  <c r="AO37" i="6"/>
  <c r="BG41" i="6" s="1" a="1"/>
  <c r="BG41" i="6" s="1"/>
  <c r="AN38" i="6"/>
  <c r="AN39" i="6"/>
  <c r="AN40" i="6"/>
  <c r="AN41" i="6"/>
  <c r="AN42" i="6"/>
  <c r="AN43" i="6"/>
  <c r="AN44" i="6"/>
  <c r="AN45" i="6"/>
  <c r="AN46" i="6"/>
  <c r="AN47" i="6"/>
  <c r="AN48" i="6"/>
  <c r="AN49" i="6"/>
  <c r="AN50" i="6"/>
  <c r="AN51" i="6"/>
  <c r="AN52" i="6"/>
  <c r="AN53" i="6"/>
  <c r="AN54" i="6"/>
  <c r="AN55" i="6"/>
  <c r="AN56" i="6"/>
  <c r="AN57" i="6"/>
  <c r="AN37" i="6"/>
  <c r="AM38" i="6"/>
  <c r="AM39" i="6"/>
  <c r="AM40" i="6"/>
  <c r="AM41" i="6"/>
  <c r="AM42" i="6"/>
  <c r="AM43" i="6"/>
  <c r="AM44" i="6"/>
  <c r="AM45" i="6"/>
  <c r="AM46" i="6"/>
  <c r="AM47" i="6"/>
  <c r="AM48" i="6"/>
  <c r="AM49" i="6"/>
  <c r="AM50" i="6"/>
  <c r="AM51" i="6"/>
  <c r="AM52" i="6"/>
  <c r="AM53" i="6"/>
  <c r="AM54" i="6"/>
  <c r="AM55" i="6"/>
  <c r="AM56" i="6"/>
  <c r="AM57" i="6"/>
  <c r="AM37" i="6"/>
  <c r="BG39" i="6" s="1" a="1"/>
  <c r="BG39" i="6" s="1"/>
  <c r="AL38" i="6"/>
  <c r="AL39" i="6"/>
  <c r="AL40" i="6"/>
  <c r="AL41" i="6"/>
  <c r="AL42" i="6"/>
  <c r="AL43" i="6"/>
  <c r="AL44" i="6"/>
  <c r="AL45" i="6"/>
  <c r="AL46" i="6"/>
  <c r="AL47" i="6"/>
  <c r="AL48" i="6"/>
  <c r="AL49" i="6"/>
  <c r="AL50" i="6"/>
  <c r="AL51" i="6"/>
  <c r="AL52" i="6"/>
  <c r="AL53" i="6"/>
  <c r="AL54" i="6"/>
  <c r="AL55" i="6"/>
  <c r="AL56" i="6"/>
  <c r="AL57" i="6"/>
  <c r="AL37" i="6"/>
  <c r="BG38" i="6" s="1" a="1"/>
  <c r="BG38" i="6" s="1"/>
  <c r="AK38" i="6"/>
  <c r="AK39" i="6"/>
  <c r="AK40" i="6"/>
  <c r="AK41" i="6"/>
  <c r="AK42" i="6"/>
  <c r="AK43" i="6"/>
  <c r="AK44" i="6"/>
  <c r="AK45" i="6"/>
  <c r="AK46" i="6"/>
  <c r="AK47" i="6"/>
  <c r="AK48" i="6"/>
  <c r="AK49" i="6"/>
  <c r="AK50" i="6"/>
  <c r="AK51" i="6"/>
  <c r="AK52" i="6"/>
  <c r="AK53" i="6"/>
  <c r="AK54" i="6"/>
  <c r="AK55" i="6"/>
  <c r="AK56" i="6"/>
  <c r="AK57" i="6"/>
  <c r="AK37" i="6"/>
  <c r="I10" i="10"/>
  <c r="I9" i="10"/>
  <c r="I8" i="10"/>
  <c r="I7" i="10"/>
  <c r="H10" i="10"/>
  <c r="H9" i="10"/>
  <c r="H8" i="10"/>
  <c r="H7" i="10"/>
  <c r="F8" i="10"/>
  <c r="F9" i="10"/>
  <c r="F10" i="10"/>
  <c r="F11" i="10"/>
  <c r="F7" i="10"/>
  <c r="BF9" i="6" a="1"/>
  <c r="BF9" i="6" s="1"/>
  <c r="AT10" i="6"/>
  <c r="AT11" i="6"/>
  <c r="AT12" i="6"/>
  <c r="AT13" i="6"/>
  <c r="AT14" i="6"/>
  <c r="AT15" i="6"/>
  <c r="AT16" i="6"/>
  <c r="AT17" i="6"/>
  <c r="AT18" i="6"/>
  <c r="AT19" i="6"/>
  <c r="AT20" i="6"/>
  <c r="AT21" i="6"/>
  <c r="AT22" i="6"/>
  <c r="AT23" i="6"/>
  <c r="AT24" i="6"/>
  <c r="AT25" i="6"/>
  <c r="AT26" i="6"/>
  <c r="AT27" i="6"/>
  <c r="AT28" i="6"/>
  <c r="AT9" i="6"/>
  <c r="AT7" i="6"/>
  <c r="AS10" i="6"/>
  <c r="AS11" i="6"/>
  <c r="AS12" i="6"/>
  <c r="AS13" i="6"/>
  <c r="AS14" i="6"/>
  <c r="AS15" i="6"/>
  <c r="AS16" i="6"/>
  <c r="AS17" i="6"/>
  <c r="AS18" i="6"/>
  <c r="AS19" i="6"/>
  <c r="AS20" i="6"/>
  <c r="AS21" i="6"/>
  <c r="AS22" i="6"/>
  <c r="AS23" i="6"/>
  <c r="AS24" i="6"/>
  <c r="AS25" i="6"/>
  <c r="AS26" i="6"/>
  <c r="AS27" i="6"/>
  <c r="AS28" i="6"/>
  <c r="AS9" i="6"/>
  <c r="AS7" i="6"/>
  <c r="AR10" i="6"/>
  <c r="AR11" i="6"/>
  <c r="AR12" i="6"/>
  <c r="AR13" i="6"/>
  <c r="AR14" i="6"/>
  <c r="AR15" i="6"/>
  <c r="AR16" i="6"/>
  <c r="AR17" i="6"/>
  <c r="AR18" i="6"/>
  <c r="AR19" i="6"/>
  <c r="AR20" i="6"/>
  <c r="AR21" i="6"/>
  <c r="AR22" i="6"/>
  <c r="AR23" i="6"/>
  <c r="AR24" i="6"/>
  <c r="AR25" i="6"/>
  <c r="AR26" i="6"/>
  <c r="AR27" i="6"/>
  <c r="AR28" i="6"/>
  <c r="AR9" i="6"/>
  <c r="AR7" i="6"/>
  <c r="AQ10" i="6"/>
  <c r="AQ11" i="6"/>
  <c r="AQ12" i="6"/>
  <c r="AQ13" i="6"/>
  <c r="AQ14" i="6"/>
  <c r="AQ15" i="6"/>
  <c r="AQ16" i="6"/>
  <c r="AQ17" i="6"/>
  <c r="AQ18" i="6"/>
  <c r="AQ19" i="6"/>
  <c r="AQ20" i="6"/>
  <c r="AQ21" i="6"/>
  <c r="AQ22" i="6"/>
  <c r="AQ23" i="6"/>
  <c r="AQ24" i="6"/>
  <c r="AQ25" i="6"/>
  <c r="AQ26" i="6"/>
  <c r="AQ27" i="6"/>
  <c r="AQ28" i="6"/>
  <c r="AQ9" i="6"/>
  <c r="AQ7" i="6"/>
  <c r="AP10" i="6"/>
  <c r="AP11" i="6"/>
  <c r="AP12" i="6"/>
  <c r="AP13" i="6"/>
  <c r="AP14" i="6"/>
  <c r="AP15" i="6"/>
  <c r="AP16" i="6"/>
  <c r="AP17" i="6"/>
  <c r="AP18" i="6"/>
  <c r="AP19" i="6"/>
  <c r="AP20" i="6"/>
  <c r="AP21" i="6"/>
  <c r="AP22" i="6"/>
  <c r="AP23" i="6"/>
  <c r="AP24" i="6"/>
  <c r="AP25" i="6"/>
  <c r="AP26" i="6"/>
  <c r="AP27" i="6"/>
  <c r="AP28" i="6"/>
  <c r="AP9" i="6"/>
  <c r="AP7" i="6"/>
  <c r="AO10" i="6"/>
  <c r="AO11" i="6"/>
  <c r="AO12" i="6"/>
  <c r="AO13" i="6"/>
  <c r="AO14" i="6"/>
  <c r="AO15" i="6"/>
  <c r="AO16" i="6"/>
  <c r="AO17" i="6"/>
  <c r="AO18" i="6"/>
  <c r="AO19" i="6"/>
  <c r="AO20" i="6"/>
  <c r="AO21" i="6"/>
  <c r="AO22" i="6"/>
  <c r="AO23" i="6"/>
  <c r="AO24" i="6"/>
  <c r="AO25" i="6"/>
  <c r="AO26" i="6"/>
  <c r="AO27" i="6"/>
  <c r="AO28" i="6"/>
  <c r="AO9" i="6"/>
  <c r="AO7" i="6"/>
  <c r="AL10" i="6"/>
  <c r="AL11" i="6"/>
  <c r="AL12" i="6"/>
  <c r="AL13" i="6"/>
  <c r="AL14" i="6"/>
  <c r="AL15" i="6"/>
  <c r="AL16" i="6"/>
  <c r="AL17" i="6"/>
  <c r="AL18" i="6"/>
  <c r="AL19" i="6"/>
  <c r="AL20" i="6"/>
  <c r="AL21" i="6"/>
  <c r="AL22" i="6"/>
  <c r="AL23" i="6"/>
  <c r="AL24" i="6"/>
  <c r="AL25" i="6"/>
  <c r="AL26" i="6"/>
  <c r="AL27" i="6"/>
  <c r="AL28" i="6"/>
  <c r="AL9" i="6"/>
  <c r="AK10" i="6"/>
  <c r="AK11" i="6"/>
  <c r="AK12" i="6"/>
  <c r="AK13" i="6"/>
  <c r="AK14" i="6"/>
  <c r="AK15" i="6"/>
  <c r="AK16" i="6"/>
  <c r="AK17" i="6"/>
  <c r="AK18" i="6"/>
  <c r="AK19" i="6"/>
  <c r="AK20" i="6"/>
  <c r="AK21" i="6"/>
  <c r="AK22" i="6"/>
  <c r="AK23" i="6"/>
  <c r="AK24" i="6"/>
  <c r="AK25" i="6"/>
  <c r="AK26" i="6"/>
  <c r="AK27" i="6"/>
  <c r="AK28" i="6"/>
  <c r="AK9" i="6"/>
  <c r="AK7" i="6"/>
  <c r="AJ10" i="6"/>
  <c r="AJ11" i="6"/>
  <c r="AJ12" i="6"/>
  <c r="AJ13" i="6"/>
  <c r="AJ14" i="6"/>
  <c r="AJ15" i="6"/>
  <c r="AJ16" i="6"/>
  <c r="AJ17" i="6"/>
  <c r="AJ18" i="6"/>
  <c r="AJ19" i="6"/>
  <c r="AJ20" i="6"/>
  <c r="AJ21" i="6"/>
  <c r="AJ22" i="6"/>
  <c r="AJ23" i="6"/>
  <c r="AJ24" i="6"/>
  <c r="AJ25" i="6"/>
  <c r="AJ26" i="6"/>
  <c r="AJ27" i="6"/>
  <c r="AJ28" i="6"/>
  <c r="AJ9" i="6"/>
  <c r="AJ7" i="6"/>
  <c r="AI10" i="6"/>
  <c r="AI11" i="6"/>
  <c r="AI12" i="6"/>
  <c r="AI13" i="6"/>
  <c r="AI14" i="6"/>
  <c r="AI15" i="6"/>
  <c r="AI16" i="6"/>
  <c r="AI17" i="6"/>
  <c r="AI18" i="6"/>
  <c r="AI19" i="6"/>
  <c r="AI20" i="6"/>
  <c r="AI21" i="6"/>
  <c r="AI22" i="6"/>
  <c r="AI23" i="6"/>
  <c r="AI24" i="6"/>
  <c r="AI25" i="6"/>
  <c r="AI26" i="6"/>
  <c r="AI27" i="6"/>
  <c r="AI28" i="6"/>
  <c r="AI9" i="6"/>
  <c r="AI7" i="6"/>
  <c r="AH10" i="6"/>
  <c r="AH11" i="6"/>
  <c r="AH12" i="6"/>
  <c r="AH13" i="6"/>
  <c r="AH14" i="6"/>
  <c r="AH15" i="6"/>
  <c r="AH16" i="6"/>
  <c r="AH17" i="6"/>
  <c r="AH18" i="6"/>
  <c r="AH19" i="6"/>
  <c r="AH20" i="6"/>
  <c r="AH21" i="6"/>
  <c r="AH22" i="6"/>
  <c r="AH23" i="6"/>
  <c r="AH24" i="6"/>
  <c r="AH25" i="6"/>
  <c r="AH26" i="6"/>
  <c r="AH27" i="6"/>
  <c r="AH28" i="6"/>
  <c r="AH9" i="6"/>
  <c r="AH7" i="6"/>
  <c r="AI11" i="5"/>
  <c r="AJ11" i="5" s="1"/>
  <c r="AI12" i="5"/>
  <c r="AJ12" i="5" s="1"/>
  <c r="Z12" i="5" s="1"/>
  <c r="AI13" i="5"/>
  <c r="AJ13" i="5" s="1"/>
  <c r="AI15" i="5"/>
  <c r="AJ15" i="5" s="1"/>
  <c r="AI16" i="5"/>
  <c r="AJ16" i="5" s="1"/>
  <c r="AI17" i="5"/>
  <c r="AJ17" i="5" s="1"/>
  <c r="AI18" i="5"/>
  <c r="AJ18" i="5" s="1"/>
  <c r="AI19" i="5"/>
  <c r="AJ19" i="5" s="1"/>
  <c r="AI20" i="5"/>
  <c r="AJ20" i="5" s="1"/>
  <c r="AI21" i="5"/>
  <c r="AJ21" i="5" s="1"/>
  <c r="AI10" i="5"/>
  <c r="AJ10" i="5" s="1"/>
  <c r="AC8" i="5" a="1"/>
  <c r="AC8" i="5" s="1"/>
  <c r="AD8" i="5" a="1"/>
  <c r="AD8" i="5" s="1"/>
  <c r="AB11" i="5"/>
  <c r="AB12" i="5"/>
  <c r="AB13" i="5"/>
  <c r="AB14" i="5"/>
  <c r="AB15" i="5"/>
  <c r="AB16" i="5"/>
  <c r="AB17" i="5"/>
  <c r="AB18" i="5"/>
  <c r="AB19" i="5"/>
  <c r="AB20" i="5"/>
  <c r="AB21" i="5"/>
  <c r="AB10" i="5"/>
  <c r="AA11" i="5"/>
  <c r="AA12" i="5"/>
  <c r="Y12" i="5" s="1"/>
  <c r="AA13" i="5"/>
  <c r="Z13" i="5" s="1"/>
  <c r="AA14" i="5"/>
  <c r="AA15" i="5"/>
  <c r="AA16" i="5"/>
  <c r="Y16" i="5" s="1"/>
  <c r="AA17" i="5"/>
  <c r="Y17" i="5" s="1"/>
  <c r="AA18" i="5"/>
  <c r="AA19" i="5"/>
  <c r="AA20" i="5"/>
  <c r="Z20" i="5" s="1"/>
  <c r="AA21" i="5"/>
  <c r="Y21" i="5" s="1"/>
  <c r="AA10" i="5"/>
  <c r="H12" i="4"/>
  <c r="H9" i="4"/>
  <c r="H10" i="4"/>
  <c r="H8" i="4"/>
  <c r="H7" i="4"/>
  <c r="F8" i="4"/>
  <c r="F9" i="4"/>
  <c r="F10" i="4"/>
  <c r="F7" i="4"/>
  <c r="P15" i="3"/>
  <c r="K15" i="3" s="1"/>
  <c r="P16" i="3"/>
  <c r="P17" i="3"/>
  <c r="O15" i="3"/>
  <c r="O16" i="3"/>
  <c r="O17" i="3"/>
  <c r="O14" i="3"/>
  <c r="L11" i="7"/>
  <c r="C36" i="2"/>
  <c r="C25" i="2"/>
  <c r="C29" i="2"/>
  <c r="C31" i="2" s="1"/>
  <c r="G10" i="1"/>
  <c r="C20" i="2"/>
  <c r="C28" i="2"/>
  <c r="C38" i="2"/>
  <c r="C37" i="2"/>
  <c r="L8" i="3"/>
  <c r="K8" i="3" s="1"/>
  <c r="AD10" i="9"/>
  <c r="AD11" i="9"/>
  <c r="AD12" i="9"/>
  <c r="AD13" i="9"/>
  <c r="AD14" i="9"/>
  <c r="AD15" i="9"/>
  <c r="AD16" i="9"/>
  <c r="AD17" i="9"/>
  <c r="AD18" i="9"/>
  <c r="AD19" i="9"/>
  <c r="AD20" i="9"/>
  <c r="AD21" i="9"/>
  <c r="AD22" i="9"/>
  <c r="AD23" i="9"/>
  <c r="AD24" i="9"/>
  <c r="AD25" i="9"/>
  <c r="AD26" i="9"/>
  <c r="AD27" i="9"/>
  <c r="AD28" i="9"/>
  <c r="AD9" i="9"/>
  <c r="AB6" i="9"/>
  <c r="AB12" i="9" s="1" a="1"/>
  <c r="AB12" i="9" s="1"/>
  <c r="F38" i="9"/>
  <c r="L7" i="9" s="1"/>
  <c r="AA6" i="9"/>
  <c r="Z6" i="9"/>
  <c r="E38" i="9" s="1"/>
  <c r="Y6" i="9"/>
  <c r="E37" i="9" s="1"/>
  <c r="F40" i="9"/>
  <c r="E40" i="9"/>
  <c r="F39" i="9"/>
  <c r="E39" i="9"/>
  <c r="G39" i="9" s="1"/>
  <c r="K9" i="3"/>
  <c r="L9" i="3" s="1"/>
  <c r="K7" i="3"/>
  <c r="L7" i="3" s="1"/>
  <c r="K6" i="3"/>
  <c r="L6" i="3"/>
  <c r="M7" i="9"/>
  <c r="J7" i="9"/>
  <c r="P7" i="9"/>
  <c r="O7" i="9" s="1"/>
  <c r="H7" i="9"/>
  <c r="J5" i="6"/>
  <c r="U10" i="9"/>
  <c r="U11" i="9"/>
  <c r="U12" i="9"/>
  <c r="U13" i="9"/>
  <c r="U14" i="9"/>
  <c r="U15" i="9"/>
  <c r="U16" i="9"/>
  <c r="U17" i="9"/>
  <c r="U18" i="9"/>
  <c r="U19" i="9"/>
  <c r="U20" i="9"/>
  <c r="U21" i="9"/>
  <c r="U22" i="9"/>
  <c r="U23" i="9"/>
  <c r="U24" i="9"/>
  <c r="U25" i="9"/>
  <c r="U26" i="9"/>
  <c r="U27" i="9"/>
  <c r="U28" i="9"/>
  <c r="U9" i="9"/>
  <c r="I15" i="10"/>
  <c r="I11" i="10"/>
  <c r="I12" i="4"/>
  <c r="I10" i="4"/>
  <c r="I8" i="4"/>
  <c r="I7" i="4"/>
  <c r="C24" i="2"/>
  <c r="AC5" i="6"/>
  <c r="AB5" i="6"/>
  <c r="AA5" i="6"/>
  <c r="Z5" i="6"/>
  <c r="Y5" i="6"/>
  <c r="X5" i="6"/>
  <c r="W5" i="6"/>
  <c r="V5" i="6"/>
  <c r="U5" i="6"/>
  <c r="T5" i="6"/>
  <c r="S5" i="6"/>
  <c r="R5" i="6"/>
  <c r="Q5" i="6"/>
  <c r="P5" i="6"/>
  <c r="O5" i="6"/>
  <c r="N5" i="6"/>
  <c r="M5" i="6"/>
  <c r="L5" i="6"/>
  <c r="K5" i="6"/>
  <c r="I5" i="6"/>
  <c r="H15" i="10"/>
  <c r="H11" i="10"/>
  <c r="B3" i="6"/>
  <c r="Y23" i="5"/>
  <c r="AD11" i="5" a="1"/>
  <c r="AD11" i="5"/>
  <c r="AD12" i="5" a="1"/>
  <c r="AD12" i="5" s="1"/>
  <c r="AD13" i="5" a="1"/>
  <c r="AD13" i="5" s="1"/>
  <c r="AD14" i="5" a="1"/>
  <c r="AD14" i="5"/>
  <c r="AE14" i="5" s="1"/>
  <c r="AD15" i="5" a="1"/>
  <c r="AD15" i="5" s="1"/>
  <c r="AE15" i="5" s="1"/>
  <c r="AD16" i="5" a="1"/>
  <c r="AD16" i="5" s="1"/>
  <c r="AD17" i="5" a="1"/>
  <c r="AD17" i="5" s="1"/>
  <c r="AC17" i="5" a="1"/>
  <c r="AC17" i="5" s="1"/>
  <c r="AE17" i="5"/>
  <c r="AD18" i="5" a="1"/>
  <c r="AD18" i="5" s="1"/>
  <c r="AE18" i="5" s="1"/>
  <c r="AD19" i="5" a="1"/>
  <c r="AD19" i="5" s="1"/>
  <c r="AE19" i="5" s="1"/>
  <c r="AD20" i="5" a="1"/>
  <c r="AD20" i="5" s="1"/>
  <c r="AD21" i="5" a="1"/>
  <c r="AD21" i="5" s="1"/>
  <c r="AD10" i="5" a="1"/>
  <c r="AD10" i="5"/>
  <c r="AC11" i="5" a="1"/>
  <c r="AC11" i="5" s="1"/>
  <c r="AE11" i="5" s="1"/>
  <c r="AC12" i="5" a="1"/>
  <c r="AC12" i="5" s="1"/>
  <c r="AE12" i="5" s="1"/>
  <c r="AC13" i="5" a="1"/>
  <c r="AC13" i="5" s="1"/>
  <c r="AC14" i="5" a="1"/>
  <c r="AC14" i="5" s="1"/>
  <c r="AC15" i="5" a="1"/>
  <c r="AC15" i="5"/>
  <c r="AC16" i="5" a="1"/>
  <c r="AC16" i="5" s="1"/>
  <c r="AC18" i="5" a="1"/>
  <c r="AC18" i="5"/>
  <c r="AC19" i="5" a="1"/>
  <c r="AC19" i="5" s="1"/>
  <c r="AC20" i="5" a="1"/>
  <c r="AC20" i="5" s="1"/>
  <c r="AC21" i="5" a="1"/>
  <c r="AC21" i="5"/>
  <c r="AE21" i="5" s="1"/>
  <c r="AC10" i="5" a="1"/>
  <c r="AC10" i="5" s="1"/>
  <c r="C35" i="2"/>
  <c r="AN41" i="5"/>
  <c r="AN40" i="5"/>
  <c r="AN39" i="5"/>
  <c r="AN38" i="5"/>
  <c r="AN37" i="5"/>
  <c r="AN36" i="5"/>
  <c r="AN35" i="5"/>
  <c r="AN34" i="5"/>
  <c r="AN33" i="5"/>
  <c r="AN32" i="5"/>
  <c r="AN31" i="5"/>
  <c r="AN30" i="5"/>
  <c r="Y9" i="9" a="1"/>
  <c r="Y9" i="9" s="1"/>
  <c r="Z9" i="9" a="1"/>
  <c r="BG9" i="6" a="1"/>
  <c r="BG9" i="6"/>
  <c r="BH9" i="6" a="1"/>
  <c r="BH9" i="6" s="1"/>
  <c r="BI9" i="6" a="1"/>
  <c r="BI9" i="6" s="1"/>
  <c r="BJ9" i="6" a="1"/>
  <c r="BJ9" i="6" s="1"/>
  <c r="BK9" i="6" a="1"/>
  <c r="BK9" i="6" s="1"/>
  <c r="BL9" i="6" a="1"/>
  <c r="BL9" i="6" s="1"/>
  <c r="BM9" i="6" a="1"/>
  <c r="BM9" i="6" s="1"/>
  <c r="BN9" i="6" a="1"/>
  <c r="BN9" i="6" s="1"/>
  <c r="BO9" i="6" a="1"/>
  <c r="BO9" i="6" s="1"/>
  <c r="BP9" i="6" a="1"/>
  <c r="BP9" i="6" s="1"/>
  <c r="BQ9" i="6" a="1"/>
  <c r="BQ9" i="6" s="1"/>
  <c r="BR9" i="6" a="1"/>
  <c r="BR9" i="6" s="1"/>
  <c r="BS9" i="6" a="1"/>
  <c r="BS9" i="6" s="1"/>
  <c r="BT9" i="6" a="1"/>
  <c r="BT9" i="6" s="1"/>
  <c r="BU9" i="6" a="1"/>
  <c r="BU9" i="6" s="1"/>
  <c r="BV9" i="6" a="1"/>
  <c r="BV9" i="6" s="1"/>
  <c r="BW9" i="6" a="1"/>
  <c r="BW9" i="6" s="1"/>
  <c r="BX9" i="6" a="1"/>
  <c r="BX9" i="6" s="1"/>
  <c r="BY9" i="6" a="1"/>
  <c r="BY9" i="6" s="1"/>
  <c r="BZ9" i="6" a="1"/>
  <c r="BZ9" i="6" s="1"/>
  <c r="BG10" i="6" a="1"/>
  <c r="BG10" i="6" s="1"/>
  <c r="BH10" i="6" a="1"/>
  <c r="BH10" i="6" s="1"/>
  <c r="BI10" i="6" a="1"/>
  <c r="BI10" i="6" s="1"/>
  <c r="BJ10" i="6" a="1"/>
  <c r="BJ10" i="6" s="1"/>
  <c r="BK10" i="6" a="1"/>
  <c r="BK10" i="6" s="1"/>
  <c r="BL10" i="6" a="1"/>
  <c r="BL10" i="6" s="1"/>
  <c r="BM10" i="6" a="1"/>
  <c r="BM10" i="6" s="1"/>
  <c r="BN10" i="6" a="1"/>
  <c r="BN10" i="6" s="1"/>
  <c r="BO10" i="6" a="1"/>
  <c r="BO10" i="6" s="1"/>
  <c r="BP10" i="6" a="1"/>
  <c r="BP10" i="6" s="1"/>
  <c r="BQ10" i="6" a="1"/>
  <c r="BQ10" i="6" s="1"/>
  <c r="BR10" i="6" a="1"/>
  <c r="BR10" i="6"/>
  <c r="BS10" i="6" a="1"/>
  <c r="BS10" i="6" s="1"/>
  <c r="BT10" i="6" a="1"/>
  <c r="BT10" i="6" s="1"/>
  <c r="BU10" i="6" a="1"/>
  <c r="BU10" i="6" s="1"/>
  <c r="BV10" i="6" a="1"/>
  <c r="BV10" i="6" s="1"/>
  <c r="BW10" i="6" a="1"/>
  <c r="BW10" i="6" s="1"/>
  <c r="BX10" i="6" a="1"/>
  <c r="BX10" i="6" s="1"/>
  <c r="BY10" i="6" a="1"/>
  <c r="BY10" i="6" s="1"/>
  <c r="BZ10" i="6" a="1"/>
  <c r="BZ10" i="6" s="1"/>
  <c r="BG11" i="6" a="1"/>
  <c r="BG11" i="6"/>
  <c r="BH11" i="6" a="1"/>
  <c r="BH11" i="6" s="1"/>
  <c r="BI11" i="6" a="1"/>
  <c r="BI11" i="6" s="1"/>
  <c r="BJ11" i="6" a="1"/>
  <c r="BJ11" i="6" s="1"/>
  <c r="BK11" i="6" a="1"/>
  <c r="BK11" i="6" s="1"/>
  <c r="BL11" i="6" a="1"/>
  <c r="BL11" i="6" s="1"/>
  <c r="BM11" i="6" a="1"/>
  <c r="BM11" i="6" s="1"/>
  <c r="BN11" i="6" a="1"/>
  <c r="BN11" i="6" s="1"/>
  <c r="BO11" i="6" a="1"/>
  <c r="BO11" i="6" s="1"/>
  <c r="BP11" i="6" a="1"/>
  <c r="BP11" i="6"/>
  <c r="BQ11" i="6" a="1"/>
  <c r="BQ11" i="6" s="1"/>
  <c r="BR11" i="6" a="1"/>
  <c r="BR11" i="6" s="1"/>
  <c r="BS11" i="6" a="1"/>
  <c r="BS11" i="6" s="1"/>
  <c r="BT11" i="6" a="1"/>
  <c r="BT11" i="6" s="1"/>
  <c r="BU11" i="6" a="1"/>
  <c r="BU11" i="6" s="1"/>
  <c r="BV11" i="6" a="1"/>
  <c r="BV11" i="6" s="1"/>
  <c r="BW11" i="6" a="1"/>
  <c r="BW11" i="6" s="1"/>
  <c r="BX11" i="6" a="1"/>
  <c r="BX11" i="6" s="1"/>
  <c r="BY11" i="6" a="1"/>
  <c r="BY11" i="6" s="1"/>
  <c r="BZ11" i="6" a="1"/>
  <c r="BZ11" i="6" s="1"/>
  <c r="BG12" i="6" a="1"/>
  <c r="BG12" i="6" s="1"/>
  <c r="BH12" i="6" a="1"/>
  <c r="BH12" i="6" s="1"/>
  <c r="BI12" i="6" a="1"/>
  <c r="BI12" i="6" s="1"/>
  <c r="BJ12" i="6" a="1"/>
  <c r="BJ12" i="6"/>
  <c r="BK12" i="6" a="1"/>
  <c r="BK12" i="6" s="1"/>
  <c r="BL12" i="6" a="1"/>
  <c r="BL12" i="6" s="1"/>
  <c r="BM12" i="6" a="1"/>
  <c r="BM12" i="6" s="1"/>
  <c r="BN12" i="6" a="1"/>
  <c r="BN12" i="6" s="1"/>
  <c r="BO12" i="6" a="1"/>
  <c r="BO12" i="6" s="1"/>
  <c r="BP12" i="6" a="1"/>
  <c r="BP12" i="6" s="1"/>
  <c r="BQ12" i="6" a="1"/>
  <c r="BQ12" i="6" s="1"/>
  <c r="BR12" i="6" a="1"/>
  <c r="BR12" i="6" s="1"/>
  <c r="BS12" i="6" a="1"/>
  <c r="BS12" i="6" s="1"/>
  <c r="BT12" i="6" a="1"/>
  <c r="BT12" i="6" s="1"/>
  <c r="BU12" i="6" a="1"/>
  <c r="BU12" i="6" s="1"/>
  <c r="BV12" i="6" a="1"/>
  <c r="BV12" i="6" s="1"/>
  <c r="BW12" i="6" a="1"/>
  <c r="BW12" i="6" s="1"/>
  <c r="BX12" i="6" a="1"/>
  <c r="BX12" i="6" s="1"/>
  <c r="BY12" i="6" a="1"/>
  <c r="BY12" i="6" s="1"/>
  <c r="BZ12" i="6" a="1"/>
  <c r="BZ12" i="6" s="1"/>
  <c r="BG13" i="6" a="1"/>
  <c r="BG13" i="6" s="1"/>
  <c r="BH13" i="6" a="1"/>
  <c r="BH13" i="6"/>
  <c r="BI13" i="6" a="1"/>
  <c r="BI13" i="6" s="1"/>
  <c r="BJ13" i="6" a="1"/>
  <c r="BJ13" i="6" s="1"/>
  <c r="BK13" i="6" a="1"/>
  <c r="BK13" i="6" s="1"/>
  <c r="BL13" i="6" a="1"/>
  <c r="BL13" i="6" s="1"/>
  <c r="BM13" i="6" a="1"/>
  <c r="BM13" i="6" s="1"/>
  <c r="BN13" i="6" a="1"/>
  <c r="BN13" i="6" s="1"/>
  <c r="BO13" i="6" a="1"/>
  <c r="BO13" i="6" s="1"/>
  <c r="BP13" i="6" a="1"/>
  <c r="BP13" i="6" s="1"/>
  <c r="BQ13" i="6" a="1"/>
  <c r="BQ13" i="6" s="1"/>
  <c r="BR13" i="6" a="1"/>
  <c r="BR13" i="6" s="1"/>
  <c r="BS13" i="6" a="1"/>
  <c r="BS13" i="6" s="1"/>
  <c r="BT13" i="6" a="1"/>
  <c r="BT13" i="6" s="1"/>
  <c r="BU13" i="6" a="1"/>
  <c r="BU13" i="6" s="1"/>
  <c r="BV13" i="6" a="1"/>
  <c r="BV13" i="6"/>
  <c r="BW13" i="6" a="1"/>
  <c r="BW13" i="6" s="1"/>
  <c r="BX13" i="6" a="1"/>
  <c r="BX13" i="6" s="1"/>
  <c r="BY13" i="6" a="1"/>
  <c r="BY13" i="6" s="1"/>
  <c r="BZ13" i="6" a="1"/>
  <c r="BZ13" i="6" s="1"/>
  <c r="BG14" i="6" a="1"/>
  <c r="BG14" i="6" s="1"/>
  <c r="BH14" i="6" a="1"/>
  <c r="BH14" i="6" s="1"/>
  <c r="BI14" i="6" a="1"/>
  <c r="BI14" i="6" s="1"/>
  <c r="BJ14" i="6" a="1"/>
  <c r="BJ14" i="6" s="1"/>
  <c r="BK14" i="6" a="1"/>
  <c r="BK14" i="6" s="1"/>
  <c r="BL14" i="6" a="1"/>
  <c r="BL14" i="6" s="1"/>
  <c r="BM14" i="6" a="1"/>
  <c r="BM14" i="6" s="1"/>
  <c r="BN14" i="6" a="1"/>
  <c r="BN14" i="6" s="1"/>
  <c r="BO14" i="6" a="1"/>
  <c r="BO14" i="6" s="1"/>
  <c r="BP14" i="6" a="1"/>
  <c r="BP14" i="6" s="1"/>
  <c r="BQ14" i="6" a="1"/>
  <c r="BQ14" i="6" s="1"/>
  <c r="BR14" i="6" a="1"/>
  <c r="BR14" i="6" s="1"/>
  <c r="BS14" i="6" a="1"/>
  <c r="BS14" i="6" s="1"/>
  <c r="BT14" i="6" a="1"/>
  <c r="BT14" i="6"/>
  <c r="BU14" i="6" a="1"/>
  <c r="BU14" i="6" s="1"/>
  <c r="BV14" i="6" a="1"/>
  <c r="BV14" i="6" s="1"/>
  <c r="BW14" i="6" a="1"/>
  <c r="BW14" i="6" s="1"/>
  <c r="BX14" i="6" a="1"/>
  <c r="BX14" i="6" s="1"/>
  <c r="BY14" i="6" a="1"/>
  <c r="BY14" i="6" s="1"/>
  <c r="BZ14" i="6" a="1"/>
  <c r="BZ14" i="6" s="1"/>
  <c r="BG15" i="6" a="1"/>
  <c r="BG15" i="6" s="1"/>
  <c r="BH15" i="6" a="1"/>
  <c r="BH15" i="6" s="1"/>
  <c r="BI15" i="6" a="1"/>
  <c r="BI15" i="6" s="1"/>
  <c r="BJ15" i="6" a="1"/>
  <c r="BJ15" i="6" s="1"/>
  <c r="BK15" i="6" a="1"/>
  <c r="BK15" i="6" s="1"/>
  <c r="BL15" i="6" a="1"/>
  <c r="BL15" i="6" s="1"/>
  <c r="BM15" i="6" a="1"/>
  <c r="BM15" i="6" s="1"/>
  <c r="BN15" i="6" a="1"/>
  <c r="BN15" i="6"/>
  <c r="BO15" i="6" a="1"/>
  <c r="BO15" i="6" s="1"/>
  <c r="BP15" i="6" a="1"/>
  <c r="BP15" i="6" s="1"/>
  <c r="BQ15" i="6" a="1"/>
  <c r="BQ15" i="6" s="1"/>
  <c r="BR15" i="6" a="1"/>
  <c r="BR15" i="6" s="1"/>
  <c r="BS15" i="6" a="1"/>
  <c r="BS15" i="6" s="1"/>
  <c r="BT15" i="6" a="1"/>
  <c r="BT15" i="6" s="1"/>
  <c r="BU15" i="6" a="1"/>
  <c r="BU15" i="6" s="1"/>
  <c r="BV15" i="6" a="1"/>
  <c r="BV15" i="6" s="1"/>
  <c r="BW15" i="6" a="1"/>
  <c r="BW15" i="6" s="1"/>
  <c r="BX15" i="6" a="1"/>
  <c r="BX15" i="6" s="1"/>
  <c r="BY15" i="6" a="1"/>
  <c r="BY15" i="6" s="1"/>
  <c r="BZ15" i="6" a="1"/>
  <c r="BZ15" i="6" s="1"/>
  <c r="BG16" i="6" a="1"/>
  <c r="BG16" i="6" s="1"/>
  <c r="BH16" i="6" a="1"/>
  <c r="BH16" i="6"/>
  <c r="BI16" i="6" a="1"/>
  <c r="BI16" i="6" s="1"/>
  <c r="BJ16" i="6" a="1"/>
  <c r="BJ16" i="6" s="1"/>
  <c r="BK16" i="6" a="1"/>
  <c r="BK16" i="6" s="1"/>
  <c r="BL16" i="6" a="1"/>
  <c r="BL16" i="6"/>
  <c r="BM16" i="6" a="1"/>
  <c r="BM16" i="6" s="1"/>
  <c r="BN16" i="6" a="1"/>
  <c r="BN16" i="6" s="1"/>
  <c r="BO16" i="6" a="1"/>
  <c r="BO16" i="6" s="1"/>
  <c r="BP16" i="6" a="1"/>
  <c r="BP16" i="6" s="1"/>
  <c r="BQ16" i="6" a="1"/>
  <c r="BQ16" i="6" s="1"/>
  <c r="BR16" i="6" a="1"/>
  <c r="BR16" i="6" s="1"/>
  <c r="BS16" i="6" a="1"/>
  <c r="BS16" i="6" s="1"/>
  <c r="BT16" i="6" a="1"/>
  <c r="BT16" i="6" s="1"/>
  <c r="BU16" i="6" a="1"/>
  <c r="BU16" i="6" s="1"/>
  <c r="BV16" i="6" a="1"/>
  <c r="BV16" i="6"/>
  <c r="BW16" i="6" a="1"/>
  <c r="BW16" i="6" s="1"/>
  <c r="BX16" i="6" a="1"/>
  <c r="BX16" i="6" s="1"/>
  <c r="BY16" i="6" a="1"/>
  <c r="BY16" i="6" s="1"/>
  <c r="BZ16" i="6" a="1"/>
  <c r="BZ16" i="6"/>
  <c r="BG17" i="6" a="1"/>
  <c r="BG17" i="6" s="1"/>
  <c r="BH17" i="6" a="1"/>
  <c r="BH17" i="6" s="1"/>
  <c r="BI17" i="6" a="1"/>
  <c r="BI17" i="6" s="1"/>
  <c r="BJ17" i="6" a="1"/>
  <c r="BJ17" i="6" s="1"/>
  <c r="BK17" i="6" a="1"/>
  <c r="BK17" i="6"/>
  <c r="BL17" i="6" a="1"/>
  <c r="BL17" i="6" s="1"/>
  <c r="BM17" i="6" a="1"/>
  <c r="BM17" i="6" s="1"/>
  <c r="BN17" i="6" a="1"/>
  <c r="BN17" i="6"/>
  <c r="BO17" i="6" a="1"/>
  <c r="BO17" i="6"/>
  <c r="BP17" i="6" a="1"/>
  <c r="BP17" i="6" s="1"/>
  <c r="BQ17" i="6" a="1"/>
  <c r="BQ17" i="6" s="1"/>
  <c r="BR17" i="6" a="1"/>
  <c r="BR17" i="6" s="1"/>
  <c r="BS17" i="6" a="1"/>
  <c r="BS17" i="6" s="1"/>
  <c r="BT17" i="6" a="1"/>
  <c r="BT17" i="6" s="1"/>
  <c r="BU17" i="6" a="1"/>
  <c r="BU17" i="6" s="1"/>
  <c r="BV17" i="6" a="1"/>
  <c r="BV17" i="6" s="1"/>
  <c r="BW17" i="6" a="1"/>
  <c r="BW17" i="6"/>
  <c r="BX17" i="6" a="1"/>
  <c r="BX17" i="6"/>
  <c r="BY17" i="6" a="1"/>
  <c r="BY17" i="6" s="1"/>
  <c r="BZ17" i="6" a="1"/>
  <c r="BZ17" i="6" s="1"/>
  <c r="BG18" i="6" a="1"/>
  <c r="BG18" i="6" s="1"/>
  <c r="BH18" i="6" a="1"/>
  <c r="BH18" i="6" s="1"/>
  <c r="BI18" i="6" a="1"/>
  <c r="BI18" i="6" s="1"/>
  <c r="BJ18" i="6" a="1"/>
  <c r="BJ18" i="6" s="1"/>
  <c r="BK18" i="6" a="1"/>
  <c r="BK18" i="6" s="1"/>
  <c r="BL18" i="6" a="1"/>
  <c r="BL18" i="6" s="1"/>
  <c r="BM18" i="6" a="1"/>
  <c r="BM18" i="6" s="1"/>
  <c r="BN18" i="6" a="1"/>
  <c r="BN18" i="6" s="1"/>
  <c r="BO18" i="6" a="1"/>
  <c r="BO18" i="6" s="1"/>
  <c r="BP18" i="6" a="1"/>
  <c r="BP18" i="6" s="1"/>
  <c r="BQ18" i="6" a="1"/>
  <c r="BQ18" i="6" s="1"/>
  <c r="BR18" i="6" a="1"/>
  <c r="BR18" i="6"/>
  <c r="BS18" i="6" a="1"/>
  <c r="BS18" i="6" s="1"/>
  <c r="BT18" i="6" a="1"/>
  <c r="BT18" i="6" s="1"/>
  <c r="BU18" i="6" a="1"/>
  <c r="BU18" i="6" s="1"/>
  <c r="BV18" i="6" a="1"/>
  <c r="BV18" i="6" s="1"/>
  <c r="BW18" i="6" a="1"/>
  <c r="BW18" i="6" s="1"/>
  <c r="BX18" i="6" a="1"/>
  <c r="BX18" i="6" s="1"/>
  <c r="BY18" i="6" a="1"/>
  <c r="BY18" i="6" s="1"/>
  <c r="BZ18" i="6" a="1"/>
  <c r="BZ18" i="6" s="1"/>
  <c r="BG19" i="6" a="1"/>
  <c r="BG19" i="6" s="1"/>
  <c r="BH19" i="6" a="1"/>
  <c r="BH19" i="6" s="1"/>
  <c r="BI19" i="6" a="1"/>
  <c r="BI19" i="6" s="1"/>
  <c r="BJ19" i="6" a="1"/>
  <c r="BJ19" i="6" s="1"/>
  <c r="BK19" i="6" a="1"/>
  <c r="BK19" i="6" s="1"/>
  <c r="BL19" i="6" a="1"/>
  <c r="BL19" i="6"/>
  <c r="BM19" i="6" a="1"/>
  <c r="BM19" i="6" s="1"/>
  <c r="BN19" i="6" a="1"/>
  <c r="BN19" i="6" s="1"/>
  <c r="BO19" i="6" a="1"/>
  <c r="BO19" i="6" s="1"/>
  <c r="BP19" i="6" a="1"/>
  <c r="BP19" i="6" s="1"/>
  <c r="BQ19" i="6" a="1"/>
  <c r="BQ19" i="6" s="1"/>
  <c r="BR19" i="6" a="1"/>
  <c r="BR19" i="6" s="1"/>
  <c r="BS19" i="6" a="1"/>
  <c r="BS19" i="6" s="1"/>
  <c r="BT19" i="6" a="1"/>
  <c r="BT19" i="6" s="1"/>
  <c r="BU19" i="6" a="1"/>
  <c r="BU19" i="6" s="1"/>
  <c r="BV19" i="6" a="1"/>
  <c r="BV19" i="6" s="1"/>
  <c r="BW19" i="6" a="1"/>
  <c r="BW19" i="6" s="1"/>
  <c r="BX19" i="6" a="1"/>
  <c r="BX19" i="6"/>
  <c r="BY19" i="6" a="1"/>
  <c r="BY19" i="6" s="1"/>
  <c r="BZ19" i="6" a="1"/>
  <c r="BZ19" i="6"/>
  <c r="BG20" i="6" a="1"/>
  <c r="BG20" i="6"/>
  <c r="BH20" i="6" a="1"/>
  <c r="BH20" i="6" s="1"/>
  <c r="BI20" i="6" a="1"/>
  <c r="BI20" i="6" s="1"/>
  <c r="BJ20" i="6" a="1"/>
  <c r="BJ20" i="6" s="1"/>
  <c r="BK20" i="6" a="1"/>
  <c r="BK20" i="6" s="1"/>
  <c r="BL20" i="6" a="1"/>
  <c r="BL20" i="6" s="1"/>
  <c r="BM20" i="6" a="1"/>
  <c r="BM20" i="6" s="1"/>
  <c r="BN20" i="6" a="1"/>
  <c r="BN20" i="6" s="1"/>
  <c r="BO20" i="6" a="1"/>
  <c r="BO20" i="6"/>
  <c r="BP20" i="6" a="1"/>
  <c r="BP20" i="6"/>
  <c r="BQ20" i="6" a="1"/>
  <c r="BQ20" i="6" s="1"/>
  <c r="BR20" i="6" a="1"/>
  <c r="BR20" i="6" s="1"/>
  <c r="BS20" i="6" a="1"/>
  <c r="BS20" i="6" s="1"/>
  <c r="BT20" i="6" a="1"/>
  <c r="BT20" i="6" s="1"/>
  <c r="BU20" i="6" a="1"/>
  <c r="BU20" i="6" s="1"/>
  <c r="BV20" i="6" a="1"/>
  <c r="BV20" i="6" s="1"/>
  <c r="BW20" i="6" a="1"/>
  <c r="BW20" i="6" s="1"/>
  <c r="BX20" i="6" a="1"/>
  <c r="BX20" i="6"/>
  <c r="BY20" i="6" a="1"/>
  <c r="BY20" i="6" s="1"/>
  <c r="BZ20" i="6" a="1"/>
  <c r="BZ20" i="6" s="1"/>
  <c r="BG21" i="6" a="1"/>
  <c r="BG21" i="6"/>
  <c r="BH21" i="6" a="1"/>
  <c r="BH21" i="6"/>
  <c r="BI21" i="6" a="1"/>
  <c r="BI21" i="6" s="1"/>
  <c r="BJ21" i="6" a="1"/>
  <c r="BJ21" i="6"/>
  <c r="BK21" i="6" a="1"/>
  <c r="BK21" i="6" s="1"/>
  <c r="BL21" i="6" a="1"/>
  <c r="BL21" i="6" s="1"/>
  <c r="BM21" i="6" a="1"/>
  <c r="BM21" i="6" s="1"/>
  <c r="BN21" i="6" a="1"/>
  <c r="BN21" i="6" s="1"/>
  <c r="BO21" i="6" a="1"/>
  <c r="BO21" i="6" s="1"/>
  <c r="BP21" i="6" a="1"/>
  <c r="BP21" i="6"/>
  <c r="BQ21" i="6" a="1"/>
  <c r="BQ21" i="6" s="1"/>
  <c r="BR21" i="6" a="1"/>
  <c r="BR21" i="6"/>
  <c r="BS21" i="6" a="1"/>
  <c r="BS21" i="6"/>
  <c r="BT21" i="6" a="1"/>
  <c r="BT21" i="6" s="1"/>
  <c r="BU21" i="6" a="1"/>
  <c r="BU21" i="6" s="1"/>
  <c r="BV21" i="6" a="1"/>
  <c r="BV21" i="6"/>
  <c r="BW21" i="6" a="1"/>
  <c r="BW21" i="6" s="1"/>
  <c r="BX21" i="6" a="1"/>
  <c r="BX21" i="6" s="1"/>
  <c r="BY21" i="6" a="1"/>
  <c r="BY21" i="6" s="1"/>
  <c r="BZ21" i="6" a="1"/>
  <c r="BZ21" i="6" s="1"/>
  <c r="BG22" i="6" a="1"/>
  <c r="BG22" i="6"/>
  <c r="BH22" i="6" a="1"/>
  <c r="BH22" i="6"/>
  <c r="BI22" i="6" a="1"/>
  <c r="BI22" i="6" s="1"/>
  <c r="BJ22" i="6" a="1"/>
  <c r="BJ22" i="6"/>
  <c r="BK22" i="6" a="1"/>
  <c r="BK22" i="6"/>
  <c r="BL22" i="6" a="1"/>
  <c r="BL22" i="6" s="1"/>
  <c r="BM22" i="6" a="1"/>
  <c r="BM22" i="6" s="1"/>
  <c r="BN22" i="6" a="1"/>
  <c r="BN22" i="6" s="1"/>
  <c r="BO22" i="6" a="1"/>
  <c r="BO22" i="6" s="1"/>
  <c r="BP22" i="6" a="1"/>
  <c r="BP22" i="6" s="1"/>
  <c r="BQ22" i="6" a="1"/>
  <c r="BQ22" i="6" s="1"/>
  <c r="BR22" i="6" a="1"/>
  <c r="BR22" i="6" s="1"/>
  <c r="BS22" i="6" a="1"/>
  <c r="BS22" i="6"/>
  <c r="BT22" i="6" a="1"/>
  <c r="BT22" i="6"/>
  <c r="BU22" i="6" a="1"/>
  <c r="BU22" i="6" s="1"/>
  <c r="BV22" i="6" a="1"/>
  <c r="BV22" i="6"/>
  <c r="BW22" i="6" a="1"/>
  <c r="BW22" i="6" s="1"/>
  <c r="BX22" i="6" a="1"/>
  <c r="BX22" i="6" s="1"/>
  <c r="BY22" i="6" a="1"/>
  <c r="BY22" i="6" s="1"/>
  <c r="BZ22" i="6" a="1"/>
  <c r="BZ22" i="6" s="1"/>
  <c r="BG23" i="6" a="1"/>
  <c r="BG23" i="6" s="1"/>
  <c r="BH23" i="6" a="1"/>
  <c r="BH23" i="6" s="1"/>
  <c r="BI23" i="6" a="1"/>
  <c r="BI23" i="6" s="1"/>
  <c r="BJ23" i="6" a="1"/>
  <c r="BJ23" i="6"/>
  <c r="BK23" i="6" a="1"/>
  <c r="BK23" i="6"/>
  <c r="BL23" i="6" a="1"/>
  <c r="BL23" i="6" s="1"/>
  <c r="BM23" i="6" a="1"/>
  <c r="BM23" i="6" s="1"/>
  <c r="BN23" i="6" a="1"/>
  <c r="BN23" i="6"/>
  <c r="BO23" i="6" a="1"/>
  <c r="BO23" i="6" s="1"/>
  <c r="BP23" i="6" a="1"/>
  <c r="BP23" i="6" s="1"/>
  <c r="BQ23" i="6" a="1"/>
  <c r="BQ23" i="6" s="1"/>
  <c r="BR23" i="6" a="1"/>
  <c r="BR23" i="6" s="1"/>
  <c r="BS23" i="6" a="1"/>
  <c r="BS23" i="6"/>
  <c r="BT23" i="6" a="1"/>
  <c r="BT23" i="6" s="1"/>
  <c r="BU23" i="6" a="1"/>
  <c r="BU23" i="6" s="1"/>
  <c r="BV23" i="6" a="1"/>
  <c r="BV23" i="6"/>
  <c r="BW23" i="6" a="1"/>
  <c r="BW23" i="6"/>
  <c r="BX23" i="6" a="1"/>
  <c r="BX23" i="6" s="1"/>
  <c r="BY23" i="6" a="1"/>
  <c r="BY23" i="6" s="1"/>
  <c r="BZ23" i="6" a="1"/>
  <c r="BZ23" i="6" s="1"/>
  <c r="BG24" i="6" a="1"/>
  <c r="BG24" i="6" s="1"/>
  <c r="BH24" i="6" a="1"/>
  <c r="BH24" i="6" s="1"/>
  <c r="BI24" i="6" a="1"/>
  <c r="BI24" i="6"/>
  <c r="BJ24" i="6" a="1"/>
  <c r="BJ24" i="6" s="1"/>
  <c r="BK24" i="6" a="1"/>
  <c r="BK24" i="6" s="1"/>
  <c r="BL24" i="6" a="1"/>
  <c r="BL24" i="6" s="1"/>
  <c r="BM24" i="6" a="1"/>
  <c r="BM24" i="6"/>
  <c r="BN24" i="6" a="1"/>
  <c r="BN24" i="6" s="1"/>
  <c r="BO24" i="6" a="1"/>
  <c r="BO24" i="6" s="1"/>
  <c r="BP24" i="6" a="1"/>
  <c r="BP24" i="6"/>
  <c r="BQ24" i="6" a="1"/>
  <c r="BQ24" i="6"/>
  <c r="BR24" i="6" a="1"/>
  <c r="BR24" i="6" s="1"/>
  <c r="BS24" i="6" a="1"/>
  <c r="BS24" i="6" s="1"/>
  <c r="BT24" i="6" a="1"/>
  <c r="BT24" i="6" s="1"/>
  <c r="BU24" i="6" a="1"/>
  <c r="BU24" i="6" s="1"/>
  <c r="BV24" i="6" a="1"/>
  <c r="BV24" i="6" s="1"/>
  <c r="BW24" i="6" a="1"/>
  <c r="BW24" i="6" s="1"/>
  <c r="BX24" i="6" a="1"/>
  <c r="BX24" i="6" s="1"/>
  <c r="BY24" i="6" a="1"/>
  <c r="BY24" i="6" s="1"/>
  <c r="BZ24" i="6" a="1"/>
  <c r="BZ24" i="6" s="1"/>
  <c r="BG25" i="6" a="1"/>
  <c r="BG25" i="6" s="1"/>
  <c r="BH25" i="6" a="1"/>
  <c r="BH25" i="6" s="1"/>
  <c r="BI25" i="6" a="1"/>
  <c r="BI25" i="6" s="1"/>
  <c r="BJ25" i="6" a="1"/>
  <c r="BJ25" i="6" s="1"/>
  <c r="BK25" i="6" a="1"/>
  <c r="BK25" i="6" s="1"/>
  <c r="BL25" i="6" a="1"/>
  <c r="BL25" i="6" s="1"/>
  <c r="BM25" i="6" a="1"/>
  <c r="BM25" i="6" s="1"/>
  <c r="BN25" i="6" a="1"/>
  <c r="BN25" i="6" s="1"/>
  <c r="BO25" i="6" a="1"/>
  <c r="BO25" i="6" s="1"/>
  <c r="BP25" i="6" a="1"/>
  <c r="BP25" i="6" s="1"/>
  <c r="BQ25" i="6" a="1"/>
  <c r="BQ25" i="6" s="1"/>
  <c r="BR25" i="6" a="1"/>
  <c r="BR25" i="6" s="1"/>
  <c r="BS25" i="6" a="1"/>
  <c r="BS25" i="6" s="1"/>
  <c r="BT25" i="6" a="1"/>
  <c r="BT25" i="6" s="1"/>
  <c r="BU25" i="6" a="1"/>
  <c r="BU25" i="6" s="1"/>
  <c r="BV25" i="6" a="1"/>
  <c r="BV25" i="6" s="1"/>
  <c r="BW25" i="6" a="1"/>
  <c r="BW25" i="6" s="1"/>
  <c r="BX25" i="6" a="1"/>
  <c r="BX25" i="6" s="1"/>
  <c r="BY25" i="6" a="1"/>
  <c r="BY25" i="6" s="1"/>
  <c r="BZ25" i="6" a="1"/>
  <c r="BZ25" i="6" s="1"/>
  <c r="BG26" i="6" a="1"/>
  <c r="BG26" i="6" s="1"/>
  <c r="BH26" i="6" a="1"/>
  <c r="BH26" i="6" s="1"/>
  <c r="BI26" i="6" a="1"/>
  <c r="BI26" i="6" s="1"/>
  <c r="BJ26" i="6" a="1"/>
  <c r="BJ26" i="6" s="1"/>
  <c r="BK26" i="6" a="1"/>
  <c r="BK26" i="6" s="1"/>
  <c r="BL26" i="6" a="1"/>
  <c r="BL26" i="6" s="1"/>
  <c r="BM26" i="6" a="1"/>
  <c r="BM26" i="6" s="1"/>
  <c r="BN26" i="6" a="1"/>
  <c r="BN26" i="6" s="1"/>
  <c r="BO26" i="6" a="1"/>
  <c r="BO26" i="6" s="1"/>
  <c r="BP26" i="6" a="1"/>
  <c r="BP26" i="6" s="1"/>
  <c r="BQ26" i="6" a="1"/>
  <c r="BQ26" i="6" s="1"/>
  <c r="BR26" i="6" a="1"/>
  <c r="BR26" i="6" s="1"/>
  <c r="BS26" i="6" a="1"/>
  <c r="BS26" i="6" s="1"/>
  <c r="BT26" i="6" a="1"/>
  <c r="BT26" i="6" s="1"/>
  <c r="BU26" i="6" a="1"/>
  <c r="BU26" i="6" s="1"/>
  <c r="BV26" i="6" a="1"/>
  <c r="BV26" i="6" s="1"/>
  <c r="BW26" i="6" a="1"/>
  <c r="BW26" i="6" s="1"/>
  <c r="BX26" i="6" a="1"/>
  <c r="BX26" i="6" s="1"/>
  <c r="BY26" i="6" a="1"/>
  <c r="BY26" i="6" s="1"/>
  <c r="BZ26" i="6" a="1"/>
  <c r="BZ26" i="6" s="1"/>
  <c r="BG27" i="6" a="1"/>
  <c r="BG27" i="6" s="1"/>
  <c r="BH27" i="6" a="1"/>
  <c r="BH27" i="6" s="1"/>
  <c r="BI27" i="6" a="1"/>
  <c r="BI27" i="6" s="1"/>
  <c r="BJ27" i="6" a="1"/>
  <c r="BJ27" i="6" s="1"/>
  <c r="BK27" i="6" a="1"/>
  <c r="BK27" i="6" s="1"/>
  <c r="BL27" i="6" a="1"/>
  <c r="BL27" i="6" s="1"/>
  <c r="BM27" i="6" a="1"/>
  <c r="BM27" i="6" s="1"/>
  <c r="BN27" i="6" a="1"/>
  <c r="BN27" i="6" s="1"/>
  <c r="BO27" i="6" a="1"/>
  <c r="BO27" i="6" s="1"/>
  <c r="BP27" i="6" a="1"/>
  <c r="BP27" i="6" s="1"/>
  <c r="BQ27" i="6" a="1"/>
  <c r="BQ27" i="6" s="1"/>
  <c r="BR27" i="6" a="1"/>
  <c r="BR27" i="6" s="1"/>
  <c r="BS27" i="6" a="1"/>
  <c r="BS27" i="6" s="1"/>
  <c r="BT27" i="6" a="1"/>
  <c r="BT27" i="6" s="1"/>
  <c r="BU27" i="6" a="1"/>
  <c r="BU27" i="6" s="1"/>
  <c r="BV27" i="6" a="1"/>
  <c r="BV27" i="6" s="1"/>
  <c r="BW27" i="6" a="1"/>
  <c r="BW27" i="6" s="1"/>
  <c r="BX27" i="6" a="1"/>
  <c r="BX27" i="6" s="1"/>
  <c r="BY27" i="6" a="1"/>
  <c r="BY27" i="6" s="1"/>
  <c r="BZ27" i="6" a="1"/>
  <c r="BZ27" i="6" s="1"/>
  <c r="BG28" i="6" a="1"/>
  <c r="BG28" i="6" s="1"/>
  <c r="BH28" i="6" a="1"/>
  <c r="BH28" i="6" s="1"/>
  <c r="BI28" i="6" a="1"/>
  <c r="BI28" i="6" s="1"/>
  <c r="BJ28" i="6" a="1"/>
  <c r="BJ28" i="6" s="1"/>
  <c r="BK28" i="6" a="1"/>
  <c r="BK28" i="6" s="1"/>
  <c r="BL28" i="6" a="1"/>
  <c r="BL28" i="6" s="1"/>
  <c r="BM28" i="6" a="1"/>
  <c r="BM28" i="6" s="1"/>
  <c r="BN28" i="6" a="1"/>
  <c r="BN28" i="6" s="1"/>
  <c r="BO28" i="6" a="1"/>
  <c r="BO28" i="6" s="1"/>
  <c r="BP28" i="6" a="1"/>
  <c r="BP28" i="6" s="1"/>
  <c r="BQ28" i="6" a="1"/>
  <c r="BQ28" i="6" s="1"/>
  <c r="BR28" i="6" a="1"/>
  <c r="BR28" i="6" s="1"/>
  <c r="BS28" i="6" a="1"/>
  <c r="BS28" i="6" s="1"/>
  <c r="BT28" i="6" a="1"/>
  <c r="BT28" i="6" s="1"/>
  <c r="BU28" i="6" a="1"/>
  <c r="BU28" i="6" s="1"/>
  <c r="BV28" i="6" a="1"/>
  <c r="BV28" i="6" s="1"/>
  <c r="BW28" i="6" a="1"/>
  <c r="BW28" i="6" s="1"/>
  <c r="BX28" i="6" a="1"/>
  <c r="BX28" i="6" s="1"/>
  <c r="BY28" i="6" a="1"/>
  <c r="BY28" i="6" s="1"/>
  <c r="BZ28" i="6" a="1"/>
  <c r="BZ28" i="6" s="1"/>
  <c r="BF10" i="6" a="1"/>
  <c r="BF10" i="6" s="1"/>
  <c r="BF11" i="6" a="1"/>
  <c r="BF11" i="6" s="1"/>
  <c r="BF12" i="6" a="1"/>
  <c r="BF12" i="6" s="1"/>
  <c r="BF13" i="6" a="1"/>
  <c r="BF13" i="6" s="1"/>
  <c r="BF14" i="6" a="1"/>
  <c r="BF14" i="6" s="1"/>
  <c r="BF15" i="6" a="1"/>
  <c r="BF15" i="6" s="1"/>
  <c r="BF16" i="6" a="1"/>
  <c r="BF16" i="6" s="1"/>
  <c r="BF17" i="6" a="1"/>
  <c r="BF17" i="6" s="1"/>
  <c r="BF18" i="6" a="1"/>
  <c r="BF18" i="6" s="1"/>
  <c r="BF19" i="6" a="1"/>
  <c r="BF19" i="6" s="1"/>
  <c r="BF20" i="6" a="1"/>
  <c r="BF20" i="6" s="1"/>
  <c r="BF21" i="6" a="1"/>
  <c r="BF21" i="6" s="1"/>
  <c r="BF22" i="6" a="1"/>
  <c r="BF22" i="6" s="1"/>
  <c r="BF23" i="6" a="1"/>
  <c r="BF23" i="6" s="1"/>
  <c r="BF24" i="6" a="1"/>
  <c r="BF24" i="6" s="1"/>
  <c r="BF25" i="6" a="1"/>
  <c r="BF25" i="6" s="1"/>
  <c r="BF26" i="6" a="1"/>
  <c r="BF26" i="6" s="1"/>
  <c r="BF27" i="6" a="1"/>
  <c r="BF27" i="6" s="1"/>
  <c r="BF28" i="6" a="1"/>
  <c r="BF28" i="6" s="1"/>
  <c r="BC12" i="5" a="1"/>
  <c r="BC12" i="5" s="1"/>
  <c r="BF13" i="5" a="1"/>
  <c r="BF13" i="5"/>
  <c r="BE14" i="5" a="1"/>
  <c r="BE14" i="5" s="1"/>
  <c r="BG16" i="5" a="1"/>
  <c r="BG16" i="5" s="1"/>
  <c r="BD17" i="5" a="1"/>
  <c r="BD17" i="5" s="1"/>
  <c r="F7" i="8"/>
  <c r="BD10" i="6"/>
  <c r="BD11" i="6"/>
  <c r="BD12" i="6"/>
  <c r="BD13" i="6"/>
  <c r="BD14" i="6"/>
  <c r="BD15" i="6"/>
  <c r="BD16" i="6"/>
  <c r="BD17" i="6"/>
  <c r="BD18" i="6"/>
  <c r="BD19" i="6"/>
  <c r="BD20" i="6"/>
  <c r="BD21" i="6"/>
  <c r="BD22" i="6"/>
  <c r="BD23" i="6"/>
  <c r="BD24" i="6"/>
  <c r="BD25" i="6"/>
  <c r="BD26" i="6"/>
  <c r="BD27" i="6"/>
  <c r="BD28" i="6"/>
  <c r="BD9" i="6"/>
  <c r="BA7" i="6"/>
  <c r="BE11" i="5" a="1"/>
  <c r="BE11" i="5" s="1"/>
  <c r="BG17" i="5" a="1"/>
  <c r="BG17" i="5" s="1"/>
  <c r="BH17" i="5" a="1"/>
  <c r="BH17" i="5" s="1"/>
  <c r="BF17" i="5" a="1"/>
  <c r="BF17" i="5" s="1"/>
  <c r="BA11" i="5" a="1"/>
  <c r="BA11" i="5" s="1"/>
  <c r="BH13" i="5" a="1"/>
  <c r="BH13" i="5" s="1"/>
  <c r="BD13" i="5" a="1"/>
  <c r="BD13" i="5" s="1"/>
  <c r="BA13" i="5" a="1"/>
  <c r="BA13" i="5" s="1"/>
  <c r="AW13" i="5" a="1"/>
  <c r="AW13" i="5" s="1"/>
  <c r="AW18" i="5" a="1"/>
  <c r="AW18" i="5" s="1"/>
  <c r="D20" i="2"/>
  <c r="G40" i="9"/>
  <c r="BA14" i="5" a="1"/>
  <c r="BA14" i="5"/>
  <c r="AY18" i="5" a="1"/>
  <c r="AY18" i="5" s="1"/>
  <c r="BE18" i="5" a="1"/>
  <c r="BE18" i="5" s="1"/>
  <c r="AX18" i="5" a="1"/>
  <c r="AX18" i="5" s="1"/>
  <c r="BA10" i="5" a="1"/>
  <c r="BA10" i="5" s="1"/>
  <c r="BC10" i="5" a="1"/>
  <c r="BC10" i="5" s="1"/>
  <c r="BF41" i="6" a="1"/>
  <c r="BF41" i="6" s="1"/>
  <c r="BG43" i="6" a="1"/>
  <c r="BG43" i="6" s="1"/>
  <c r="BC14" i="5" a="1"/>
  <c r="BC14" i="5" s="1"/>
  <c r="BB14" i="5" a="1"/>
  <c r="BB14" i="5" s="1"/>
  <c r="AM13" i="6" a="1"/>
  <c r="AM13" i="6" s="1"/>
  <c r="AN10" i="6" a="1"/>
  <c r="AN10" i="6" s="1"/>
  <c r="Y10" i="5"/>
  <c r="Y19" i="5"/>
  <c r="BC13" i="5" a="1"/>
  <c r="BC13" i="5" s="1"/>
  <c r="BB13" i="5" a="1"/>
  <c r="BB13" i="5" s="1"/>
  <c r="AG15" i="5"/>
  <c r="Z17" i="5"/>
  <c r="Y18" i="5"/>
  <c r="AZ13" i="5" a="1"/>
  <c r="AZ13" i="5" s="1"/>
  <c r="AZ11" i="5" a="1"/>
  <c r="AZ11" i="5" s="1"/>
  <c r="BG11" i="5" a="1"/>
  <c r="BG11" i="5" s="1"/>
  <c r="AW11" i="5" a="1"/>
  <c r="AW11" i="5" s="1"/>
  <c r="AZ14" i="5" a="1"/>
  <c r="AZ14" i="5" s="1"/>
  <c r="BG14" i="5" a="1"/>
  <c r="BG14" i="5" s="1"/>
  <c r="BD14" i="5" a="1"/>
  <c r="BD14" i="5"/>
  <c r="AO33" i="5" a="1"/>
  <c r="AO33" i="5" s="1"/>
  <c r="AG12" i="5"/>
  <c r="Y14" i="5"/>
  <c r="AW14" i="5" a="1"/>
  <c r="AW14" i="5"/>
  <c r="AY14" i="5" a="1"/>
  <c r="AY14" i="5" s="1"/>
  <c r="AW15" i="5" a="1"/>
  <c r="AW15" i="5" s="1"/>
  <c r="BF11" i="5" a="1"/>
  <c r="BF11" i="5" s="1"/>
  <c r="BH12" i="5" a="1"/>
  <c r="BH12" i="5" s="1"/>
  <c r="AO42" i="5" a="1"/>
  <c r="AO42" i="5" s="1"/>
  <c r="AG21" i="5"/>
  <c r="Y15" i="5"/>
  <c r="Z15" i="5"/>
  <c r="Z18" i="5"/>
  <c r="Z19" i="5"/>
  <c r="Z10" i="5"/>
  <c r="Y11" i="5"/>
  <c r="Z11" i="5"/>
  <c r="BB10" i="5" l="1" a="1"/>
  <c r="BB10" i="5" s="1"/>
  <c r="AW10" i="5" a="1"/>
  <c r="AW10" i="5" s="1"/>
  <c r="BD10" i="5" a="1"/>
  <c r="BD10" i="5" s="1"/>
  <c r="AE16" i="5"/>
  <c r="AX10" i="5" a="1"/>
  <c r="AX10" i="5" s="1"/>
  <c r="BG10" i="5" a="1"/>
  <c r="BG10" i="5" s="1"/>
  <c r="BE20" i="5" a="1"/>
  <c r="BE20" i="5" s="1"/>
  <c r="AX19" i="5" a="1"/>
  <c r="AX19" i="5" s="1"/>
  <c r="AE13" i="5"/>
  <c r="AY10" i="5" a="1"/>
  <c r="AY10" i="5" s="1"/>
  <c r="BF10" i="5" a="1"/>
  <c r="BF10" i="5" s="1"/>
  <c r="BE13" i="5" a="1"/>
  <c r="BE13" i="5" s="1"/>
  <c r="BE10" i="5" a="1"/>
  <c r="BE10" i="5" s="1"/>
  <c r="BF20" i="5" a="1"/>
  <c r="BF20" i="5" s="1"/>
  <c r="AZ10" i="5" a="1"/>
  <c r="AZ10" i="5" s="1"/>
  <c r="AE10" i="5"/>
  <c r="BH14" i="5" a="1"/>
  <c r="BH14" i="5" s="1"/>
  <c r="AY13" i="5" a="1"/>
  <c r="AY13" i="5" s="1"/>
  <c r="BA18" i="5" a="1"/>
  <c r="BA18" i="5" s="1"/>
  <c r="AE20" i="5"/>
  <c r="BC18" i="5" a="1"/>
  <c r="BC18" i="5" s="1"/>
  <c r="BH18" i="5" a="1"/>
  <c r="BH18" i="5" s="1"/>
  <c r="AY17" i="5" a="1"/>
  <c r="AY17" i="5" s="1"/>
  <c r="AX17" i="5" a="1"/>
  <c r="AX17" i="5" s="1"/>
  <c r="BA20" i="5" a="1"/>
  <c r="BA20" i="5" s="1"/>
  <c r="AX14" i="5" a="1"/>
  <c r="AX14" i="5" s="1"/>
  <c r="BD18" i="5" a="1"/>
  <c r="BD18" i="5" s="1"/>
  <c r="BB15" i="5" a="1"/>
  <c r="BB15" i="5" s="1"/>
  <c r="BD15" i="5" a="1"/>
  <c r="BD15" i="5" s="1"/>
  <c r="BB18" i="5" a="1"/>
  <c r="BB18" i="5" s="1"/>
  <c r="BG13" i="5" a="1"/>
  <c r="BG13" i="5" s="1"/>
  <c r="BE17" i="5" a="1"/>
  <c r="BE17" i="5" s="1"/>
  <c r="BB17" i="5" a="1"/>
  <c r="BB17" i="5" s="1"/>
  <c r="BG18" i="5" a="1"/>
  <c r="BG18" i="5" s="1"/>
  <c r="AZ18" i="5" a="1"/>
  <c r="AZ18" i="5" s="1"/>
  <c r="AZ17" i="5" a="1"/>
  <c r="AZ17" i="5" s="1"/>
  <c r="BC17" i="5" a="1"/>
  <c r="BC17" i="5" s="1"/>
  <c r="BA17" i="5" a="1"/>
  <c r="BA17" i="5" s="1"/>
  <c r="AM12" i="6" a="1"/>
  <c r="AM12" i="6" s="1"/>
  <c r="AN14" i="6" a="1"/>
  <c r="AN14" i="6" s="1"/>
  <c r="AM14" i="6" a="1"/>
  <c r="AM14" i="6" s="1"/>
  <c r="BC21" i="5" a="1"/>
  <c r="BC21" i="5" s="1"/>
  <c r="AM18" i="6" a="1"/>
  <c r="AM18" i="6" s="1"/>
  <c r="AM23" i="6" a="1"/>
  <c r="AM23" i="6" s="1"/>
  <c r="AM27" i="6" a="1"/>
  <c r="AM27" i="6" s="1"/>
  <c r="AM16" i="6" a="1"/>
  <c r="AM16" i="6" s="1"/>
  <c r="AO37" i="5" a="1"/>
  <c r="AO37" i="5" s="1"/>
  <c r="AG16" i="5" s="1"/>
  <c r="AH16" i="5" s="1"/>
  <c r="AN16" i="6" a="1"/>
  <c r="AN16" i="6" s="1"/>
  <c r="BG51" i="6" a="1"/>
  <c r="BG51" i="6" s="1"/>
  <c r="CH9" i="6" a="1"/>
  <c r="CH17" i="6" s="1"/>
  <c r="AW28" i="6"/>
  <c r="AN20" i="6" a="1"/>
  <c r="AN20" i="6" s="1"/>
  <c r="AM7" i="6" a="1"/>
  <c r="AM7" i="6" s="1"/>
  <c r="BF47" i="6" a="1"/>
  <c r="BF47" i="6" s="1"/>
  <c r="AN26" i="6" a="1"/>
  <c r="AN26" i="6" s="1"/>
  <c r="AM15" i="6" a="1"/>
  <c r="AM15" i="6" s="1"/>
  <c r="AM10" i="6" a="1"/>
  <c r="AM10" i="6" s="1"/>
  <c r="BF43" i="6" a="1"/>
  <c r="BF43" i="6" s="1"/>
  <c r="BH21" i="5" a="1"/>
  <c r="BH21" i="5" s="1"/>
  <c r="BF46" i="6" a="1"/>
  <c r="BF46" i="6" s="1"/>
  <c r="BG46" i="6" a="1"/>
  <c r="BG46" i="6" s="1"/>
  <c r="AY21" i="5" a="1"/>
  <c r="AY21" i="5" s="1"/>
  <c r="BG52" i="6" a="1"/>
  <c r="BG52" i="6" s="1"/>
  <c r="BF44" i="6" a="1"/>
  <c r="BF44" i="6" s="1"/>
  <c r="BF37" i="6" a="1"/>
  <c r="BF37" i="6" s="1"/>
  <c r="BG55" i="6" a="1"/>
  <c r="BG55" i="6" s="1"/>
  <c r="AN19" i="6" a="1"/>
  <c r="AN19" i="6" s="1"/>
  <c r="AN28" i="6" a="1"/>
  <c r="AN28" i="6" s="1"/>
  <c r="BF56" i="6" a="1"/>
  <c r="BF56" i="6" s="1"/>
  <c r="BF21" i="5" a="1"/>
  <c r="BF21" i="5" s="1"/>
  <c r="AM11" i="6" a="1"/>
  <c r="AM11" i="6" s="1"/>
  <c r="AW10" i="6"/>
  <c r="BF38" i="6" a="1"/>
  <c r="BF38" i="6" s="1"/>
  <c r="BB21" i="5" a="1"/>
  <c r="BB21" i="5" s="1"/>
  <c r="BA19" i="5" a="1"/>
  <c r="BA19" i="5" s="1"/>
  <c r="AX15" i="5" a="1"/>
  <c r="AX15" i="5" s="1"/>
  <c r="AN17" i="6" a="1"/>
  <c r="AN17" i="6" s="1"/>
  <c r="AN25" i="6" a="1"/>
  <c r="AN25" i="6" s="1"/>
  <c r="BF50" i="6" a="1"/>
  <c r="BF50" i="6" s="1"/>
  <c r="BG42" i="6" a="1"/>
  <c r="BG42" i="6" s="1"/>
  <c r="BC19" i="5" a="1"/>
  <c r="BC19" i="5" s="1"/>
  <c r="BA8" i="6"/>
  <c r="CE9" i="6" a="1"/>
  <c r="CE18" i="6" s="1"/>
  <c r="AW14" i="6"/>
  <c r="BG47" i="6" a="1"/>
  <c r="BG47" i="6" s="1"/>
  <c r="BI37" i="6" a="1"/>
  <c r="BI43" i="6" s="1"/>
  <c r="BG37" i="6" a="1"/>
  <c r="BG37" i="6" s="1"/>
  <c r="AZ21" i="5" a="1"/>
  <c r="AZ21" i="5" s="1"/>
  <c r="AN7" i="6" a="1"/>
  <c r="AN7" i="6" s="1"/>
  <c r="AM26" i="6" a="1"/>
  <c r="AM26" i="6" s="1"/>
  <c r="BF19" i="5" a="1"/>
  <c r="BF19" i="5" s="1"/>
  <c r="BF40" i="6" a="1"/>
  <c r="BF40" i="6" s="1"/>
  <c r="AM9" i="6" a="1"/>
  <c r="AM9" i="6" s="1"/>
  <c r="AM17" i="6" a="1"/>
  <c r="AM17" i="6" s="1"/>
  <c r="BA15" i="5" a="1"/>
  <c r="BA15" i="5" s="1"/>
  <c r="BE21" i="5" a="1"/>
  <c r="BE21" i="5" s="1"/>
  <c r="AM24" i="6" a="1"/>
  <c r="AM24" i="6" s="1"/>
  <c r="BF42" i="6" a="1"/>
  <c r="BF42" i="6" s="1"/>
  <c r="BF54" i="6" a="1"/>
  <c r="BF54" i="6" s="1"/>
  <c r="AW23" i="6"/>
  <c r="BF48" i="6" a="1"/>
  <c r="BF48" i="6" s="1"/>
  <c r="BG40" i="6" a="1"/>
  <c r="BG40" i="6" s="1"/>
  <c r="AW21" i="5" a="1"/>
  <c r="AW21" i="5" s="1"/>
  <c r="BF49" i="6" a="1"/>
  <c r="BF49" i="6" s="1"/>
  <c r="BG45" i="6" a="1"/>
  <c r="BG45" i="6" s="1"/>
  <c r="BG57" i="6" a="1"/>
  <c r="BG57" i="6" s="1"/>
  <c r="BA21" i="5" a="1"/>
  <c r="BA21" i="5" s="1"/>
  <c r="BG21" i="5" a="1"/>
  <c r="BG21" i="5" s="1"/>
  <c r="AW18" i="6"/>
  <c r="Z10" i="9" a="1"/>
  <c r="Z10" i="9" s="1"/>
  <c r="AY19" i="5" a="1"/>
  <c r="AY19" i="5" s="1"/>
  <c r="BF52" i="6" a="1"/>
  <c r="BF52" i="6" s="1"/>
  <c r="BF55" i="6" a="1"/>
  <c r="BF55" i="6" s="1"/>
  <c r="BA9" i="6" a="1"/>
  <c r="BA9" i="6" s="1"/>
  <c r="BA10" i="6" s="1"/>
  <c r="BA11" i="6" s="1"/>
  <c r="E10" i="7" s="1"/>
  <c r="H9" i="7" s="1"/>
  <c r="AM21" i="6" a="1"/>
  <c r="AM21" i="6" s="1"/>
  <c r="BF39" i="6" a="1"/>
  <c r="BF39" i="6" s="1"/>
  <c r="AN9" i="6" a="1"/>
  <c r="AN9" i="6" s="1"/>
  <c r="AN18" i="6" a="1"/>
  <c r="AN18" i="6" s="1"/>
  <c r="BD19" i="5" a="1"/>
  <c r="BD19" i="5" s="1"/>
  <c r="AM22" i="6" a="1"/>
  <c r="AM22" i="6" s="1"/>
  <c r="AM19" i="6" a="1"/>
  <c r="AM19" i="6" s="1"/>
  <c r="BF53" i="6" a="1"/>
  <c r="BF53" i="6" s="1"/>
  <c r="BG49" i="6" a="1"/>
  <c r="BG49" i="6" s="1"/>
  <c r="AX21" i="5" a="1"/>
  <c r="AX21" i="5" s="1"/>
  <c r="BG48" i="6" a="1"/>
  <c r="BG48" i="6" s="1"/>
  <c r="AM25" i="6" a="1"/>
  <c r="AM25" i="6" s="1"/>
  <c r="AN22" i="6" a="1"/>
  <c r="AN22" i="6" s="1"/>
  <c r="AN15" i="6" a="1"/>
  <c r="AN15" i="6" s="1"/>
  <c r="BG53" i="6" a="1"/>
  <c r="BG53" i="6" s="1"/>
  <c r="AM20" i="6" a="1"/>
  <c r="AM20" i="6" s="1"/>
  <c r="AM28" i="6" a="1"/>
  <c r="AM28" i="6" s="1"/>
  <c r="AN11" i="6" a="1"/>
  <c r="AN11" i="6" s="1"/>
  <c r="AN12" i="6" a="1"/>
  <c r="AN12" i="6" s="1"/>
  <c r="CE26" i="6"/>
  <c r="AP42" i="5" a="1"/>
  <c r="AP42" i="5" s="1"/>
  <c r="AF21" i="5" s="1"/>
  <c r="AH21" i="5" s="1"/>
  <c r="CE21" i="6"/>
  <c r="CG9" i="6" a="1"/>
  <c r="AP33" i="5" a="1"/>
  <c r="AP33" i="5" s="1"/>
  <c r="AF12" i="5" s="1"/>
  <c r="AH12" i="5" s="1"/>
  <c r="AW12" i="6"/>
  <c r="CF9" i="6" a="1"/>
  <c r="K16" i="3"/>
  <c r="AB11" i="9" a="1"/>
  <c r="AB11" i="9" s="1"/>
  <c r="AB16" i="9" s="1"/>
  <c r="AA11" i="9" a="1"/>
  <c r="AA11" i="9" s="1"/>
  <c r="AP32" i="5" a="1"/>
  <c r="AP32" i="5" s="1"/>
  <c r="AF11" i="5" s="1"/>
  <c r="AH11" i="5" s="1"/>
  <c r="K14" i="3"/>
  <c r="G7" i="1" s="1"/>
  <c r="G14" i="1"/>
  <c r="AP31" i="5" a="1"/>
  <c r="AP31" i="5" s="1"/>
  <c r="AF10" i="5" s="1"/>
  <c r="AH10" i="5" s="1"/>
  <c r="K17" i="3"/>
  <c r="G38" i="9"/>
  <c r="G7" i="9"/>
  <c r="AE17" i="9"/>
  <c r="P17" i="9" s="1"/>
  <c r="O17" i="9" s="1"/>
  <c r="F37" i="9"/>
  <c r="K7" i="9" s="1"/>
  <c r="AO34" i="5" a="1"/>
  <c r="AO34" i="5" s="1"/>
  <c r="AG13" i="5" s="1"/>
  <c r="AP34" i="5" a="1"/>
  <c r="AP34" i="5" s="1"/>
  <c r="AF13" i="5" s="1"/>
  <c r="AH13" i="5" s="1"/>
  <c r="AP36" i="5" a="1"/>
  <c r="AP36" i="5" s="1"/>
  <c r="AF15" i="5" s="1"/>
  <c r="AH15" i="5" s="1"/>
  <c r="BB16" i="5" a="1"/>
  <c r="BB16" i="5" s="1"/>
  <c r="BA16" i="5" a="1"/>
  <c r="BA16" i="5" s="1"/>
  <c r="AZ16" i="5" a="1"/>
  <c r="AZ16" i="5" s="1"/>
  <c r="BH16" i="5" a="1"/>
  <c r="BH16" i="5" s="1"/>
  <c r="AY16" i="5" a="1"/>
  <c r="AY16" i="5" s="1"/>
  <c r="BE16" i="5" a="1"/>
  <c r="BE16" i="5" s="1"/>
  <c r="BF16" i="5" a="1"/>
  <c r="BF16" i="5" s="1"/>
  <c r="BC16" i="5" a="1"/>
  <c r="BC16" i="5" s="1"/>
  <c r="BD16" i="5" a="1"/>
  <c r="BD16" i="5" s="1"/>
  <c r="AW16" i="5" a="1"/>
  <c r="AW16" i="5" s="1"/>
  <c r="AX16" i="5" a="1"/>
  <c r="AX16" i="5" s="1"/>
  <c r="AW12" i="5" a="1"/>
  <c r="AW12" i="5" s="1"/>
  <c r="BA12" i="5" a="1"/>
  <c r="BA12" i="5" s="1"/>
  <c r="AZ12" i="5" a="1"/>
  <c r="AZ12" i="5" s="1"/>
  <c r="BD12" i="5" a="1"/>
  <c r="BD12" i="5" s="1"/>
  <c r="BB12" i="5" a="1"/>
  <c r="BB12" i="5" s="1"/>
  <c r="BF12" i="5" a="1"/>
  <c r="BF12" i="5" s="1"/>
  <c r="AX12" i="5" a="1"/>
  <c r="AX12" i="5" s="1"/>
  <c r="AS9" i="5"/>
  <c r="BE12" i="5" a="1"/>
  <c r="BE12" i="5" s="1"/>
  <c r="BG12" i="5" a="1"/>
  <c r="BG12" i="5" s="1"/>
  <c r="AW20" i="5" a="1"/>
  <c r="AW20" i="5" s="1"/>
  <c r="AZ20" i="5" a="1"/>
  <c r="AZ20" i="5" s="1"/>
  <c r="AY20" i="5" a="1"/>
  <c r="AY20" i="5" s="1"/>
  <c r="BB20" i="5" a="1"/>
  <c r="BB20" i="5" s="1"/>
  <c r="BH20" i="5" a="1"/>
  <c r="BH20" i="5" s="1"/>
  <c r="BD20" i="5" a="1"/>
  <c r="BD20" i="5" s="1"/>
  <c r="AX20" i="5" a="1"/>
  <c r="AX20" i="5" s="1"/>
  <c r="AY12" i="5" a="1"/>
  <c r="AY12" i="5" s="1"/>
  <c r="BC20" i="5" a="1"/>
  <c r="BC20" i="5" s="1"/>
  <c r="AO35" i="5" a="1"/>
  <c r="AO35" i="5" s="1"/>
  <c r="AG14" i="5" s="1"/>
  <c r="AP38" i="5" a="1"/>
  <c r="AP38" i="5" s="1"/>
  <c r="AF17" i="5" s="1"/>
  <c r="AH17" i="5" s="1"/>
  <c r="AP39" i="5" a="1"/>
  <c r="AP39" i="5" s="1"/>
  <c r="AF18" i="5" s="1"/>
  <c r="AH18" i="5" s="1"/>
  <c r="AO40" i="5" a="1"/>
  <c r="AO40" i="5" s="1"/>
  <c r="AG19" i="5" s="1"/>
  <c r="AP41" i="5" a="1"/>
  <c r="AP41" i="5" s="1"/>
  <c r="AF20" i="5" s="1"/>
  <c r="AH20" i="5" s="1"/>
  <c r="BD11" i="5" a="1"/>
  <c r="BD11" i="5" s="1"/>
  <c r="BH15" i="5" a="1"/>
  <c r="BH15" i="5" s="1"/>
  <c r="BF15" i="5" a="1"/>
  <c r="BF15" i="5" s="1"/>
  <c r="AY15" i="5" a="1"/>
  <c r="AY15" i="5" s="1"/>
  <c r="BH11" i="5" a="1"/>
  <c r="BH11" i="5" s="1"/>
  <c r="BE15" i="5" a="1"/>
  <c r="BE15" i="5" s="1"/>
  <c r="AY11" i="5" a="1"/>
  <c r="AY11" i="5" s="1"/>
  <c r="BB19" i="5" a="1"/>
  <c r="BB19" i="5" s="1"/>
  <c r="BG19" i="5" a="1"/>
  <c r="BG19" i="5" s="1"/>
  <c r="BE19" i="5" a="1"/>
  <c r="BE19" i="5" s="1"/>
  <c r="AP40" i="5" a="1"/>
  <c r="AP40" i="5" s="1"/>
  <c r="AF19" i="5" s="1"/>
  <c r="AP35" i="5" a="1"/>
  <c r="AP35" i="5" s="1"/>
  <c r="AF14" i="5" s="1"/>
  <c r="AH14" i="5" s="1"/>
  <c r="AW19" i="5" a="1"/>
  <c r="AW19" i="5" s="1"/>
  <c r="BC15" i="5" a="1"/>
  <c r="BC15" i="5" s="1"/>
  <c r="BB11" i="5" a="1"/>
  <c r="BB11" i="5" s="1"/>
  <c r="AX11" i="5" a="1"/>
  <c r="AX11" i="5" s="1"/>
  <c r="BG15" i="5" a="1"/>
  <c r="BG15" i="5" s="1"/>
  <c r="AZ19" i="5" a="1"/>
  <c r="AZ19" i="5" s="1"/>
  <c r="E9" i="7"/>
  <c r="G11" i="7"/>
  <c r="E11" i="7"/>
  <c r="F11" i="7"/>
  <c r="H11" i="7"/>
  <c r="C30" i="2"/>
  <c r="Z21" i="5"/>
  <c r="Y13" i="5"/>
  <c r="Z16" i="5"/>
  <c r="Z8" i="5"/>
  <c r="Y8" i="5" s="1"/>
  <c r="G9" i="1" s="1"/>
  <c r="Y20" i="5"/>
  <c r="P28" i="9"/>
  <c r="O28" i="9" s="1"/>
  <c r="G8" i="1"/>
  <c r="P33" i="9"/>
  <c r="G37" i="9"/>
  <c r="F7" i="9"/>
  <c r="O32" i="9"/>
  <c r="P32" i="9" s="1"/>
  <c r="Z9" i="9"/>
  <c r="AE13" i="9"/>
  <c r="P13" i="9" s="1"/>
  <c r="O13" i="9" s="1"/>
  <c r="AE21" i="9"/>
  <c r="P21" i="9" s="1"/>
  <c r="O21" i="9" s="1"/>
  <c r="AE14" i="9"/>
  <c r="P14" i="9" s="1"/>
  <c r="O14" i="9" s="1"/>
  <c r="AE25" i="9"/>
  <c r="P25" i="9" s="1"/>
  <c r="O25" i="9" s="1"/>
  <c r="AE23" i="9"/>
  <c r="P23" i="9" s="1"/>
  <c r="O23" i="9" s="1"/>
  <c r="AE18" i="9"/>
  <c r="P18" i="9" s="1"/>
  <c r="O18" i="9" s="1"/>
  <c r="AE15" i="9"/>
  <c r="P15" i="9" s="1"/>
  <c r="O15" i="9" s="1"/>
  <c r="AE9" i="9"/>
  <c r="P9" i="9" s="1"/>
  <c r="O9" i="9" s="1"/>
  <c r="C32" i="2"/>
  <c r="C22" i="2"/>
  <c r="D22" i="2" s="1"/>
  <c r="D21" i="2"/>
  <c r="AE24" i="9"/>
  <c r="P24" i="9" s="1"/>
  <c r="O24" i="9" s="1"/>
  <c r="AE16" i="9"/>
  <c r="P16" i="9" s="1"/>
  <c r="O16" i="9" s="1"/>
  <c r="C21" i="2"/>
  <c r="AE11" i="9"/>
  <c r="P11" i="9" s="1"/>
  <c r="O11" i="9" s="1"/>
  <c r="AE20" i="9"/>
  <c r="P20" i="9" s="1"/>
  <c r="O20" i="9" s="1"/>
  <c r="AE10" i="9"/>
  <c r="P10" i="9" s="1"/>
  <c r="O10" i="9" s="1"/>
  <c r="AE19" i="9"/>
  <c r="P19" i="9" s="1"/>
  <c r="O19" i="9" s="1"/>
  <c r="AE12" i="9"/>
  <c r="P12" i="9" s="1"/>
  <c r="O12" i="9" s="1"/>
  <c r="AE27" i="9"/>
  <c r="P27" i="9" s="1"/>
  <c r="O27" i="9" s="1"/>
  <c r="AE22" i="9"/>
  <c r="P22" i="9" s="1"/>
  <c r="O22" i="9" s="1"/>
  <c r="AE26" i="9"/>
  <c r="P26" i="9" s="1"/>
  <c r="O26" i="9" s="1"/>
  <c r="AH19" i="5" l="1"/>
  <c r="G9" i="7"/>
  <c r="BA12" i="6" a="1"/>
  <c r="BA12" i="6" s="1"/>
  <c r="F10" i="7" s="1"/>
  <c r="F9" i="7" s="1"/>
  <c r="G11" i="1" s="1"/>
  <c r="CE14" i="6"/>
  <c r="BI39" i="6"/>
  <c r="BI47" i="6"/>
  <c r="BI37" i="6"/>
  <c r="BI52" i="6"/>
  <c r="BI45" i="6"/>
  <c r="BI54" i="6"/>
  <c r="BI50" i="6"/>
  <c r="BI48" i="6"/>
  <c r="BI53" i="6"/>
  <c r="BI56" i="6"/>
  <c r="BI40" i="6"/>
  <c r="BI51" i="6"/>
  <c r="BI42" i="6"/>
  <c r="BI44" i="6"/>
  <c r="BI41" i="6"/>
  <c r="BI38" i="6"/>
  <c r="BI49" i="6"/>
  <c r="BI55" i="6"/>
  <c r="BI57" i="6"/>
  <c r="CE15" i="6"/>
  <c r="CE23" i="6"/>
  <c r="CE17" i="6"/>
  <c r="CE13" i="6"/>
  <c r="BI46" i="6"/>
  <c r="CE22" i="6"/>
  <c r="CE10" i="6"/>
  <c r="CE24" i="6"/>
  <c r="CE16" i="6"/>
  <c r="CE11" i="6"/>
  <c r="CE9" i="6"/>
  <c r="CE20" i="6"/>
  <c r="CE28" i="6"/>
  <c r="CE12" i="6"/>
  <c r="CE19" i="6"/>
  <c r="CH18" i="6"/>
  <c r="CH20" i="6"/>
  <c r="CE27" i="6"/>
  <c r="CE25" i="6"/>
  <c r="Z14" i="9"/>
  <c r="CH23" i="6"/>
  <c r="CH25" i="6"/>
  <c r="CH11" i="6"/>
  <c r="CH28" i="6"/>
  <c r="CH9" i="6"/>
  <c r="CH24" i="6"/>
  <c r="CH22" i="6"/>
  <c r="CH10" i="6"/>
  <c r="CH13" i="6"/>
  <c r="CH14" i="6"/>
  <c r="CH12" i="6"/>
  <c r="CH16" i="6"/>
  <c r="CH19" i="6"/>
  <c r="CH15" i="6"/>
  <c r="CH21" i="6"/>
  <c r="CH27" i="6"/>
  <c r="AS10" i="5" a="1"/>
  <c r="AS10" i="5" s="1"/>
  <c r="CH26" i="6"/>
  <c r="CF21" i="6"/>
  <c r="CF19" i="6"/>
  <c r="CF14" i="6"/>
  <c r="CF13" i="6"/>
  <c r="CF17" i="6"/>
  <c r="CF20" i="6"/>
  <c r="CF15" i="6"/>
  <c r="CF9" i="6"/>
  <c r="CF23" i="6"/>
  <c r="CF11" i="6"/>
  <c r="CF28" i="6"/>
  <c r="CF24" i="6"/>
  <c r="CF27" i="6"/>
  <c r="CF16" i="6"/>
  <c r="CF10" i="6"/>
  <c r="CF22" i="6"/>
  <c r="CF25" i="6"/>
  <c r="CF12" i="6"/>
  <c r="CF26" i="6"/>
  <c r="CF18" i="6"/>
  <c r="CG15" i="6"/>
  <c r="CG21" i="6"/>
  <c r="CG25" i="6"/>
  <c r="CG22" i="6"/>
  <c r="CG26" i="6"/>
  <c r="CG23" i="6"/>
  <c r="CG18" i="6"/>
  <c r="CG14" i="6"/>
  <c r="CG12" i="6"/>
  <c r="CG20" i="6"/>
  <c r="CG16" i="6"/>
  <c r="CG9" i="6"/>
  <c r="CG19" i="6"/>
  <c r="CG27" i="6"/>
  <c r="CG24" i="6"/>
  <c r="CG28" i="6"/>
  <c r="CG13" i="6"/>
  <c r="CG17" i="6"/>
  <c r="CG10" i="6"/>
  <c r="CG11" i="6"/>
  <c r="G6" i="1"/>
  <c r="G13" i="1"/>
  <c r="AS11" i="5" l="1"/>
  <c r="AS13" i="5" a="1"/>
  <c r="AS13" i="5" s="1"/>
  <c r="AS12" i="5" a="1"/>
  <c r="AS12" i="5" s="1"/>
</calcChain>
</file>

<file path=xl/sharedStrings.xml><?xml version="1.0" encoding="utf-8"?>
<sst xmlns="http://schemas.openxmlformats.org/spreadsheetml/2006/main" count="636" uniqueCount="403">
  <si>
    <t>TEMPLATES</t>
  </si>
  <si>
    <t>010</t>
  </si>
  <si>
    <t>020</t>
  </si>
  <si>
    <t>030</t>
  </si>
  <si>
    <t>040</t>
  </si>
  <si>
    <t>050</t>
  </si>
  <si>
    <t>060</t>
  </si>
  <si>
    <t>100</t>
  </si>
  <si>
    <t>N</t>
  </si>
  <si>
    <t>gAUC_init</t>
  </si>
  <si>
    <t>Portfolio</t>
  </si>
  <si>
    <t>VALIDATION REPORTING CREDIT RISK: INDIVIDUAL LGD MODEL</t>
  </si>
  <si>
    <t>210</t>
  </si>
  <si>
    <t>Number Weighted Average of Estimated LGD (LGD^E)</t>
  </si>
  <si>
    <t>201</t>
  </si>
  <si>
    <t>202</t>
  </si>
  <si>
    <t>203</t>
  </si>
  <si>
    <t>204</t>
  </si>
  <si>
    <t>205</t>
  </si>
  <si>
    <t>206</t>
  </si>
  <si>
    <t>207</t>
  </si>
  <si>
    <t>208</t>
  </si>
  <si>
    <t>209</t>
  </si>
  <si>
    <t>211</t>
  </si>
  <si>
    <t>Variance (s^2_LGD)</t>
  </si>
  <si>
    <t>Variance (s^2)</t>
  </si>
  <si>
    <t>212</t>
  </si>
  <si>
    <t>GLOSSARY</t>
  </si>
  <si>
    <t>Acronym</t>
  </si>
  <si>
    <t>Definition</t>
  </si>
  <si>
    <t>Relevant observation period</t>
  </si>
  <si>
    <t>K</t>
  </si>
  <si>
    <t>Back-testing LGD</t>
  </si>
  <si>
    <t>Missing LGD values</t>
  </si>
  <si>
    <t>Number (M_miss)</t>
  </si>
  <si>
    <t>070</t>
  </si>
  <si>
    <t>080</t>
  </si>
  <si>
    <t>090</t>
  </si>
  <si>
    <t>20% ≤ LTV &lt; 40%</t>
  </si>
  <si>
    <t>40% ≤ LTV &lt; 60%</t>
  </si>
  <si>
    <t>60% ≤ LTV &lt; 80%</t>
  </si>
  <si>
    <t>80% ≤ LTV &lt; 100%</t>
  </si>
  <si>
    <t>100% ≤ LTV &lt; 120%</t>
  </si>
  <si>
    <t>0 ≤ LTV &lt; 20%</t>
  </si>
  <si>
    <t>No LTV</t>
  </si>
  <si>
    <t>QUALITATIVE VALIDATION TOOLS - MISSING VALUES</t>
  </si>
  <si>
    <t>EAD</t>
  </si>
  <si>
    <t>120% ≤ LTV</t>
  </si>
  <si>
    <t>Original exposure</t>
  </si>
  <si>
    <t>Page</t>
  </si>
  <si>
    <t>Model ID:</t>
  </si>
  <si>
    <t>213</t>
  </si>
  <si>
    <t>214</t>
  </si>
  <si>
    <t>215</t>
  </si>
  <si>
    <t>216</t>
  </si>
  <si>
    <t>217</t>
  </si>
  <si>
    <t>218</t>
  </si>
  <si>
    <t>219</t>
  </si>
  <si>
    <t>220</t>
  </si>
  <si>
    <t>Information on the initial sample</t>
  </si>
  <si>
    <t>Name of facility grade / pool</t>
  </si>
  <si>
    <t>Complete</t>
  </si>
  <si>
    <t>Filename</t>
  </si>
  <si>
    <t>PORTFOLIO INFORMATION</t>
  </si>
  <si>
    <t>Measure</t>
  </si>
  <si>
    <t>Change</t>
  </si>
  <si>
    <t>[0%,5%)</t>
  </si>
  <si>
    <t>[5%,10%)</t>
  </si>
  <si>
    <t>[10%,20%)</t>
  </si>
  <si>
    <t>[20%,30%)</t>
  </si>
  <si>
    <t>[30%,40%)</t>
  </si>
  <si>
    <t>[40%,50%)</t>
  </si>
  <si>
    <t>[50%,60%)</t>
  </si>
  <si>
    <t>[60%,70%)</t>
  </si>
  <si>
    <t>[70%,80%)</t>
  </si>
  <si>
    <t>[80%,90%)</t>
  </si>
  <si>
    <t>[90%,100%]</t>
  </si>
  <si>
    <t>&gt;100%</t>
  </si>
  <si>
    <t>110</t>
  </si>
  <si>
    <t>120</t>
  </si>
  <si>
    <t>Assessment</t>
  </si>
  <si>
    <t>Comment</t>
  </si>
  <si>
    <t>Row Complete</t>
  </si>
  <si>
    <t>LGD^E_prox</t>
  </si>
  <si>
    <t>ECB calculation</t>
  </si>
  <si>
    <t>i/j</t>
  </si>
  <si>
    <t>w_r</t>
  </si>
  <si>
    <t>P-Q</t>
  </si>
  <si>
    <t>D(C|R)</t>
  </si>
  <si>
    <t>gAUC</t>
  </si>
  <si>
    <t>s</t>
  </si>
  <si>
    <t>gAUC_curr</t>
  </si>
  <si>
    <t>Threshhold</t>
  </si>
  <si>
    <t>Mean</t>
  </si>
  <si>
    <t>Correlation</t>
  </si>
  <si>
    <t>130</t>
  </si>
  <si>
    <t>140</t>
  </si>
  <si>
    <t>150</t>
  </si>
  <si>
    <t>160</t>
  </si>
  <si>
    <t>170</t>
  </si>
  <si>
    <t>180</t>
  </si>
  <si>
    <t>190</t>
  </si>
  <si>
    <t>200</t>
  </si>
  <si>
    <t>Average LGD</t>
  </si>
  <si>
    <t>SSI row</t>
  </si>
  <si>
    <t>tmp</t>
  </si>
  <si>
    <t>LGD t0</t>
  </si>
  <si>
    <t>LGD t-1</t>
  </si>
  <si>
    <t>LTV t0</t>
  </si>
  <si>
    <t>LTV t-1</t>
  </si>
  <si>
    <t>covarianz</t>
  </si>
  <si>
    <t>Backtesting sample</t>
  </si>
  <si>
    <t>Number of facilities (application portfolio)</t>
  </si>
  <si>
    <t>Body suggested</t>
  </si>
  <si>
    <t>Body actual</t>
  </si>
  <si>
    <t>Len suggested</t>
  </si>
  <si>
    <t>Len actual</t>
  </si>
  <si>
    <t>Note: 5 chars for suffix plus "dot", one char for number</t>
  </si>
  <si>
    <t>Obs Period Validation:</t>
  </si>
  <si>
    <t>Result</t>
  </si>
  <si>
    <t>Text if FALSE</t>
  </si>
  <si>
    <t>End date &gt; start date?</t>
  </si>
  <si>
    <t>End date &lt; Start date</t>
  </si>
  <si>
    <t>One year length</t>
  </si>
  <si>
    <t>Observation period should be one year</t>
  </si>
  <si>
    <t>Younger than two years</t>
  </si>
  <si>
    <t>Sample period seems to be outdated</t>
  </si>
  <si>
    <t>End date not in future</t>
  </si>
  <si>
    <t>Observation period ends in future</t>
  </si>
  <si>
    <t>GENERAL INFORMATION - MODEL</t>
  </si>
  <si>
    <t>VALIDATION INFORMATION - MODEL</t>
  </si>
  <si>
    <t>LGD^R_low</t>
  </si>
  <si>
    <t>LGD^R_up</t>
  </si>
  <si>
    <t>LGD_LB</t>
  </si>
  <si>
    <t>LGD_UB</t>
  </si>
  <si>
    <t>max</t>
  </si>
  <si>
    <t>VarTable</t>
  </si>
  <si>
    <t xml:space="preserve">grade </t>
  </si>
  <si>
    <t>min</t>
  </si>
  <si>
    <t>VAR_low</t>
  </si>
  <si>
    <t>VAR_up</t>
  </si>
  <si>
    <t>VAR_in_bounds</t>
  </si>
  <si>
    <t xml:space="preserve">Modelling approach </t>
  </si>
  <si>
    <t>Modelling approach</t>
  </si>
  <si>
    <t>QUALITATIVE VALIDATION TOOLS - LGD DISTRIBUTION</t>
  </si>
  <si>
    <t>Time in default</t>
  </si>
  <si>
    <t>Number of facilities (defaulted portfolio)</t>
  </si>
  <si>
    <t>Application portfolio of the LGD model (performing)</t>
  </si>
  <si>
    <t>QUALITATIVE VALIDATION TOOLS - TIME IN DEFAULT</t>
  </si>
  <si>
    <t>DISCRIMINATORY POWER</t>
  </si>
  <si>
    <t>BACK-TESTING (&gt; 20 FACILITY GRADES OR POOLS, CONTINUOUS MODEL)</t>
  </si>
  <si>
    <t>Section 2.6.2</t>
  </si>
  <si>
    <t>Section 2.6.3.1</t>
  </si>
  <si>
    <t>Section 2.6.4.1</t>
  </si>
  <si>
    <t>Section 2.6.4.2</t>
  </si>
  <si>
    <t>Section 2.6.4.3</t>
  </si>
  <si>
    <t>RWEA</t>
  </si>
  <si>
    <t>Not too little information</t>
  </si>
  <si>
    <t>Not too much information</t>
  </si>
  <si>
    <t>230</t>
  </si>
  <si>
    <t>240</t>
  </si>
  <si>
    <t>250</t>
  </si>
  <si>
    <t>260</t>
  </si>
  <si>
    <t>270</t>
  </si>
  <si>
    <t>280</t>
  </si>
  <si>
    <t>Segment 1</t>
  </si>
  <si>
    <t>Segment 2</t>
  </si>
  <si>
    <t>Segment 3</t>
  </si>
  <si>
    <t>Segment 4</t>
  </si>
  <si>
    <t>Segment 5</t>
  </si>
  <si>
    <t>Segment 6</t>
  </si>
  <si>
    <t>Segment 7</t>
  </si>
  <si>
    <t>Segment 8</t>
  </si>
  <si>
    <t>Segment 9</t>
  </si>
  <si>
    <t>Segment 10</t>
  </si>
  <si>
    <t>Segment 11</t>
  </si>
  <si>
    <t>Segment 12</t>
  </si>
  <si>
    <t>Estimated LGD</t>
  </si>
  <si>
    <t>Area of investigation</t>
  </si>
  <si>
    <t>Tables</t>
  </si>
  <si>
    <t>2.0</t>
  </si>
  <si>
    <t>3.0</t>
  </si>
  <si>
    <t>Coverage in internal validation</t>
  </si>
  <si>
    <t xml:space="preserve">Generalised AUC </t>
  </si>
  <si>
    <t>PSI</t>
  </si>
  <si>
    <t>Question</t>
  </si>
  <si>
    <t>Answer</t>
  </si>
  <si>
    <t>What is the overall assessment of the reported model by the internal validation function?</t>
  </si>
  <si>
    <t>Sum of facilities in pools equals portfolio level?</t>
  </si>
  <si>
    <t>Are all facility grades/pools ordinally ordered?</t>
  </si>
  <si>
    <t>Beginning of the observation period</t>
  </si>
  <si>
    <t>End of the observation period</t>
  </si>
  <si>
    <t>Estimation period</t>
  </si>
  <si>
    <t>Section 2.4.1</t>
  </si>
  <si>
    <t>Section 2.4.2</t>
  </si>
  <si>
    <t>Section 2.4.3</t>
  </si>
  <si>
    <t>Number</t>
  </si>
  <si>
    <t>Code</t>
  </si>
  <si>
    <t>Name</t>
  </si>
  <si>
    <t>Reporting instructions</t>
  </si>
  <si>
    <t>Link to bank's internal validation report</t>
  </si>
  <si>
    <t>Name of the validation report document</t>
  </si>
  <si>
    <t>Section number</t>
  </si>
  <si>
    <t>Portfolio information</t>
  </si>
  <si>
    <t>Predictive ability</t>
  </si>
  <si>
    <t>Discriminatory power</t>
  </si>
  <si>
    <t>Qualitative validation tools</t>
  </si>
  <si>
    <t>ECB calculation for Aij-Dij</t>
  </si>
  <si>
    <t>Observed frequencies realised LGD (LGD^R)</t>
  </si>
  <si>
    <t>Test statistic 
(T)</t>
  </si>
  <si>
    <t>P-value 
(1-S_N-1(T))</t>
  </si>
  <si>
    <t>DQ check</t>
  </si>
  <si>
    <t>LGD realisation bounds</t>
  </si>
  <si>
    <t>LGD variance bounds</t>
  </si>
  <si>
    <t>P-value t-test</t>
  </si>
  <si>
    <t>Current AUC vs. initial AUC</t>
  </si>
  <si>
    <t>Test statistic (S)</t>
  </si>
  <si>
    <t>P-value (1-Ф(S))</t>
  </si>
  <si>
    <t>Start date</t>
  </si>
  <si>
    <t>End date</t>
  </si>
  <si>
    <t>Number of facilities</t>
  </si>
  <si>
    <t>LGD distribution (end of observation period)</t>
  </si>
  <si>
    <t>LGD/collateral correlation</t>
  </si>
  <si>
    <t>Test statistic (T)</t>
  </si>
  <si>
    <t>400</t>
  </si>
  <si>
    <t>300</t>
  </si>
  <si>
    <t>290</t>
  </si>
  <si>
    <t>Number of facilities (application portfolio) without M_Miss</t>
  </si>
  <si>
    <t>Number of facilities (application portfolio) without M_miss</t>
  </si>
  <si>
    <t>Sheet 2.0</t>
  </si>
  <si>
    <t>Sheet 3.0</t>
  </si>
  <si>
    <t>T-test</t>
  </si>
  <si>
    <t>Number of facilities (back-testing)</t>
  </si>
  <si>
    <t>Row complete</t>
  </si>
  <si>
    <t>Facility grade / pool 1</t>
  </si>
  <si>
    <t>Facility grade / pool 2</t>
  </si>
  <si>
    <t>Facility grade / pool 3</t>
  </si>
  <si>
    <t>Facility grade / pool 4</t>
  </si>
  <si>
    <t>Facility grade / pool 5</t>
  </si>
  <si>
    <t>Facility grade / pool 6</t>
  </si>
  <si>
    <t>Facility grade / pool 7</t>
  </si>
  <si>
    <t>Facility grade / pool 8</t>
  </si>
  <si>
    <t>Facility grade / pool 9</t>
  </si>
  <si>
    <t>Facility grade / pool 10</t>
  </si>
  <si>
    <t>Facility grade / pool 11</t>
  </si>
  <si>
    <t>Facility grade / pool 12</t>
  </si>
  <si>
    <t>Facility grade / pool 13</t>
  </si>
  <si>
    <t>Facility grade / pool 14</t>
  </si>
  <si>
    <t>Facility grade / pool 15</t>
  </si>
  <si>
    <t>Facility grade / pool 16</t>
  </si>
  <si>
    <t>Facility grade / pool 17</t>
  </si>
  <si>
    <t>Facility grade / pool 18</t>
  </si>
  <si>
    <t>Facility grade / pool 19</t>
  </si>
  <si>
    <t>Facility grade / pool 20</t>
  </si>
  <si>
    <t>Beginning of observation period</t>
  </si>
  <si>
    <t>End of observation period</t>
  </si>
  <si>
    <t>ECB calculation for Aij - Dij</t>
  </si>
  <si>
    <t>LGD distribution (beginning of observation period)</t>
  </si>
  <si>
    <t>Exposure value</t>
  </si>
  <si>
    <t>Application portfolio of the LGD model (defaulted / not closed recovery process)</t>
  </si>
  <si>
    <t>Number of facility grades or pools</t>
  </si>
  <si>
    <t>Discriminatory power LGD</t>
  </si>
  <si>
    <t>Exposure at default</t>
  </si>
  <si>
    <t>LGD distribution</t>
  </si>
  <si>
    <t>Missing values LGD</t>
  </si>
  <si>
    <t>Number of facility grades or pools (K)</t>
  </si>
  <si>
    <t>Risk-weighted exposure amount</t>
  </si>
  <si>
    <t>Number-weighted average duration of the recovery process [in days]</t>
  </si>
  <si>
    <t>Duration of the recovery process</t>
  </si>
  <si>
    <t>Number-weighted average of the time in default [in days]</t>
  </si>
  <si>
    <t>Did the definition of facility grades/pools change between the beginning and end of the observation period?</t>
  </si>
  <si>
    <t>Was a material model change implemented for the model during the relevant observation period?</t>
  </si>
  <si>
    <t>510</t>
  </si>
  <si>
    <t>520</t>
  </si>
  <si>
    <t>530</t>
  </si>
  <si>
    <t>540</t>
  </si>
  <si>
    <r>
      <t xml:space="preserve">Country: </t>
    </r>
    <r>
      <rPr>
        <sz val="10"/>
        <rFont val="Times New Roman"/>
        <family val="1"/>
      </rPr>
      <t>(two letter ISO code)</t>
    </r>
  </si>
  <si>
    <r>
      <t>Bank LEI code:</t>
    </r>
    <r>
      <rPr>
        <sz val="10"/>
        <rFont val="Times New Roman"/>
        <family val="1"/>
      </rPr>
      <t xml:space="preserve"> (mandatory, key identification field)</t>
    </r>
  </si>
  <si>
    <r>
      <t xml:space="preserve">Bank: </t>
    </r>
    <r>
      <rPr>
        <sz val="10"/>
        <rFont val="Times New Roman"/>
        <family val="1"/>
      </rPr>
      <t>(name of institution)</t>
    </r>
  </si>
  <si>
    <t>Ratio (M_miss/M)</t>
  </si>
  <si>
    <r>
      <t>BACK-TESTING (</t>
    </r>
    <r>
      <rPr>
        <sz val="10"/>
        <rFont val="Calibri"/>
        <family val="2"/>
      </rPr>
      <t>≤</t>
    </r>
    <r>
      <rPr>
        <sz val="10"/>
        <rFont val="Times New Roman"/>
        <family val="1"/>
      </rPr>
      <t xml:space="preserve"> 20 FACILITY GRADES OR POOLS)</t>
    </r>
  </si>
  <si>
    <t>Start of relevant observation period:</t>
  </si>
  <si>
    <t>End of relevant observation period:</t>
  </si>
  <si>
    <t>Observation period</t>
  </si>
  <si>
    <t>Current filename</t>
  </si>
  <si>
    <t>Suggested filename</t>
  </si>
  <si>
    <t>Template version:</t>
  </si>
  <si>
    <t xml:space="preserve">Does the model design allow a separation of the downturn component from the estimated LGD? </t>
  </si>
  <si>
    <t xml:space="preserve">Number-weighted average of estimated LGD without downturn component 
(if available) </t>
  </si>
  <si>
    <t>Number-weighted average of estimated LGD (LGD^E)</t>
  </si>
  <si>
    <t>Number-weighted average of realised LGD (LGD^R)</t>
  </si>
  <si>
    <t>Row sum</t>
  </si>
  <si>
    <t>Number-weighted average of estimated LGD without downturn component
(if available)</t>
  </si>
  <si>
    <t>Please consider the following explanations for certain DQ checks specific to this template:</t>
  </si>
  <si>
    <t>The p-value of the t-test is calculated. The institution's reported value should match the ECB's calculation.</t>
  </si>
  <si>
    <t>Term</t>
  </si>
  <si>
    <t>Please note that the guidelines for filling the template are provided in "Instructions for reporting the validation results of internal models" (the "instructions"). The definitions in this glossary are provided for convenience only. In the event of disagreement, the instructions shall prevail.</t>
  </si>
  <si>
    <t>See Section 2.6.2 of the instructions.</t>
  </si>
  <si>
    <t>See Section 2.6.3 of the instructions.</t>
  </si>
  <si>
    <t>The average duration of the recovery process for defaulted facilities whose recovery process has been closed within the observation period. See Section 2.6.4.4 of the instructions.</t>
  </si>
  <si>
    <t>Exposure value according to Article 166 CRR. See Section 2.4.3 of the instructions.</t>
  </si>
  <si>
    <t>The generalised AUC for the relevant observation period. See Section 2.6.3 of the instructions.</t>
  </si>
  <si>
    <t>Information on the sample from which the initial AUC has been computed. See Section 2.3 of the instructions.</t>
  </si>
  <si>
    <t>The performing application portfolio distribution by different LGD key drivers. See Section 2.6.4.2 of the instructions.</t>
  </si>
  <si>
    <t>Original exposure before CCF and before credit risk mitigation effects. See Section 2.3 of the instructions.</t>
  </si>
  <si>
    <t>The time in default of a facility (in days) after treatment of multiple defaults. It refers to the currently ongoing default of a facility. See Section 2.6.4.3 of the instructions.</t>
  </si>
  <si>
    <t>Model ID</t>
  </si>
  <si>
    <t>The number of facility grades or pools used in the LGD model. Please leave the cell empty if the model is continuous.</t>
  </si>
  <si>
    <t>The variance of the initial generalised AUC. See Annex 2 of the instructions.</t>
  </si>
  <si>
    <t>From the observed frequencies of realised LGD per segment, ranges are estimated for both the average of the realised LGD (LGD^R) and its variance (s^2 LGD^R). If the reported values are not within the range given by the lower and upper bounds, a warning is raised.</t>
  </si>
  <si>
    <r>
      <rPr>
        <u/>
        <sz val="10"/>
        <color theme="1"/>
        <rFont val="Times New Roman"/>
        <family val="1"/>
      </rPr>
      <t>Naming convention for submitted file:</t>
    </r>
    <r>
      <rPr>
        <sz val="11"/>
        <color theme="1"/>
        <rFont val="Calibri"/>
        <family val="2"/>
        <scheme val="minor"/>
      </rPr>
      <t xml:space="preserve"> </t>
    </r>
    <r>
      <rPr>
        <sz val="10"/>
        <color theme="1"/>
        <rFont val="Times New Roman"/>
        <family val="1"/>
      </rPr>
      <t>LEICode_LGD_ModelID_EndOfObservationPeriod_VersionNumber.xlsx
where "LEICode" is the LEI code of the bank, "ModelID" is the unique ID of the model, "EndOfObservationPeriod" is the end of the observation period in "ddmmyyyy" format, and "VersionNumber" is a number indicating the order of submissions for a given EndOfObservationPeriod, e.g. 1 for the first submission of 31122018, 2 for the second submission of 31122018 and so on.</t>
    </r>
  </si>
  <si>
    <t>Each sheet contains several data quality rules for most fields. The rules check for completeness of the data, consistency among fields and sheets, and plausibility via a comparision with the ECB's calculation. For each DQ check, there is an indicator showing whether the rule is met ("OK") or not ("NOT OK") or if a warning has been raised ("WARNING"). Next to the indicator, an explanatory  comment is given if the rule is not met. Any fields which are shown as "NOT OK" must be corrected before submission of the template. In the event of a warning, the input should be carefully checked for correctness.</t>
  </si>
  <si>
    <t>For more detailed instructions, please see the glossary and the references therein to the "Instructions for reporting the validation results of internal models" (the "instructions"). Cross-references between the individual sheets of the templates are made in the following style: "risk parameter-sheet-row/column". E.g. "LGD-2.0-100/030" refers to the cell in row "100" and column "030" on sheet "2.0" of the template corresponding to the parameter "Number-weighted average of estimated LGD without downturn component (if available)".</t>
  </si>
  <si>
    <t>Instructions for completing the template</t>
  </si>
  <si>
    <t>The total number of facilities that have defaulted but whose recovery process has not been closed. See Section 2.6.4.3 of the instructions.</t>
  </si>
  <si>
    <t>The total number of facilities in the portfolio which were in default at the beginning of the observation period (or defaulted during the observation period) whose workout was closed within the observation period.</t>
  </si>
  <si>
    <t>LGD 1.0 - VALIDATION REPORTING CREDIT RISK: INDIVIDUAL LGD MODEL</t>
  </si>
  <si>
    <t>LGD 1.2 - PORTFOLIO INFORMATION</t>
  </si>
  <si>
    <t>LGD 2.0 - BACK-TESTING LGD (MORE THAN 20 FACILITY GRADES OR POOLS - INCLUDING CONTINUOUS LGD MODELS)</t>
  </si>
  <si>
    <t>LGD 2.1 - BACK-TESTING LGD (LESS THAN 20 FACILITY GRADES OR POOLS)</t>
  </si>
  <si>
    <t>LGD 3.0 - DISCRIMINATORY POWER</t>
  </si>
  <si>
    <t>LGD 4.1 - QUALITATIVE VALIDATION TOOLS - MISSING VALUES</t>
  </si>
  <si>
    <t>Name of facility grade/pool or segment</t>
  </si>
  <si>
    <t>LGD 4.2 - QUALITATIVE VALIDATION TOOLS - LGD DISTRIBUTION</t>
  </si>
  <si>
    <t>Number-weighted average of estimated LGD 
(LGD_E)</t>
  </si>
  <si>
    <t>Number-weighted average collateralisation rate</t>
  </si>
  <si>
    <t>Average collateralisation rate (weighted by number of facilities)</t>
  </si>
  <si>
    <t>LGD 4.3 - QUALITATIVE VALIDATION TOOLS - TIME IN DEFAULT</t>
  </si>
  <si>
    <t>ELBE</t>
  </si>
  <si>
    <t>Expected loss best estimate</t>
  </si>
  <si>
    <t>In the case of plausibilty checks against the ECB's own calculation, the reported value must match the ECB's value within a certain margin. The calculation and reporting of values that are also calculated by the ECB is intentional, as the supervised entity is requested to implement all the validation metrics set out for this data collection.</t>
  </si>
  <si>
    <t>LGD 1.1 - VALIDATION INFORMATION - MODEL</t>
  </si>
  <si>
    <t>LGD 1.2</t>
  </si>
  <si>
    <t>LGD 2.0,  
LGD 2.1</t>
  </si>
  <si>
    <t>LGD 3.0</t>
  </si>
  <si>
    <t xml:space="preserve">LGD 4.1,
LGD 4.2,
LGD 4.3 </t>
  </si>
  <si>
    <t>Average collateralisation rate (weighted by original exposure)</t>
  </si>
  <si>
    <t>Name consistent B and E</t>
  </si>
  <si>
    <t xml:space="preserve">Requested information not at an individual facility grade/pool or segment level but at an aggregate level spanning all facility grades/pools or segments. </t>
  </si>
  <si>
    <t>Facilities of the LGD application portfolio</t>
  </si>
  <si>
    <t>410</t>
  </si>
  <si>
    <t>420</t>
  </si>
  <si>
    <t>430</t>
  </si>
  <si>
    <t>440</t>
  </si>
  <si>
    <t>Estimated exposure value after credit conversion factor (CCF) as defined in Article 166 of the CRR.</t>
  </si>
  <si>
    <t>LGD_R bounds</t>
  </si>
  <si>
    <t>VAR bounds</t>
  </si>
  <si>
    <r>
      <t>Internal model name:</t>
    </r>
    <r>
      <rPr>
        <sz val="10"/>
        <rFont val="Times New Roman"/>
        <family val="1"/>
      </rPr>
      <t xml:space="preserve"> (as used in validation report)</t>
    </r>
  </si>
  <si>
    <t>Average realised per grade</t>
  </si>
  <si>
    <t>Gap Line</t>
  </si>
  <si>
    <t>Name consistent</t>
  </si>
  <si>
    <t>&gt;=100%</t>
  </si>
  <si>
    <t>[90%,100%)</t>
  </si>
  <si>
    <t xml:space="preserve">The total number of facilities in the range of application of the rating system or model under investigation (see Section 2.6.1 of the instructions) at a given reference point in time. </t>
  </si>
  <si>
    <t>Institution's comments</t>
  </si>
  <si>
    <r>
      <t xml:space="preserve">Institution's comments on the reported figures and results </t>
    </r>
    <r>
      <rPr>
        <b/>
        <sz val="10"/>
        <color theme="1"/>
        <rFont val="Times New Roman"/>
        <family val="1"/>
      </rPr>
      <t>(max. 1,000 characters each)</t>
    </r>
  </si>
  <si>
    <t>Institutions should select one of the available options: 
1. Adequate with no deficiencies: No deficiencies detected by the validation function, i.e. no follow-up needed.
2. Adequate with minor deficiencies: Minor deficiencies detected that do not lead to any significant bias of risk estimates.
3. Major deficiencies identified: Identified deficiencies indicate a significant bias of risk parameter estimates, such as a potential quantitative impact of +/-5% or more on RWEA, but below +/-10% in the application of the model.
4. Severe deficiencies identified: Identified deficiencies indicate a severe bias of risk parameter estimates, such as a potential quantitative impact of +/-10% or more on RWEA in the application of the model.</t>
  </si>
  <si>
    <t>Institution's assessment</t>
  </si>
  <si>
    <t>Institutions should select one of the available options: 
(1) If the area has not been assessed as part of the institution's validation report, select "NOT ASSESSED". 
(2) If the area has been assessed as part of the institution's validation report, select "ASSESSED".
Note that the choice above should be based on whether the area has been covered by some analysis in the internal validation, regardless of whether the same tests have been performed as in the standardised validation.</t>
  </si>
  <si>
    <t>The institution has a choice when determining the estimation period for LGD values. Either estimated values are determined at the beginning of the year in which the default occured (cohort approach) or 12 months before the individual default (fixed-horizon approach). See the definition of estimated LGD in Section 2.6.1 of the instructions.</t>
  </si>
  <si>
    <t>The expected loss best estimate that has been used to calculate own funds requirements at the beginning/end of the relevant observation period. See Section 2.6.4.3 of the instructions.</t>
  </si>
  <si>
    <t>Facility grade/pool or segment level</t>
  </si>
  <si>
    <t>(i) LGD model estimates that cannot be assigned to facilities within the scope of the model owing to a lack of data on any model risk driver and are forced to take on predefined values, including the use of any kind of fall-back value (e.g. conservative values), and (ii) estimates forced to take on predefined caps or floors defined by the institution. See Section 2.6.4.1 of the instructions.</t>
  </si>
  <si>
    <t>Institutions are invited to use a free text field to comment on the test results and to highlight related analysis documented in the institution's own validation report.</t>
  </si>
  <si>
    <t>Variance (gAUC_init)</t>
  </si>
  <si>
    <t>Institutions should apply one of the following two approaches:
(a) If the model is based on 20 facility grades/pools or less, the test is performed at the facility grade/pool level used in the institution’s internal validation.
(b) Otherwise (including in the case of continuous LGD models), the institution should use 12 predefined "LGD segments”.</t>
  </si>
  <si>
    <t>The unique identifier (model ID) for each model, as agreed between the credit institution and the ECB, and as used in the file name of the template submitted.</t>
  </si>
  <si>
    <t>The uniform one-year period on which all data and information that are needed to perform the validation are based (unless stated otherwise in the instructions). This period is normally identical to the observation period that the credit institution uses for its internal validation of the relevant model. If the credit institution uses a period of a different length, this will be a one-year period ending on the same date as the institution’s observation period. Enter the date in the format dd/mm/yyyy.</t>
  </si>
  <si>
    <t>Today</t>
  </si>
  <si>
    <t>[0%,5%) or facility grade/pool 1</t>
  </si>
  <si>
    <t>[5%,10%) or facility grade/pool 2</t>
  </si>
  <si>
    <t>[10%,20%) or facility grade/pool 3</t>
  </si>
  <si>
    <t>[20%,30%) or facility grade/pool 4</t>
  </si>
  <si>
    <t>[30%,40%) or facility grade/pool 5</t>
  </si>
  <si>
    <t>[40%,50%) or facility grade/pool 6</t>
  </si>
  <si>
    <t>[50%,60%) or facility grade/pool 7</t>
  </si>
  <si>
    <t>[60%,70%) or facility grade/pool 8</t>
  </si>
  <si>
    <t>[70%,80%) or facility grade/pool 9</t>
  </si>
  <si>
    <t>[80%,90%) or facility grade/pool 10</t>
  </si>
  <si>
    <t>[90%,100%) or facility grade/pool 11</t>
  </si>
  <si>
    <t>&gt;=100% or facility grade/pool 12</t>
  </si>
  <si>
    <t>facility grade/pool 13</t>
  </si>
  <si>
    <t>facility grade/pool 14</t>
  </si>
  <si>
    <t>facility grade/pool 15</t>
  </si>
  <si>
    <t>facility grade/pool 16</t>
  </si>
  <si>
    <t>facility grade/pool 17</t>
  </si>
  <si>
    <t>facility grade/pool 18</t>
  </si>
  <si>
    <t>facility grade/pool 19</t>
  </si>
  <si>
    <t>facility grade/pool 20</t>
  </si>
  <si>
    <t>In the event that multiple validation reports are referred to any area of investigation, please ensure that a separator " ; " is used to partition the names of the validation report documents, subsequent section numbers, and pages.</t>
  </si>
  <si>
    <t>Risk-weighted exposure amount of the exposures in the scope of the model.</t>
  </si>
  <si>
    <t>LGD 2.0</t>
  </si>
  <si>
    <t>LGD 1.0</t>
  </si>
  <si>
    <t>LGD 1.1</t>
  </si>
  <si>
    <t>LGD 2.1</t>
  </si>
  <si>
    <t>LGD 4.1</t>
  </si>
  <si>
    <t>LGD 4.2</t>
  </si>
  <si>
    <t>LGD 4.3</t>
  </si>
  <si>
    <t>When completing the template, please bear in mind:
1. Only fields with yellow backgrounds should be filled in if information exists/is available.
2. Respect any Excel validation rules.
3. Unless stated otherwise, monetary figures should be reported in EUR. 
4. Dates should be of the format DD/MM/YYYY.</t>
  </si>
  <si>
    <t>More than 20 facility grades or pools (including continuous LGD models)</t>
  </si>
  <si>
    <t>Less than or equal to 20 facility grades or pools</t>
  </si>
  <si>
    <t>Estimates calculated at the beginning of the year in which the default occurred</t>
  </si>
  <si>
    <t>Estimates calculated 12 months before the individual default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</si>
</sst>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43" formatCode="_(* #,##0.00_);_(* \(#,##0.00\);_(* &quot;-&quot;??_);_(@_)"/>
    <numFmt numFmtId="164" formatCode="_-* #,##0.00_-;\-* #,##0.00_-;_-* &quot;-&quot;??_-;_-@_-"/>
    <numFmt numFmtId="165" formatCode="_-* #,##0.00_-;\-* #,##0.00_-;_-* \-??_-;_-@_-"/>
    <numFmt numFmtId="166" formatCode="dd/mm/yyyy;@"/>
    <numFmt numFmtId="167" formatCode="#,##0_ ;\-#,##0\ "/>
    <numFmt numFmtId="168" formatCode="0.0%"/>
    <numFmt numFmtId="169" formatCode="0.0000000000"/>
    <numFmt numFmtId="170" formatCode="0.00000"/>
    <numFmt numFmtId="171" formatCode="0.000000"/>
    <numFmt numFmtId="172" formatCode="_-* #,##0.00\ _K_č_-;\-* #,##0.00\ _K_č_-;_-* &quot;-&quot;??\ _K_č_-;_-@_-"/>
    <numFmt numFmtId="173" formatCode="_-* #,##0.00\ &quot;€&quot;_-;\-* #,##0.00\ &quot;€&quot;_-;_-* &quot;-&quot;??\ &quot;€&quot;_-;_-@_-"/>
    <numFmt numFmtId="174" formatCode="[$€-2]\ #,##0"/>
    <numFmt numFmtId="175" formatCode="0.0"/>
    <numFmt numFmtId="176" formatCode="0.00000000"/>
    <numFmt numFmtId="177" formatCode="#,##0.00000000"/>
  </numFmts>
  <fonts count="102" x14ac:knownFonts="1">
    <font>
      <sz val="11"/>
      <color theme="1"/>
      <name val="Calibri"/>
      <family val="2"/>
      <scheme val="minor"/>
    </font>
    <font>
      <sz val="11"/>
      <color theme="1"/>
      <name val="Calibri"/>
      <family val="2"/>
      <scheme val="minor"/>
    </font>
    <font>
      <b/>
      <sz val="18"/>
      <color theme="3"/>
      <name val="Cambria"/>
      <family val="2"/>
      <scheme val="major"/>
    </font>
    <font>
      <sz val="11"/>
      <color indexed="8"/>
      <name val="Calibri"/>
      <family val="2"/>
    </font>
    <font>
      <sz val="10"/>
      <name val="Arial"/>
      <family val="2"/>
    </font>
    <font>
      <u/>
      <sz val="6.5"/>
      <color indexed="12"/>
      <name val="Arial"/>
      <family val="2"/>
    </font>
    <font>
      <u/>
      <sz val="10"/>
      <color indexed="12"/>
      <name val="Arial"/>
      <family val="2"/>
    </font>
    <font>
      <sz val="10"/>
      <color indexed="8"/>
      <name val="Arial"/>
      <family val="2"/>
    </font>
    <font>
      <sz val="11"/>
      <color indexed="9"/>
      <name val="Calibri"/>
      <family val="2"/>
    </font>
    <font>
      <sz val="11"/>
      <color indexed="62"/>
      <name val="Calibri"/>
      <family val="2"/>
    </font>
    <font>
      <b/>
      <sz val="10"/>
      <color indexed="5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9"/>
      <name val="Calibri"/>
      <family val="2"/>
    </font>
    <font>
      <i/>
      <sz val="10"/>
      <color indexed="23"/>
      <name val="Arial"/>
      <family val="2"/>
    </font>
    <font>
      <sz val="11"/>
      <color indexed="10"/>
      <name val="Calibri"/>
      <family val="2"/>
    </font>
    <font>
      <sz val="11"/>
      <color indexed="52"/>
      <name val="Calibri"/>
      <family val="2"/>
    </font>
    <font>
      <sz val="10"/>
      <color indexed="62"/>
      <name val="Arial"/>
      <family val="2"/>
    </font>
    <font>
      <sz val="11"/>
      <color indexed="17"/>
      <name val="Calibri"/>
      <family val="2"/>
    </font>
    <font>
      <b/>
      <sz val="11"/>
      <color indexed="63"/>
      <name val="Calibri"/>
      <family val="2"/>
    </font>
    <font>
      <i/>
      <sz val="11"/>
      <color indexed="23"/>
      <name val="Calibri"/>
      <family val="2"/>
    </font>
    <font>
      <b/>
      <sz val="11"/>
      <color indexed="8"/>
      <name val="Calibri"/>
      <family val="2"/>
    </font>
    <font>
      <b/>
      <sz val="10"/>
      <color indexed="63"/>
      <name val="Arial"/>
      <family val="2"/>
    </font>
    <font>
      <sz val="11"/>
      <color indexed="20"/>
      <name val="Calibri"/>
      <family val="2"/>
    </font>
    <font>
      <sz val="11"/>
      <color indexed="60"/>
      <name val="Calibri"/>
      <family val="2"/>
    </font>
    <font>
      <b/>
      <sz val="11"/>
      <color indexed="52"/>
      <name val="Calibri"/>
      <family val="2"/>
    </font>
    <font>
      <sz val="10"/>
      <color indexed="10"/>
      <name val="Arial"/>
      <family val="2"/>
    </font>
    <font>
      <sz val="10"/>
      <color indexed="9"/>
      <name val="Arial"/>
      <family val="2"/>
    </font>
    <font>
      <sz val="10"/>
      <color indexed="20"/>
      <name val="Arial"/>
      <family val="2"/>
    </font>
    <font>
      <b/>
      <sz val="10"/>
      <color indexed="9"/>
      <name val="Arial"/>
      <family val="2"/>
    </font>
    <font>
      <sz val="10"/>
      <color indexed="17"/>
      <name val="Arial"/>
      <family val="2"/>
    </font>
    <font>
      <b/>
      <sz val="15"/>
      <color indexed="56"/>
      <name val="Arial"/>
      <family val="2"/>
    </font>
    <font>
      <b/>
      <sz val="13"/>
      <color indexed="56"/>
      <name val="Arial"/>
      <family val="2"/>
    </font>
    <font>
      <b/>
      <sz val="11"/>
      <color indexed="56"/>
      <name val="Arial"/>
      <family val="2"/>
    </font>
    <font>
      <sz val="10"/>
      <color indexed="52"/>
      <name val="Arial"/>
      <family val="2"/>
    </font>
    <font>
      <sz val="10"/>
      <color indexed="60"/>
      <name val="Arial"/>
      <family val="2"/>
    </font>
    <font>
      <b/>
      <sz val="10"/>
      <color indexed="8"/>
      <name val="Arial"/>
      <family val="2"/>
    </font>
    <font>
      <sz val="10"/>
      <color theme="1"/>
      <name val="Arial"/>
      <family val="2"/>
    </font>
    <font>
      <sz val="11"/>
      <color theme="1"/>
      <name val="Calibri"/>
      <family val="2"/>
      <charset val="238"/>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sz val="11"/>
      <color theme="1"/>
      <name val="Arial"/>
      <family val="2"/>
    </font>
    <font>
      <sz val="11"/>
      <color theme="0"/>
      <name val="Arial"/>
      <family val="2"/>
    </font>
    <font>
      <b/>
      <sz val="10"/>
      <color indexed="63"/>
      <name val="Times New Roman"/>
      <family val="1"/>
    </font>
    <font>
      <sz val="10"/>
      <color theme="1"/>
      <name val="Times New Roman"/>
      <family val="1"/>
    </font>
    <font>
      <b/>
      <sz val="10"/>
      <color theme="1"/>
      <name val="Times New Roman"/>
      <family val="1"/>
    </font>
    <font>
      <b/>
      <u/>
      <sz val="10"/>
      <color theme="10"/>
      <name val="Times New Roman"/>
      <family val="1"/>
    </font>
    <font>
      <b/>
      <sz val="10"/>
      <name val="Times New Roman"/>
      <family val="1"/>
    </font>
    <font>
      <sz val="10"/>
      <color indexed="63"/>
      <name val="Times New Roman"/>
      <family val="1"/>
    </font>
    <font>
      <i/>
      <sz val="10"/>
      <color theme="1"/>
      <name val="Times New Roman"/>
      <family val="1"/>
    </font>
    <font>
      <sz val="10"/>
      <color indexed="8"/>
      <name val="Times New Roman"/>
      <family val="1"/>
    </font>
    <font>
      <sz val="10"/>
      <color rgb="FF000000"/>
      <name val="Times New Roman"/>
      <family val="1"/>
    </font>
    <font>
      <u/>
      <sz val="10"/>
      <color theme="1"/>
      <name val="Times New Roman"/>
      <family val="1"/>
    </font>
    <font>
      <b/>
      <sz val="10"/>
      <color rgb="FFC00000"/>
      <name val="Times New Roman"/>
      <family val="1"/>
    </font>
    <font>
      <b/>
      <sz val="10"/>
      <color theme="0"/>
      <name val="Times New Roman"/>
      <family val="1"/>
    </font>
    <font>
      <sz val="10"/>
      <color theme="1"/>
      <name val="Calibri"/>
      <family val="2"/>
      <scheme val="minor"/>
    </font>
    <font>
      <sz val="10"/>
      <color rgb="FFC00000"/>
      <name val="Times New Roman"/>
      <family val="1"/>
    </font>
    <font>
      <i/>
      <sz val="10"/>
      <name val="Times New Roman"/>
      <family val="1"/>
    </font>
    <font>
      <sz val="11"/>
      <color rgb="FF9C6500"/>
      <name val="Calibri"/>
      <family val="2"/>
      <scheme val="minor"/>
    </font>
    <font>
      <sz val="10"/>
      <name val="Times New Roman"/>
      <family val="1"/>
    </font>
    <font>
      <b/>
      <sz val="18"/>
      <color theme="3"/>
      <name val="Cambria"/>
      <family val="2"/>
      <charset val="238"/>
      <scheme val="major"/>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1"/>
      <color rgb="FF006100"/>
      <name val="Calibri"/>
      <family val="2"/>
      <charset val="238"/>
      <scheme val="minor"/>
    </font>
    <font>
      <sz val="11"/>
      <color rgb="FF9C0006"/>
      <name val="Calibri"/>
      <family val="2"/>
      <charset val="238"/>
      <scheme val="minor"/>
    </font>
    <font>
      <sz val="11"/>
      <color rgb="FF9C6500"/>
      <name val="Calibri"/>
      <family val="2"/>
      <charset val="238"/>
      <scheme val="minor"/>
    </font>
    <font>
      <sz val="11"/>
      <color rgb="FF3F3F76"/>
      <name val="Calibri"/>
      <family val="2"/>
      <charset val="238"/>
      <scheme val="minor"/>
    </font>
    <font>
      <b/>
      <sz val="11"/>
      <color rgb="FF3F3F3F"/>
      <name val="Calibri"/>
      <family val="2"/>
      <charset val="238"/>
      <scheme val="minor"/>
    </font>
    <font>
      <b/>
      <sz val="11"/>
      <color rgb="FFFA7D00"/>
      <name val="Calibri"/>
      <family val="2"/>
      <charset val="238"/>
      <scheme val="minor"/>
    </font>
    <font>
      <sz val="11"/>
      <color rgb="FFFA7D00"/>
      <name val="Calibri"/>
      <family val="2"/>
      <charset val="238"/>
      <scheme val="minor"/>
    </font>
    <font>
      <b/>
      <sz val="11"/>
      <color theme="0"/>
      <name val="Calibri"/>
      <family val="2"/>
      <charset val="238"/>
      <scheme val="minor"/>
    </font>
    <font>
      <sz val="11"/>
      <color rgb="FFFF0000"/>
      <name val="Calibri"/>
      <family val="2"/>
      <charset val="238"/>
      <scheme val="minor"/>
    </font>
    <font>
      <i/>
      <sz val="11"/>
      <color rgb="FF7F7F7F"/>
      <name val="Calibri"/>
      <family val="2"/>
      <charset val="238"/>
      <scheme val="minor"/>
    </font>
    <font>
      <b/>
      <sz val="11"/>
      <color theme="1"/>
      <name val="Calibri"/>
      <family val="2"/>
      <charset val="238"/>
      <scheme val="minor"/>
    </font>
    <font>
      <sz val="11"/>
      <color theme="0"/>
      <name val="Calibri"/>
      <family val="2"/>
      <charset val="238"/>
      <scheme val="minor"/>
    </font>
    <font>
      <sz val="10"/>
      <color indexed="64"/>
      <name val="Arial"/>
      <family val="2"/>
      <charset val="238"/>
    </font>
    <font>
      <b/>
      <sz val="10"/>
      <color indexed="64"/>
      <name val="Arial"/>
      <family val="2"/>
      <charset val="238"/>
    </font>
    <font>
      <sz val="11"/>
      <color indexed="8"/>
      <name val="Calibri"/>
      <family val="2"/>
      <charset val="238"/>
    </font>
    <font>
      <sz val="10"/>
      <name val="Arial"/>
      <family val="2"/>
      <charset val="238"/>
    </font>
    <font>
      <sz val="10"/>
      <color indexed="8"/>
      <name val="Calibri"/>
      <family val="2"/>
    </font>
    <font>
      <sz val="13"/>
      <color theme="3"/>
      <name val="Calibri"/>
      <family val="2"/>
      <charset val="238"/>
      <scheme val="minor"/>
    </font>
    <font>
      <b/>
      <sz val="13"/>
      <color theme="0"/>
      <name val="Calibri"/>
      <family val="2"/>
      <charset val="238"/>
      <scheme val="minor"/>
    </font>
    <font>
      <b/>
      <sz val="14"/>
      <color theme="3"/>
      <name val="Calibri"/>
      <family val="2"/>
      <charset val="238"/>
      <scheme val="minor"/>
    </font>
    <font>
      <b/>
      <sz val="9"/>
      <color theme="0"/>
      <name val="Calibri"/>
      <family val="2"/>
      <charset val="238"/>
      <scheme val="minor"/>
    </font>
    <font>
      <sz val="12"/>
      <color theme="0"/>
      <name val="Calibri"/>
      <family val="2"/>
      <charset val="238"/>
      <scheme val="minor"/>
    </font>
    <font>
      <sz val="11"/>
      <name val="Calibri"/>
      <family val="2"/>
      <scheme val="minor"/>
    </font>
    <font>
      <b/>
      <sz val="8"/>
      <name val="Times New Roman"/>
      <family val="1"/>
    </font>
    <font>
      <i/>
      <sz val="11"/>
      <color rgb="FF7030A0"/>
      <name val="Calibri"/>
      <family val="2"/>
      <scheme val="minor"/>
    </font>
    <font>
      <sz val="10"/>
      <name val="Calibri"/>
      <family val="2"/>
    </font>
  </fonts>
  <fills count="71">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47"/>
        <bgColor indexed="64"/>
      </patternFill>
    </fill>
    <fill>
      <patternFill patternType="solid">
        <fgColor indexed="13"/>
        <bgColor indexed="64"/>
      </patternFill>
    </fill>
    <fill>
      <patternFill patternType="solid">
        <fgColor indexed="26"/>
      </patternFill>
    </fill>
    <fill>
      <patternFill patternType="solid">
        <fgColor indexed="43"/>
      </patternFill>
    </fill>
    <fill>
      <patternFill patternType="solid">
        <fgColor indexed="9"/>
        <bgColor indexed="64"/>
      </patternFill>
    </fill>
    <fill>
      <patternFill patternType="solid">
        <fgColor theme="0" tint="-0.249977111117893"/>
        <bgColor indexed="64"/>
      </patternFill>
    </fill>
    <fill>
      <patternFill patternType="solid">
        <fgColor rgb="FFFFFF99"/>
        <bgColor indexed="64"/>
      </patternFill>
    </fill>
    <fill>
      <patternFill patternType="solid">
        <fgColor theme="0"/>
        <bgColor indexed="64"/>
      </patternFill>
    </fill>
    <fill>
      <patternFill patternType="solid">
        <fgColor theme="3"/>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FFC000"/>
        <bgColor indexed="64"/>
      </patternFill>
    </fill>
    <fill>
      <patternFill patternType="solid">
        <fgColor rgb="FFFFEB9C"/>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indexed="57"/>
        <bgColor indexed="9"/>
      </patternFill>
    </fill>
    <fill>
      <patternFill patternType="solid">
        <fgColor theme="4"/>
        <bgColor indexed="64"/>
      </patternFill>
    </fill>
    <fill>
      <patternFill patternType="solid">
        <fgColor theme="6"/>
        <bgColor theme="0"/>
      </patternFill>
    </fill>
    <fill>
      <patternFill patternType="solid">
        <fgColor rgb="FFBFBFBF"/>
        <bgColor indexed="64"/>
      </patternFill>
    </fill>
  </fills>
  <borders count="9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top style="thin">
        <color theme="4"/>
      </top>
      <bottom style="double">
        <color theme="4"/>
      </bottom>
      <diagonal/>
    </border>
    <border>
      <left/>
      <right style="medium">
        <color indexed="64"/>
      </right>
      <top/>
      <bottom style="thin">
        <color indexed="64"/>
      </bottom>
      <diagonal/>
    </border>
    <border>
      <left style="medium">
        <color indexed="64"/>
      </left>
      <right style="thin">
        <color indexed="64"/>
      </right>
      <top style="medium">
        <color indexed="64"/>
      </top>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thick">
        <color indexed="64"/>
      </left>
      <right style="thick">
        <color indexed="64"/>
      </right>
      <top style="thick">
        <color indexed="64"/>
      </top>
      <bottom style="thick">
        <color indexed="64"/>
      </bottom>
      <diagonal/>
    </border>
    <border>
      <left/>
      <right/>
      <top/>
      <bottom style="medium">
        <color theme="4"/>
      </bottom>
      <diagonal/>
    </border>
    <border>
      <left/>
      <right style="thin">
        <color indexed="64"/>
      </right>
      <top/>
      <bottom/>
      <diagonal/>
    </border>
    <border>
      <left/>
      <right style="medium">
        <color indexed="64"/>
      </right>
      <top style="thin">
        <color indexed="64"/>
      </top>
      <bottom/>
      <diagonal/>
    </border>
    <border>
      <left/>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style="medium">
        <color indexed="64"/>
      </top>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s>
  <cellStyleXfs count="11833">
    <xf numFmtId="0" fontId="0" fillId="0" borderId="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29"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29" borderId="0" applyNumberFormat="0" applyBorder="0" applyAlignment="0" applyProtection="0"/>
    <xf numFmtId="0" fontId="3" fillId="29" borderId="0" applyNumberFormat="0" applyBorder="0" applyAlignment="0" applyProtection="0"/>
    <xf numFmtId="0" fontId="3" fillId="29"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7" fillId="29" borderId="0" applyNumberFormat="0" applyBorder="0" applyAlignment="0" applyProtection="0"/>
    <xf numFmtId="0" fontId="7" fillId="32" borderId="0" applyNumberFormat="0" applyBorder="0" applyAlignment="0" applyProtection="0"/>
    <xf numFmtId="0" fontId="7" fillId="35"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29"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8" fillId="36"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8" fillId="37" borderId="0" applyNumberFormat="0" applyBorder="0" applyAlignment="0" applyProtection="0"/>
    <xf numFmtId="0" fontId="8" fillId="38" borderId="0" applyNumberFormat="0" applyBorder="0" applyAlignment="0" applyProtection="0"/>
    <xf numFmtId="0" fontId="8" fillId="39" borderId="0" applyNumberFormat="0" applyBorder="0" applyAlignment="0" applyProtection="0"/>
    <xf numFmtId="0" fontId="29" fillId="36" borderId="0" applyNumberFormat="0" applyBorder="0" applyAlignment="0" applyProtection="0"/>
    <xf numFmtId="0" fontId="29" fillId="33" borderId="0" applyNumberFormat="0" applyBorder="0" applyAlignment="0" applyProtection="0"/>
    <xf numFmtId="0" fontId="29" fillId="34" borderId="0" applyNumberFormat="0" applyBorder="0" applyAlignment="0" applyProtection="0"/>
    <xf numFmtId="0" fontId="29" fillId="37"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8" fillId="36"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8" fillId="37" borderId="0" applyNumberFormat="0" applyBorder="0" applyAlignment="0" applyProtection="0"/>
    <xf numFmtId="0" fontId="8" fillId="38" borderId="0" applyNumberFormat="0" applyBorder="0" applyAlignment="0" applyProtection="0"/>
    <xf numFmtId="0" fontId="8" fillId="39"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9" fillId="42" borderId="0" applyNumberFormat="0" applyBorder="0" applyAlignment="0" applyProtection="0"/>
    <xf numFmtId="0" fontId="29" fillId="37" borderId="0" applyNumberFormat="0" applyBorder="0" applyAlignment="0" applyProtection="0"/>
    <xf numFmtId="0" fontId="29" fillId="38" borderId="0" applyNumberFormat="0" applyBorder="0" applyAlignment="0" applyProtection="0"/>
    <xf numFmtId="0" fontId="29" fillId="43" borderId="0" applyNumberFormat="0" applyBorder="0" applyAlignment="0" applyProtection="0"/>
    <xf numFmtId="0" fontId="30" fillId="27" borderId="0" applyNumberFormat="0" applyBorder="0" applyAlignment="0" applyProtection="0"/>
    <xf numFmtId="0" fontId="9" fillId="31" borderId="9" applyNumberFormat="0" applyAlignment="0" applyProtection="0"/>
    <xf numFmtId="0" fontId="20" fillId="28" borderId="0" applyNumberFormat="0" applyBorder="0" applyAlignment="0" applyProtection="0"/>
    <xf numFmtId="0" fontId="10" fillId="44" borderId="9" applyNumberFormat="0" applyAlignment="0" applyProtection="0"/>
    <xf numFmtId="0" fontId="10" fillId="44" borderId="9" applyNumberFormat="0" applyAlignment="0" applyProtection="0"/>
    <xf numFmtId="0" fontId="27" fillId="44" borderId="9" applyNumberFormat="0" applyAlignment="0" applyProtection="0"/>
    <xf numFmtId="0" fontId="15" fillId="45" borderId="10" applyNumberFormat="0" applyAlignment="0" applyProtection="0"/>
    <xf numFmtId="0" fontId="18" fillId="0" borderId="11" applyNumberFormat="0" applyFill="0" applyAlignment="0" applyProtection="0"/>
    <xf numFmtId="0" fontId="31" fillId="45" borderId="10" applyNumberFormat="0" applyAlignment="0" applyProtection="0"/>
    <xf numFmtId="0" fontId="11" fillId="0" borderId="0" applyNumberFormat="0" applyFill="0" applyBorder="0" applyAlignment="0" applyProtection="0"/>
    <xf numFmtId="0" fontId="12" fillId="0" borderId="12" applyNumberFormat="0" applyFill="0" applyAlignment="0" applyProtection="0"/>
    <xf numFmtId="0" fontId="13" fillId="0" borderId="13" applyNumberFormat="0" applyFill="0" applyAlignment="0" applyProtection="0"/>
    <xf numFmtId="0" fontId="14" fillId="0" borderId="14" applyNumberFormat="0" applyFill="0" applyAlignment="0" applyProtection="0"/>
    <xf numFmtId="0" fontId="14" fillId="0" borderId="0" applyNumberFormat="0" applyFill="0" applyBorder="0" applyAlignment="0" applyProtection="0"/>
    <xf numFmtId="0" fontId="15" fillId="45" borderId="10" applyNumberFormat="0" applyAlignment="0" applyProtection="0"/>
    <xf numFmtId="0" fontId="14" fillId="0" borderId="0" applyNumberFormat="0" applyFill="0" applyBorder="0" applyAlignment="0" applyProtection="0"/>
    <xf numFmtId="0" fontId="8" fillId="40" borderId="0" applyNumberFormat="0" applyBorder="0" applyAlignment="0" applyProtection="0"/>
    <xf numFmtId="0" fontId="8" fillId="41" borderId="0" applyNumberFormat="0" applyBorder="0" applyAlignment="0" applyProtection="0"/>
    <xf numFmtId="0" fontId="8" fillId="42" borderId="0" applyNumberFormat="0" applyBorder="0" applyAlignment="0" applyProtection="0"/>
    <xf numFmtId="0" fontId="8" fillId="37" borderId="0" applyNumberFormat="0" applyBorder="0" applyAlignment="0" applyProtection="0"/>
    <xf numFmtId="0" fontId="8" fillId="38" borderId="0" applyNumberFormat="0" applyBorder="0" applyAlignment="0" applyProtection="0"/>
    <xf numFmtId="0" fontId="8" fillId="43" borderId="0" applyNumberFormat="0" applyBorder="0" applyAlignment="0" applyProtection="0"/>
    <xf numFmtId="0" fontId="9" fillId="31" borderId="9" applyNumberFormat="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32" fillId="28" borderId="0" applyNumberFormat="0" applyBorder="0" applyAlignment="0" applyProtection="0"/>
    <xf numFmtId="0" fontId="4" fillId="46" borderId="15" applyNumberFormat="0" applyFont="0" applyBorder="0" applyProtection="0">
      <alignment horizontal="center" vertical="center"/>
    </xf>
    <xf numFmtId="0" fontId="33" fillId="0" borderId="12" applyNumberFormat="0" applyFill="0" applyAlignment="0" applyProtection="0"/>
    <xf numFmtId="0" fontId="34" fillId="0" borderId="13" applyNumberFormat="0" applyFill="0" applyAlignment="0" applyProtection="0"/>
    <xf numFmtId="0" fontId="35" fillId="0" borderId="14" applyNumberFormat="0" applyFill="0" applyAlignment="0" applyProtection="0"/>
    <xf numFmtId="0" fontId="35" fillId="0" borderId="0" applyNumberFormat="0" applyFill="0" applyBorder="0" applyAlignment="0" applyProtection="0"/>
    <xf numFmtId="3" fontId="4" fillId="47" borderId="15" applyFont="0" applyProtection="0">
      <alignment horizontal="right" vertical="center"/>
    </xf>
    <xf numFmtId="0" fontId="4" fillId="47" borderId="16" applyNumberFormat="0" applyFont="0" applyBorder="0" applyProtection="0">
      <alignment horizontal="left" vertical="center"/>
    </xf>
    <xf numFmtId="0" fontId="6" fillId="0" borderId="0" applyNumberFormat="0" applyFill="0" applyBorder="0" applyAlignment="0" applyProtection="0">
      <alignment vertical="top"/>
      <protection locked="0"/>
    </xf>
    <xf numFmtId="0" fontId="18" fillId="0" borderId="11" applyNumberFormat="0" applyFill="0" applyAlignment="0" applyProtection="0"/>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25" fillId="27" borderId="0" applyNumberFormat="0" applyBorder="0" applyAlignment="0" applyProtection="0"/>
    <xf numFmtId="0" fontId="19" fillId="31" borderId="9" applyNumberFormat="0" applyAlignment="0" applyProtection="0"/>
    <xf numFmtId="0" fontId="19" fillId="31" borderId="9" applyNumberFormat="0" applyAlignment="0" applyProtection="0"/>
    <xf numFmtId="3" fontId="4" fillId="48" borderId="15" applyFont="0">
      <alignment horizontal="right" vertical="center"/>
      <protection locked="0"/>
    </xf>
    <xf numFmtId="0" fontId="4" fillId="49" borderId="17" applyNumberFormat="0" applyFont="0" applyAlignment="0" applyProtection="0"/>
    <xf numFmtId="0" fontId="8" fillId="40" borderId="0" applyNumberFormat="0" applyBorder="0" applyAlignment="0" applyProtection="0"/>
    <xf numFmtId="0" fontId="8" fillId="41" borderId="0" applyNumberFormat="0" applyBorder="0" applyAlignment="0" applyProtection="0"/>
    <xf numFmtId="0" fontId="8" fillId="42" borderId="0" applyNumberFormat="0" applyBorder="0" applyAlignment="0" applyProtection="0"/>
    <xf numFmtId="0" fontId="8" fillId="37" borderId="0" applyNumberFormat="0" applyBorder="0" applyAlignment="0" applyProtection="0"/>
    <xf numFmtId="0" fontId="8" fillId="38" borderId="0" applyNumberFormat="0" applyBorder="0" applyAlignment="0" applyProtection="0"/>
    <xf numFmtId="0" fontId="8" fillId="43" borderId="0" applyNumberFormat="0" applyBorder="0" applyAlignment="0" applyProtection="0"/>
    <xf numFmtId="0" fontId="20" fillId="28" borderId="0" applyNumberFormat="0" applyBorder="0" applyAlignment="0" applyProtection="0"/>
    <xf numFmtId="0" fontId="21" fillId="44" borderId="18" applyNumberFormat="0" applyAlignment="0" applyProtection="0"/>
    <xf numFmtId="0" fontId="6"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36" fillId="0" borderId="11" applyNumberFormat="0" applyFill="0" applyAlignment="0" applyProtection="0"/>
    <xf numFmtId="0" fontId="22" fillId="0" borderId="0" applyNumberFormat="0" applyFill="0" applyBorder="0" applyAlignment="0" applyProtection="0"/>
    <xf numFmtId="165" fontId="4" fillId="0" borderId="0" applyFill="0" applyBorder="0" applyAlignment="0" applyProtection="0"/>
    <xf numFmtId="165" fontId="4" fillId="0" borderId="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37" fillId="5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3" fillId="0" borderId="0"/>
    <xf numFmtId="0" fontId="4" fillId="0" borderId="0"/>
    <xf numFmtId="0" fontId="4" fillId="0" borderId="0"/>
    <xf numFmtId="0" fontId="3" fillId="0" borderId="0"/>
    <xf numFmtId="0" fontId="4" fillId="0" borderId="0"/>
    <xf numFmtId="0" fontId="4" fillId="0" borderId="0"/>
    <xf numFmtId="0" fontId="1" fillId="0" borderId="0"/>
    <xf numFmtId="0" fontId="4" fillId="0" borderId="0"/>
    <xf numFmtId="0" fontId="3" fillId="0" borderId="0"/>
    <xf numFmtId="0" fontId="39" fillId="0" borderId="0"/>
    <xf numFmtId="0" fontId="4" fillId="0" borderId="0"/>
    <xf numFmtId="0" fontId="4" fillId="0" borderId="0"/>
    <xf numFmtId="0" fontId="40" fillId="0" borderId="0"/>
    <xf numFmtId="0" fontId="4" fillId="0" borderId="0"/>
    <xf numFmtId="0" fontId="4" fillId="49" borderId="17" applyNumberFormat="0" applyFont="0" applyAlignment="0" applyProtection="0"/>
    <xf numFmtId="0" fontId="4" fillId="49" borderId="17" applyNumberFormat="0" applyFont="0" applyAlignment="0" applyProtection="0"/>
    <xf numFmtId="0" fontId="23" fillId="0" borderId="19" applyNumberFormat="0" applyFill="0" applyAlignment="0" applyProtection="0"/>
    <xf numFmtId="0" fontId="24" fillId="44" borderId="18" applyNumberFormat="0" applyAlignment="0" applyProtection="0"/>
    <xf numFmtId="0" fontId="24" fillId="44" borderId="18"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25" fillId="27" borderId="0" applyNumberFormat="0" applyBorder="0" applyAlignment="0" applyProtection="0"/>
    <xf numFmtId="0" fontId="21" fillId="44" borderId="18" applyNumberFormat="0" applyAlignment="0" applyProtection="0"/>
    <xf numFmtId="0" fontId="26" fillId="50" borderId="0" applyNumberFormat="0" applyBorder="0" applyAlignment="0" applyProtection="0"/>
    <xf numFmtId="3" fontId="4" fillId="51" borderId="15" applyFont="0">
      <alignment horizontal="right" vertical="center"/>
    </xf>
    <xf numFmtId="0" fontId="4" fillId="0" borderId="0"/>
    <xf numFmtId="0" fontId="4" fillId="0" borderId="0"/>
    <xf numFmtId="0" fontId="3" fillId="0" borderId="0"/>
    <xf numFmtId="0" fontId="4" fillId="0" borderId="0"/>
    <xf numFmtId="0" fontId="27" fillId="44" borderId="9" applyNumberFormat="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2" fillId="0" borderId="12" applyNumberFormat="0" applyFill="0" applyAlignment="0" applyProtection="0"/>
    <xf numFmtId="0" fontId="13" fillId="0" borderId="13" applyNumberFormat="0" applyFill="0" applyAlignment="0" applyProtection="0"/>
    <xf numFmtId="0" fontId="14" fillId="0" borderId="14" applyNumberFormat="0" applyFill="0" applyAlignment="0" applyProtection="0"/>
    <xf numFmtId="0" fontId="11" fillId="0" borderId="0" applyNumberFormat="0" applyFill="0" applyBorder="0" applyAlignment="0" applyProtection="0"/>
    <xf numFmtId="0" fontId="38" fillId="0" borderId="19" applyNumberFormat="0" applyFill="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 fillId="0" borderId="0" applyNumberFormat="0" applyFill="0" applyBorder="0" applyAlignment="0" applyProtection="0"/>
    <xf numFmtId="0" fontId="41" fillId="0" borderId="1" applyNumberFormat="0" applyFill="0" applyAlignment="0" applyProtection="0"/>
    <xf numFmtId="0" fontId="42" fillId="0" borderId="2" applyNumberFormat="0" applyFill="0" applyAlignment="0" applyProtection="0"/>
    <xf numFmtId="0" fontId="43" fillId="0" borderId="3" applyNumberFormat="0" applyFill="0" applyAlignment="0" applyProtection="0"/>
    <xf numFmtId="0" fontId="43" fillId="0" borderId="0" applyNumberFormat="0" applyFill="0" applyBorder="0" applyAlignment="0" applyProtection="0"/>
    <xf numFmtId="0" fontId="44" fillId="2" borderId="0" applyNumberFormat="0" applyBorder="0" applyAlignment="0" applyProtection="0"/>
    <xf numFmtId="0" fontId="45" fillId="3" borderId="0" applyNumberFormat="0" applyBorder="0" applyAlignment="0" applyProtection="0"/>
    <xf numFmtId="0" fontId="46" fillId="4" borderId="4" applyNumberFormat="0" applyAlignment="0" applyProtection="0"/>
    <xf numFmtId="0" fontId="47" fillId="5" borderId="5" applyNumberFormat="0" applyAlignment="0" applyProtection="0"/>
    <xf numFmtId="0" fontId="48" fillId="5" borderId="4" applyNumberFormat="0" applyAlignment="0" applyProtection="0"/>
    <xf numFmtId="0" fontId="49" fillId="0" borderId="6" applyNumberFormat="0" applyFill="0" applyAlignment="0" applyProtection="0"/>
    <xf numFmtId="0" fontId="50" fillId="6" borderId="7" applyNumberFormat="0" applyAlignment="0" applyProtection="0"/>
    <xf numFmtId="0" fontId="51" fillId="0" borderId="0" applyNumberFormat="0" applyFill="0" applyBorder="0" applyAlignment="0" applyProtection="0"/>
    <xf numFmtId="0" fontId="1" fillId="7" borderId="8" applyNumberFormat="0" applyFont="0" applyAlignment="0" applyProtection="0"/>
    <xf numFmtId="0" fontId="52" fillId="0" borderId="0" applyNumberFormat="0" applyFill="0" applyBorder="0" applyAlignment="0" applyProtection="0"/>
    <xf numFmtId="0" fontId="53" fillId="8" borderId="0" applyNumberFormat="0" applyBorder="0" applyAlignment="0" applyProtection="0"/>
    <xf numFmtId="0" fontId="53" fillId="9" borderId="0" applyNumberFormat="0" applyBorder="0" applyAlignment="0" applyProtection="0"/>
    <xf numFmtId="0" fontId="54" fillId="10" borderId="0" applyNumberFormat="0" applyBorder="0" applyAlignment="0" applyProtection="0"/>
    <xf numFmtId="0" fontId="53" fillId="11" borderId="0" applyNumberFormat="0" applyBorder="0" applyAlignment="0" applyProtection="0"/>
    <xf numFmtId="0" fontId="53" fillId="12" borderId="0" applyNumberFormat="0" applyBorder="0" applyAlignment="0" applyProtection="0"/>
    <xf numFmtId="0" fontId="54" fillId="13" borderId="0" applyNumberFormat="0" applyBorder="0" applyAlignment="0" applyProtection="0"/>
    <xf numFmtId="0" fontId="53" fillId="14" borderId="0" applyNumberFormat="0" applyBorder="0" applyAlignment="0" applyProtection="0"/>
    <xf numFmtId="0" fontId="53" fillId="15" borderId="0" applyNumberFormat="0" applyBorder="0" applyAlignment="0" applyProtection="0"/>
    <xf numFmtId="0" fontId="54" fillId="16" borderId="0" applyNumberFormat="0" applyBorder="0" applyAlignment="0" applyProtection="0"/>
    <xf numFmtId="0" fontId="53" fillId="17" borderId="0" applyNumberFormat="0" applyBorder="0" applyAlignment="0" applyProtection="0"/>
    <xf numFmtId="0" fontId="53" fillId="18" borderId="0" applyNumberFormat="0" applyBorder="0" applyAlignment="0" applyProtection="0"/>
    <xf numFmtId="0" fontId="54" fillId="19" borderId="0" applyNumberFormat="0" applyBorder="0" applyAlignment="0" applyProtection="0"/>
    <xf numFmtId="0" fontId="53" fillId="20" borderId="0" applyNumberFormat="0" applyBorder="0" applyAlignment="0" applyProtection="0"/>
    <xf numFmtId="0" fontId="53" fillId="21" borderId="0" applyNumberFormat="0" applyBorder="0" applyAlignment="0" applyProtection="0"/>
    <xf numFmtId="0" fontId="54" fillId="22" borderId="0" applyNumberFormat="0" applyBorder="0" applyAlignment="0" applyProtection="0"/>
    <xf numFmtId="0" fontId="53" fillId="23" borderId="0" applyNumberFormat="0" applyBorder="0" applyAlignment="0" applyProtection="0"/>
    <xf numFmtId="0" fontId="53" fillId="24"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8"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70" fillId="60" borderId="0" applyNumberFormat="0" applyBorder="0" applyAlignment="0" applyProtection="0"/>
    <xf numFmtId="0" fontId="53" fillId="8" borderId="0" applyNumberFormat="0" applyBorder="0" applyAlignment="0" applyProtection="0"/>
    <xf numFmtId="0" fontId="52" fillId="0" borderId="0" applyNumberFormat="0" applyFill="0" applyBorder="0" applyAlignment="0" applyProtection="0"/>
    <xf numFmtId="0" fontId="1" fillId="7" borderId="8" applyNumberFormat="0" applyFont="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8" fillId="0" borderId="0" applyNumberFormat="0" applyFill="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40" fillId="0" borderId="0"/>
    <xf numFmtId="9" fontId="40" fillId="0" borderId="0" applyFont="0" applyFill="0" applyBorder="0" applyAlignment="0" applyProtection="0"/>
    <xf numFmtId="172" fontId="40" fillId="0" borderId="0" applyFont="0" applyFill="0" applyBorder="0" applyAlignment="0" applyProtection="0"/>
    <xf numFmtId="0" fontId="88" fillId="0" borderId="0"/>
    <xf numFmtId="0" fontId="88" fillId="0" borderId="0"/>
    <xf numFmtId="174" fontId="91" fillId="0" borderId="0"/>
    <xf numFmtId="174" fontId="40" fillId="8" borderId="0" applyNumberFormat="0" applyBorder="0" applyAlignment="0" applyProtection="0"/>
    <xf numFmtId="174" fontId="40" fillId="8" borderId="0" applyNumberFormat="0" applyBorder="0" applyAlignment="0" applyProtection="0"/>
    <xf numFmtId="174" fontId="40" fillId="11" borderId="0" applyNumberFormat="0" applyBorder="0" applyAlignment="0" applyProtection="0"/>
    <xf numFmtId="174" fontId="40" fillId="14" borderId="0" applyNumberFormat="0" applyBorder="0" applyAlignment="0" applyProtection="0"/>
    <xf numFmtId="174" fontId="40" fillId="17" borderId="0" applyNumberFormat="0" applyBorder="0" applyAlignment="0" applyProtection="0"/>
    <xf numFmtId="174" fontId="40" fillId="20" borderId="0" applyNumberFormat="0" applyBorder="0" applyAlignment="0" applyProtection="0"/>
    <xf numFmtId="174" fontId="40" fillId="23" borderId="0" applyNumberFormat="0" applyBorder="0" applyAlignment="0" applyProtection="0"/>
    <xf numFmtId="174" fontId="40" fillId="9" borderId="0" applyNumberFormat="0" applyBorder="0" applyAlignment="0" applyProtection="0"/>
    <xf numFmtId="174" fontId="40" fillId="12" borderId="0" applyNumberFormat="0" applyBorder="0" applyAlignment="0" applyProtection="0"/>
    <xf numFmtId="174" fontId="40" fillId="15" borderId="0" applyNumberFormat="0" applyBorder="0" applyAlignment="0" applyProtection="0"/>
    <xf numFmtId="174" fontId="40" fillId="18" borderId="0" applyNumberFormat="0" applyBorder="0" applyAlignment="0" applyProtection="0"/>
    <xf numFmtId="174" fontId="40" fillId="21" borderId="0" applyNumberFormat="0" applyBorder="0" applyAlignment="0" applyProtection="0"/>
    <xf numFmtId="174" fontId="40" fillId="24" borderId="0" applyNumberFormat="0" applyBorder="0" applyAlignment="0" applyProtection="0"/>
    <xf numFmtId="174" fontId="87" fillId="10" borderId="0" applyNumberFormat="0" applyBorder="0" applyAlignment="0" applyProtection="0"/>
    <xf numFmtId="174" fontId="87" fillId="13" borderId="0" applyNumberFormat="0" applyBorder="0" applyAlignment="0" applyProtection="0"/>
    <xf numFmtId="174" fontId="87" fillId="16" borderId="0" applyNumberFormat="0" applyBorder="0" applyAlignment="0" applyProtection="0"/>
    <xf numFmtId="174" fontId="87" fillId="19" borderId="0" applyNumberFormat="0" applyBorder="0" applyAlignment="0" applyProtection="0"/>
    <xf numFmtId="174" fontId="87" fillId="22" borderId="0" applyNumberFormat="0" applyBorder="0" applyAlignment="0" applyProtection="0"/>
    <xf numFmtId="174" fontId="87" fillId="25" borderId="0" applyNumberFormat="0" applyBorder="0" applyAlignment="0" applyProtection="0"/>
    <xf numFmtId="174" fontId="87" fillId="61" borderId="0" applyNumberFormat="0" applyBorder="0" applyAlignment="0" applyProtection="0"/>
    <xf numFmtId="174" fontId="87" fillId="62" borderId="0" applyNumberFormat="0" applyBorder="0" applyAlignment="0" applyProtection="0"/>
    <xf numFmtId="174" fontId="87" fillId="63" borderId="0" applyNumberFormat="0" applyBorder="0" applyAlignment="0" applyProtection="0"/>
    <xf numFmtId="174" fontId="87" fillId="64" borderId="0" applyNumberFormat="0" applyBorder="0" applyAlignment="0" applyProtection="0"/>
    <xf numFmtId="174" fontId="87" fillId="65" borderId="0" applyNumberFormat="0" applyBorder="0" applyAlignment="0" applyProtection="0"/>
    <xf numFmtId="174" fontId="87" fillId="66" borderId="0" applyNumberFormat="0" applyBorder="0" applyAlignment="0" applyProtection="0"/>
    <xf numFmtId="174" fontId="77" fillId="3" borderId="0" applyNumberFormat="0" applyBorder="0" applyAlignment="0" applyProtection="0"/>
    <xf numFmtId="174" fontId="81" fillId="5" borderId="4" applyNumberFormat="0" applyAlignment="0" applyProtection="0"/>
    <xf numFmtId="172" fontId="3" fillId="0" borderId="0" applyFont="0" applyFill="0" applyBorder="0" applyAlignment="0" applyProtection="0"/>
    <xf numFmtId="164" fontId="91" fillId="0" borderId="0" applyFont="0" applyFill="0" applyBorder="0" applyAlignment="0" applyProtection="0"/>
    <xf numFmtId="164" fontId="91" fillId="0" borderId="0" applyFont="0" applyFill="0" applyBorder="0" applyAlignment="0" applyProtection="0"/>
    <xf numFmtId="172" fontId="3" fillId="0" borderId="0" applyFont="0" applyFill="0" applyBorder="0" applyAlignment="0" applyProtection="0"/>
    <xf numFmtId="43" fontId="91" fillId="0" borderId="0" applyFont="0" applyFill="0" applyBorder="0" applyAlignment="0" applyProtection="0"/>
    <xf numFmtId="172" fontId="92" fillId="0" borderId="0" applyFont="0" applyFill="0" applyBorder="0" applyAlignment="0" applyProtection="0"/>
    <xf numFmtId="172" fontId="92" fillId="0" borderId="0" applyFont="0" applyFill="0" applyBorder="0" applyAlignment="0" applyProtection="0"/>
    <xf numFmtId="173" fontId="91" fillId="0" borderId="0" applyFont="0" applyFill="0" applyBorder="0" applyAlignment="0" applyProtection="0"/>
    <xf numFmtId="164" fontId="91" fillId="0" borderId="0" applyFont="0" applyFill="0" applyBorder="0" applyAlignment="0" applyProtection="0"/>
    <xf numFmtId="164" fontId="91" fillId="0" borderId="0" applyFont="0" applyFill="0" applyBorder="0" applyAlignment="0" applyProtection="0"/>
    <xf numFmtId="164" fontId="91" fillId="0" borderId="0" applyFont="0" applyFill="0" applyBorder="0" applyAlignment="0" applyProtection="0"/>
    <xf numFmtId="173" fontId="91" fillId="0" borderId="0" applyFont="0" applyFill="0" applyBorder="0" applyAlignment="0" applyProtection="0"/>
    <xf numFmtId="0" fontId="85" fillId="0" borderId="0" applyNumberFormat="0" applyFill="0" applyBorder="0" applyAlignment="0" applyProtection="0"/>
    <xf numFmtId="174" fontId="85" fillId="0" borderId="0" applyNumberFormat="0" applyFill="0" applyBorder="0" applyAlignment="0" applyProtection="0"/>
    <xf numFmtId="174" fontId="76" fillId="2" borderId="0" applyNumberFormat="0" applyBorder="0" applyAlignment="0" applyProtection="0"/>
    <xf numFmtId="174" fontId="73" fillId="0" borderId="87" applyNumberFormat="0" applyProtection="0">
      <alignment horizontal="left" indent="1" shrinkToFit="1"/>
    </xf>
    <xf numFmtId="0" fontId="73" fillId="0" borderId="87" applyNumberFormat="0" applyProtection="0">
      <alignment horizontal="left" indent="1" shrinkToFit="1"/>
    </xf>
    <xf numFmtId="174" fontId="73" fillId="0" borderId="1" applyNumberFormat="0" applyFill="0" applyAlignment="0" applyProtection="0"/>
    <xf numFmtId="0" fontId="73" fillId="0" borderId="1" applyNumberFormat="0" applyProtection="0">
      <alignment horizontal="left" indent="1" shrinkToFit="1"/>
    </xf>
    <xf numFmtId="174" fontId="93" fillId="67" borderId="86" applyNumberFormat="0" applyFill="0" applyAlignment="0" applyProtection="0"/>
    <xf numFmtId="0" fontId="93" fillId="67" borderId="86" applyNumberFormat="0" applyFill="0" applyAlignment="0" applyProtection="0"/>
    <xf numFmtId="0" fontId="93" fillId="67" borderId="86" applyNumberFormat="0" applyFill="0" applyAlignment="0" applyProtection="0"/>
    <xf numFmtId="174" fontId="93" fillId="67" borderId="86" applyNumberFormat="0" applyFill="0" applyAlignment="0" applyProtection="0"/>
    <xf numFmtId="174" fontId="94" fillId="68" borderId="86" applyAlignment="0" applyProtection="0"/>
    <xf numFmtId="0" fontId="94" fillId="68" borderId="86" applyAlignment="0" applyProtection="0"/>
    <xf numFmtId="0" fontId="94" fillId="68" borderId="86" applyProtection="0">
      <alignment shrinkToFit="1"/>
    </xf>
    <xf numFmtId="174" fontId="95" fillId="0" borderId="87" applyNumberFormat="0" applyAlignment="0" applyProtection="0"/>
    <xf numFmtId="0" fontId="95" fillId="0" borderId="87" applyNumberFormat="0" applyAlignment="0" applyProtection="0"/>
    <xf numFmtId="174" fontId="74" fillId="0" borderId="2" applyNumberFormat="0" applyFill="0" applyAlignment="0" applyProtection="0"/>
    <xf numFmtId="174" fontId="83" fillId="68" borderId="79" applyAlignment="0" applyProtection="0"/>
    <xf numFmtId="0" fontId="83" fillId="68" borderId="79" applyAlignment="0" applyProtection="0"/>
    <xf numFmtId="174" fontId="75" fillId="0" borderId="87" applyNumberFormat="0" applyAlignment="0" applyProtection="0"/>
    <xf numFmtId="0" fontId="75" fillId="0" borderId="87" applyNumberFormat="0" applyAlignment="0" applyProtection="0"/>
    <xf numFmtId="174" fontId="75" fillId="0" borderId="3" applyNumberFormat="0" applyFill="0" applyAlignment="0" applyProtection="0"/>
    <xf numFmtId="174" fontId="75" fillId="0" borderId="0" applyNumberFormat="0" applyFill="0" applyBorder="0" applyAlignment="0" applyProtection="0"/>
    <xf numFmtId="174" fontId="96" fillId="68" borderId="22" applyProtection="0">
      <alignment horizontal="center" vertical="center" wrapText="1"/>
    </xf>
    <xf numFmtId="0" fontId="96" fillId="68" borderId="22" applyProtection="0">
      <alignment horizontal="center" vertical="center" wrapText="1"/>
    </xf>
    <xf numFmtId="174" fontId="83" fillId="6" borderId="7" applyNumberFormat="0" applyAlignment="0" applyProtection="0"/>
    <xf numFmtId="174" fontId="79" fillId="4" borderId="4" applyNumberFormat="0" applyAlignment="0" applyProtection="0"/>
    <xf numFmtId="174" fontId="82" fillId="0" borderId="6" applyNumberFormat="0" applyFill="0" applyAlignment="0" applyProtection="0"/>
    <xf numFmtId="174" fontId="78" fillId="60" borderId="0" applyNumberFormat="0" applyBorder="0" applyAlignment="0" applyProtection="0"/>
    <xf numFmtId="0" fontId="40" fillId="0" borderId="0"/>
    <xf numFmtId="0" fontId="40" fillId="0" borderId="0"/>
    <xf numFmtId="0" fontId="40" fillId="0" borderId="0"/>
    <xf numFmtId="0" fontId="40" fillId="0" borderId="0"/>
    <xf numFmtId="0" fontId="40" fillId="0" borderId="0"/>
    <xf numFmtId="0" fontId="40" fillId="0" borderId="0"/>
    <xf numFmtId="174" fontId="40" fillId="0" borderId="0"/>
    <xf numFmtId="0" fontId="1" fillId="0" borderId="0"/>
    <xf numFmtId="0" fontId="91" fillId="0" borderId="0"/>
    <xf numFmtId="174" fontId="1" fillId="0" borderId="0"/>
    <xf numFmtId="174" fontId="91" fillId="0" borderId="0"/>
    <xf numFmtId="0" fontId="91" fillId="0" borderId="0"/>
    <xf numFmtId="174" fontId="91" fillId="0" borderId="0"/>
    <xf numFmtId="174" fontId="88" fillId="0" borderId="0"/>
    <xf numFmtId="174" fontId="91" fillId="0" borderId="0"/>
    <xf numFmtId="174" fontId="88" fillId="0" borderId="0"/>
    <xf numFmtId="174" fontId="91" fillId="0" borderId="0"/>
    <xf numFmtId="174" fontId="91" fillId="0" borderId="0"/>
    <xf numFmtId="174" fontId="88" fillId="0" borderId="0"/>
    <xf numFmtId="174" fontId="67" fillId="0" borderId="0"/>
    <xf numFmtId="174" fontId="1" fillId="0" borderId="0"/>
    <xf numFmtId="174" fontId="91" fillId="0" borderId="0"/>
    <xf numFmtId="174" fontId="40" fillId="0" borderId="0"/>
    <xf numFmtId="174" fontId="40" fillId="0" borderId="0"/>
    <xf numFmtId="174" fontId="90" fillId="0" borderId="0"/>
    <xf numFmtId="174" fontId="90" fillId="7" borderId="8" applyNumberFormat="0" applyFont="0" applyAlignment="0" applyProtection="0"/>
    <xf numFmtId="174" fontId="90" fillId="7" borderId="8" applyNumberFormat="0" applyFont="0" applyAlignment="0" applyProtection="0"/>
    <xf numFmtId="174" fontId="80" fillId="5" borderId="5" applyNumberFormat="0" applyAlignment="0" applyProtection="0"/>
    <xf numFmtId="9" fontId="91" fillId="0" borderId="0" applyFont="0" applyFill="0" applyBorder="0" applyAlignment="0" applyProtection="0"/>
    <xf numFmtId="9" fontId="91" fillId="0" borderId="0" applyFont="0" applyFill="0" applyBorder="0" applyAlignment="0" applyProtection="0"/>
    <xf numFmtId="9" fontId="3" fillId="0" borderId="0" applyFont="0" applyFill="0" applyBorder="0" applyAlignment="0" applyProtection="0"/>
    <xf numFmtId="9" fontId="91"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0" fillId="0" borderId="0" applyFont="0" applyFill="0" applyBorder="0" applyAlignment="0" applyProtection="0"/>
    <xf numFmtId="9" fontId="90" fillId="0" borderId="0" applyFont="0" applyFill="0" applyBorder="0" applyAlignment="0" applyProtection="0"/>
    <xf numFmtId="9" fontId="91" fillId="0" borderId="0" applyFont="0" applyFill="0" applyBorder="0" applyAlignment="0" applyProtection="0"/>
    <xf numFmtId="174" fontId="97" fillId="61" borderId="15">
      <alignment horizontal="center" vertical="center"/>
    </xf>
    <xf numFmtId="174" fontId="97" fillId="61" borderId="15">
      <alignment horizontal="center" vertical="center"/>
    </xf>
    <xf numFmtId="174" fontId="97" fillId="61" borderId="15">
      <alignment horizontal="center" vertical="center"/>
    </xf>
    <xf numFmtId="0" fontId="97" fillId="61" borderId="15">
      <alignment horizontal="center" vertical="center"/>
    </xf>
    <xf numFmtId="0" fontId="97" fillId="61" borderId="15">
      <alignment horizontal="center" vertical="center"/>
    </xf>
    <xf numFmtId="174" fontId="97" fillId="61" borderId="15">
      <alignment horizontal="center" vertical="center"/>
    </xf>
    <xf numFmtId="174" fontId="97" fillId="61" borderId="15">
      <alignment horizontal="center" vertical="center"/>
    </xf>
    <xf numFmtId="0" fontId="97" fillId="61" borderId="15">
      <alignment horizontal="center" vertical="center"/>
    </xf>
    <xf numFmtId="0" fontId="97" fillId="61" borderId="15">
      <alignment horizontal="center" vertical="center"/>
    </xf>
    <xf numFmtId="0" fontId="97" fillId="61" borderId="15">
      <alignment horizontal="center" vertical="center"/>
    </xf>
    <xf numFmtId="0" fontId="97" fillId="61" borderId="15">
      <alignment horizontal="center" vertical="center"/>
    </xf>
    <xf numFmtId="0" fontId="97" fillId="61" borderId="15">
      <alignment horizontal="center" vertical="center"/>
    </xf>
    <xf numFmtId="0" fontId="97" fillId="61" borderId="15">
      <alignment horizontal="center" vertical="center"/>
    </xf>
    <xf numFmtId="0" fontId="97" fillId="61" borderId="15">
      <alignment horizontal="center" vertical="center"/>
    </xf>
    <xf numFmtId="0" fontId="97" fillId="61" borderId="15">
      <alignment horizontal="center" vertical="center"/>
    </xf>
    <xf numFmtId="0" fontId="97" fillId="61" borderId="15">
      <alignment horizontal="center" vertical="center"/>
    </xf>
    <xf numFmtId="0" fontId="97" fillId="61" borderId="15">
      <alignment horizontal="center" vertical="center"/>
    </xf>
    <xf numFmtId="174" fontId="97" fillId="61" borderId="15">
      <alignment horizontal="center" vertical="center"/>
    </xf>
    <xf numFmtId="174" fontId="97" fillId="61" borderId="15">
      <alignment horizontal="center" vertical="center"/>
    </xf>
    <xf numFmtId="174" fontId="97" fillId="61" borderId="15">
      <alignment horizontal="center" vertical="center"/>
    </xf>
    <xf numFmtId="174" fontId="97" fillId="61" borderId="15">
      <alignment horizontal="center" vertical="center"/>
    </xf>
    <xf numFmtId="174" fontId="97" fillId="61" borderId="15">
      <alignment horizontal="center" vertical="center"/>
    </xf>
    <xf numFmtId="0" fontId="97" fillId="61" borderId="15">
      <alignment horizontal="center" vertical="center"/>
    </xf>
    <xf numFmtId="0" fontId="97" fillId="61" borderId="15">
      <alignment horizontal="center" vertical="center"/>
    </xf>
    <xf numFmtId="174" fontId="72" fillId="0" borderId="1" applyNumberFormat="0" applyFill="0" applyAlignment="0" applyProtection="0"/>
    <xf numFmtId="0" fontId="72" fillId="0" borderId="1" applyNumberFormat="0" applyFill="0" applyAlignment="0" applyProtection="0"/>
    <xf numFmtId="174" fontId="72" fillId="0" borderId="0" applyNumberFormat="0" applyFill="0" applyBorder="0" applyAlignment="0" applyProtection="0"/>
    <xf numFmtId="174" fontId="86" fillId="0" borderId="81" applyNumberFormat="0" applyFill="0" applyAlignment="0" applyProtection="0"/>
    <xf numFmtId="174" fontId="84" fillId="0" borderId="0" applyNumberFormat="0" applyFill="0" applyBorder="0" applyAlignment="0" applyProtection="0"/>
    <xf numFmtId="0" fontId="97" fillId="61" borderId="15">
      <alignment horizontal="center" vertical="center"/>
    </xf>
    <xf numFmtId="9" fontId="40" fillId="0" borderId="0" applyFont="0" applyFill="0" applyBorder="0" applyAlignment="0" applyProtection="0"/>
    <xf numFmtId="0" fontId="91" fillId="0" borderId="0"/>
    <xf numFmtId="0" fontId="93" fillId="69" borderId="86" applyNumberFormat="0" applyFill="0" applyAlignment="0" applyProtection="0"/>
    <xf numFmtId="0" fontId="88" fillId="0" borderId="0"/>
    <xf numFmtId="9" fontId="89" fillId="0" borderId="0" applyFont="0" applyFill="0" applyBorder="0" applyAlignment="0" applyProtection="0"/>
    <xf numFmtId="0" fontId="88" fillId="0" borderId="0"/>
    <xf numFmtId="0" fontId="88" fillId="0" borderId="0"/>
    <xf numFmtId="0" fontId="88" fillId="0" borderId="0"/>
    <xf numFmtId="9" fontId="89" fillId="0" borderId="0" applyFont="0" applyFill="0" applyBorder="0" applyAlignment="0" applyProtection="0"/>
    <xf numFmtId="174" fontId="88" fillId="0" borderId="0"/>
    <xf numFmtId="174" fontId="88" fillId="0" borderId="0"/>
    <xf numFmtId="174" fontId="88" fillId="0" borderId="0"/>
    <xf numFmtId="0" fontId="53" fillId="15" borderId="0" applyNumberFormat="0" applyBorder="0" applyAlignment="0" applyProtection="0"/>
    <xf numFmtId="174" fontId="40" fillId="8" borderId="0" applyNumberFormat="0" applyBorder="0" applyAlignment="0" applyProtection="0"/>
    <xf numFmtId="174" fontId="85" fillId="0" borderId="0" applyNumberFormat="0" applyFill="0" applyBorder="0" applyAlignment="0" applyProtection="0"/>
    <xf numFmtId="0" fontId="73" fillId="0" borderId="87" applyNumberFormat="0" applyProtection="0">
      <alignment horizontal="left" indent="1" shrinkToFit="1"/>
    </xf>
    <xf numFmtId="174" fontId="94" fillId="68" borderId="86" applyAlignment="0" applyProtection="0"/>
    <xf numFmtId="174" fontId="75" fillId="0" borderId="87" applyNumberFormat="0" applyAlignment="0" applyProtection="0"/>
    <xf numFmtId="174" fontId="40" fillId="55" borderId="0"/>
    <xf numFmtId="174" fontId="90" fillId="7" borderId="8" applyNumberFormat="0" applyFont="0" applyAlignment="0" applyProtection="0"/>
    <xf numFmtId="0" fontId="72" fillId="0" borderId="1" applyNumberFormat="0" applyFill="0" applyAlignment="0" applyProtection="0"/>
    <xf numFmtId="0" fontId="54" fillId="16" borderId="0" applyNumberFormat="0" applyBorder="0" applyAlignment="0" applyProtection="0"/>
    <xf numFmtId="0" fontId="53" fillId="17" borderId="0" applyNumberFormat="0" applyBorder="0" applyAlignment="0" applyProtection="0"/>
    <xf numFmtId="0" fontId="53" fillId="18" borderId="0" applyNumberFormat="0" applyBorder="0" applyAlignment="0" applyProtection="0"/>
    <xf numFmtId="0" fontId="54" fillId="19" borderId="0" applyNumberFormat="0" applyBorder="0" applyAlignment="0" applyProtection="0"/>
    <xf numFmtId="0" fontId="53" fillId="20" borderId="0" applyNumberFormat="0" applyBorder="0" applyAlignment="0" applyProtection="0"/>
    <xf numFmtId="0" fontId="53" fillId="21" borderId="0" applyNumberFormat="0" applyBorder="0" applyAlignment="0" applyProtection="0"/>
    <xf numFmtId="0" fontId="54" fillId="22" borderId="0" applyNumberFormat="0" applyBorder="0" applyAlignment="0" applyProtection="0"/>
    <xf numFmtId="0" fontId="53" fillId="23" borderId="0" applyNumberFormat="0" applyBorder="0" applyAlignment="0" applyProtection="0"/>
    <xf numFmtId="0" fontId="53" fillId="24" borderId="0" applyNumberFormat="0" applyBorder="0" applyAlignment="0" applyProtection="0"/>
    <xf numFmtId="0" fontId="54" fillId="25" borderId="0" applyNumberFormat="0" applyBorder="0" applyAlignment="0" applyProtection="0"/>
    <xf numFmtId="0" fontId="53" fillId="8" borderId="0" applyNumberFormat="0" applyBorder="0" applyAlignment="0" applyProtection="0"/>
    <xf numFmtId="0" fontId="52" fillId="0" borderId="0" applyNumberFormat="0" applyFill="0" applyBorder="0" applyAlignment="0" applyProtection="0"/>
    <xf numFmtId="0" fontId="1" fillId="7" borderId="8" applyNumberFormat="0" applyFont="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174" fontId="40" fillId="8" borderId="0" applyNumberFormat="0" applyBorder="0" applyAlignment="0" applyProtection="0"/>
    <xf numFmtId="174" fontId="40" fillId="11" borderId="0" applyNumberFormat="0" applyBorder="0" applyAlignment="0" applyProtection="0"/>
    <xf numFmtId="174" fontId="40" fillId="14" borderId="0" applyNumberFormat="0" applyBorder="0" applyAlignment="0" applyProtection="0"/>
    <xf numFmtId="174" fontId="40" fillId="17" borderId="0" applyNumberFormat="0" applyBorder="0" applyAlignment="0" applyProtection="0"/>
    <xf numFmtId="174" fontId="40" fillId="20" borderId="0" applyNumberFormat="0" applyBorder="0" applyAlignment="0" applyProtection="0"/>
    <xf numFmtId="174" fontId="40" fillId="23" borderId="0" applyNumberFormat="0" applyBorder="0" applyAlignment="0" applyProtection="0"/>
    <xf numFmtId="174" fontId="40" fillId="9" borderId="0" applyNumberFormat="0" applyBorder="0" applyAlignment="0" applyProtection="0"/>
    <xf numFmtId="174" fontId="40" fillId="12" borderId="0" applyNumberFormat="0" applyBorder="0" applyAlignment="0" applyProtection="0"/>
    <xf numFmtId="174" fontId="40" fillId="15" borderId="0" applyNumberFormat="0" applyBorder="0" applyAlignment="0" applyProtection="0"/>
    <xf numFmtId="174" fontId="40" fillId="18" borderId="0" applyNumberFormat="0" applyBorder="0" applyAlignment="0" applyProtection="0"/>
    <xf numFmtId="174" fontId="40" fillId="21" borderId="0" applyNumberFormat="0" applyBorder="0" applyAlignment="0" applyProtection="0"/>
    <xf numFmtId="174" fontId="40" fillId="24" borderId="0" applyNumberFormat="0" applyBorder="0" applyAlignment="0" applyProtection="0"/>
    <xf numFmtId="174" fontId="87" fillId="10" borderId="0" applyNumberFormat="0" applyBorder="0" applyAlignment="0" applyProtection="0"/>
    <xf numFmtId="174" fontId="87" fillId="13" borderId="0" applyNumberFormat="0" applyBorder="0" applyAlignment="0" applyProtection="0"/>
    <xf numFmtId="174" fontId="87" fillId="16" borderId="0" applyNumberFormat="0" applyBorder="0" applyAlignment="0" applyProtection="0"/>
    <xf numFmtId="174" fontId="87" fillId="19" borderId="0" applyNumberFormat="0" applyBorder="0" applyAlignment="0" applyProtection="0"/>
    <xf numFmtId="174" fontId="87" fillId="22" borderId="0" applyNumberFormat="0" applyBorder="0" applyAlignment="0" applyProtection="0"/>
    <xf numFmtId="174" fontId="87" fillId="25" borderId="0" applyNumberFormat="0" applyBorder="0" applyAlignment="0" applyProtection="0"/>
    <xf numFmtId="174" fontId="87" fillId="61" borderId="0" applyNumberFormat="0" applyBorder="0" applyAlignment="0" applyProtection="0"/>
    <xf numFmtId="174" fontId="87" fillId="62" borderId="0" applyNumberFormat="0" applyBorder="0" applyAlignment="0" applyProtection="0"/>
    <xf numFmtId="174" fontId="87" fillId="63" borderId="0" applyNumberFormat="0" applyBorder="0" applyAlignment="0" applyProtection="0"/>
    <xf numFmtId="174" fontId="87" fillId="64" borderId="0" applyNumberFormat="0" applyBorder="0" applyAlignment="0" applyProtection="0"/>
    <xf numFmtId="174" fontId="87" fillId="65" borderId="0" applyNumberFormat="0" applyBorder="0" applyAlignment="0" applyProtection="0"/>
    <xf numFmtId="174" fontId="87" fillId="66" borderId="0" applyNumberFormat="0" applyBorder="0" applyAlignment="0" applyProtection="0"/>
    <xf numFmtId="174" fontId="77" fillId="3" borderId="0" applyNumberFormat="0" applyBorder="0" applyAlignment="0" applyProtection="0"/>
    <xf numFmtId="174" fontId="81" fillId="5" borderId="4" applyNumberFormat="0" applyAlignment="0" applyProtection="0"/>
    <xf numFmtId="174" fontId="83" fillId="6" borderId="7" applyNumberFormat="0" applyAlignment="0" applyProtection="0"/>
    <xf numFmtId="172" fontId="40" fillId="0" borderId="0" applyFont="0" applyFill="0" applyBorder="0" applyAlignment="0" applyProtection="0"/>
    <xf numFmtId="0" fontId="85" fillId="0" borderId="0" applyNumberFormat="0" applyFill="0" applyBorder="0" applyAlignment="0" applyProtection="0"/>
    <xf numFmtId="174" fontId="76" fillId="2" borderId="0" applyNumberFormat="0" applyBorder="0" applyAlignment="0" applyProtection="0"/>
    <xf numFmtId="174" fontId="73" fillId="0" borderId="87" applyNumberFormat="0" applyProtection="0">
      <alignment horizontal="left" indent="1" shrinkToFit="1"/>
    </xf>
    <xf numFmtId="174" fontId="93" fillId="67" borderId="86" applyNumberFormat="0" applyFill="0" applyAlignment="0" applyProtection="0"/>
    <xf numFmtId="174" fontId="83" fillId="68" borderId="79" applyAlignment="0" applyProtection="0"/>
    <xf numFmtId="174" fontId="75" fillId="0" borderId="0" applyNumberFormat="0" applyFill="0" applyBorder="0" applyAlignment="0" applyProtection="0"/>
    <xf numFmtId="0" fontId="58" fillId="0" borderId="0" applyNumberFormat="0" applyFill="0" applyBorder="0" applyAlignment="0" applyProtection="0"/>
    <xf numFmtId="174" fontId="79" fillId="4" borderId="4" applyNumberFormat="0" applyAlignment="0" applyProtection="0"/>
    <xf numFmtId="174" fontId="82" fillId="0" borderId="6" applyNumberFormat="0" applyFill="0" applyAlignment="0" applyProtection="0"/>
    <xf numFmtId="174" fontId="78" fillId="60" borderId="0" applyNumberFormat="0" applyBorder="0" applyAlignment="0" applyProtection="0"/>
    <xf numFmtId="174" fontId="91" fillId="0" borderId="0"/>
    <xf numFmtId="0" fontId="91" fillId="0" borderId="0"/>
    <xf numFmtId="174" fontId="1" fillId="0" borderId="0"/>
    <xf numFmtId="0" fontId="40" fillId="0" borderId="0"/>
    <xf numFmtId="174" fontId="88" fillId="0" borderId="0"/>
    <xf numFmtId="174" fontId="91" fillId="0" borderId="0"/>
    <xf numFmtId="174" fontId="91" fillId="0" borderId="0"/>
    <xf numFmtId="174" fontId="91" fillId="0" borderId="0"/>
    <xf numFmtId="174" fontId="88" fillId="0" borderId="0"/>
    <xf numFmtId="174" fontId="67" fillId="0" borderId="0"/>
    <xf numFmtId="174" fontId="1" fillId="0" borderId="0"/>
    <xf numFmtId="174" fontId="90" fillId="7" borderId="8" applyNumberFormat="0" applyFont="0" applyAlignment="0" applyProtection="0"/>
    <xf numFmtId="174" fontId="80" fillId="5" borderId="5" applyNumberFormat="0" applyAlignment="0" applyProtection="0"/>
    <xf numFmtId="9" fontId="40" fillId="0" borderId="0" applyFont="0" applyFill="0" applyBorder="0" applyAlignment="0" applyProtection="0"/>
    <xf numFmtId="174" fontId="72" fillId="0" borderId="1" applyNumberFormat="0" applyFill="0" applyAlignment="0" applyProtection="0"/>
    <xf numFmtId="174" fontId="86" fillId="0" borderId="81" applyNumberFormat="0" applyFill="0" applyAlignment="0" applyProtection="0"/>
    <xf numFmtId="174" fontId="84"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15" borderId="0" applyNumberFormat="0" applyBorder="0" applyAlignment="0" applyProtection="0"/>
    <xf numFmtId="0" fontId="54" fillId="16" borderId="0" applyNumberFormat="0" applyBorder="0" applyAlignment="0" applyProtection="0"/>
    <xf numFmtId="0" fontId="53" fillId="17" borderId="0" applyNumberFormat="0" applyBorder="0" applyAlignment="0" applyProtection="0"/>
    <xf numFmtId="0" fontId="53" fillId="18" borderId="0" applyNumberFormat="0" applyBorder="0" applyAlignment="0" applyProtection="0"/>
    <xf numFmtId="0" fontId="54" fillId="19" borderId="0" applyNumberFormat="0" applyBorder="0" applyAlignment="0" applyProtection="0"/>
    <xf numFmtId="0" fontId="53" fillId="20" borderId="0" applyNumberFormat="0" applyBorder="0" applyAlignment="0" applyProtection="0"/>
    <xf numFmtId="0" fontId="53" fillId="21" borderId="0" applyNumberFormat="0" applyBorder="0" applyAlignment="0" applyProtection="0"/>
    <xf numFmtId="0" fontId="54" fillId="22" borderId="0" applyNumberFormat="0" applyBorder="0" applyAlignment="0" applyProtection="0"/>
    <xf numFmtId="0" fontId="53" fillId="23" borderId="0" applyNumberFormat="0" applyBorder="0" applyAlignment="0" applyProtection="0"/>
    <xf numFmtId="0" fontId="53" fillId="24" borderId="0" applyNumberFormat="0" applyBorder="0" applyAlignment="0" applyProtection="0"/>
    <xf numFmtId="0" fontId="54" fillId="25" borderId="0" applyNumberFormat="0" applyBorder="0" applyAlignment="0" applyProtection="0"/>
    <xf numFmtId="0" fontId="53" fillId="8" borderId="0" applyNumberFormat="0" applyBorder="0" applyAlignment="0" applyProtection="0"/>
    <xf numFmtId="0" fontId="52" fillId="0" borderId="0" applyNumberFormat="0" applyFill="0" applyBorder="0" applyAlignment="0" applyProtection="0"/>
    <xf numFmtId="0" fontId="1" fillId="7" borderId="8" applyNumberFormat="0" applyFont="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13" borderId="0" applyNumberFormat="0" applyBorder="0" applyAlignment="0" applyProtection="0"/>
    <xf numFmtId="0" fontId="53" fillId="14" borderId="0" applyNumberFormat="0" applyBorder="0" applyAlignment="0" applyProtection="0"/>
    <xf numFmtId="0" fontId="53" fillId="15" borderId="0" applyNumberFormat="0" applyBorder="0" applyAlignment="0" applyProtection="0"/>
    <xf numFmtId="0" fontId="54" fillId="16" borderId="0" applyNumberFormat="0" applyBorder="0" applyAlignment="0" applyProtection="0"/>
    <xf numFmtId="0" fontId="53" fillId="17" borderId="0" applyNumberFormat="0" applyBorder="0" applyAlignment="0" applyProtection="0"/>
    <xf numFmtId="0" fontId="53" fillId="18" borderId="0" applyNumberFormat="0" applyBorder="0" applyAlignment="0" applyProtection="0"/>
    <xf numFmtId="0" fontId="54" fillId="19" borderId="0" applyNumberFormat="0" applyBorder="0" applyAlignment="0" applyProtection="0"/>
    <xf numFmtId="0" fontId="53" fillId="20" borderId="0" applyNumberFormat="0" applyBorder="0" applyAlignment="0" applyProtection="0"/>
    <xf numFmtId="0" fontId="53" fillId="21" borderId="0" applyNumberFormat="0" applyBorder="0" applyAlignment="0" applyProtection="0"/>
    <xf numFmtId="0" fontId="54" fillId="22" borderId="0" applyNumberFormat="0" applyBorder="0" applyAlignment="0" applyProtection="0"/>
    <xf numFmtId="0" fontId="53" fillId="23" borderId="0" applyNumberFormat="0" applyBorder="0" applyAlignment="0" applyProtection="0"/>
    <xf numFmtId="0" fontId="53" fillId="24" borderId="0" applyNumberFormat="0" applyBorder="0" applyAlignment="0" applyProtection="0"/>
    <xf numFmtId="0" fontId="54" fillId="25" borderId="0" applyNumberFormat="0" applyBorder="0" applyAlignment="0" applyProtection="0"/>
    <xf numFmtId="0" fontId="43" fillId="0" borderId="0" applyNumberFormat="0" applyFill="0" applyBorder="0" applyAlignment="0" applyProtection="0"/>
    <xf numFmtId="0" fontId="45" fillId="3" borderId="0" applyNumberFormat="0" applyBorder="0" applyAlignment="0" applyProtection="0"/>
    <xf numFmtId="0" fontId="47" fillId="5" borderId="5" applyNumberFormat="0" applyAlignment="0" applyProtection="0"/>
    <xf numFmtId="0" fontId="49" fillId="0" borderId="6" applyNumberFormat="0" applyFill="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44" fillId="2" borderId="0" applyNumberFormat="0" applyBorder="0" applyAlignment="0" applyProtection="0"/>
    <xf numFmtId="0" fontId="1" fillId="7" borderId="8" applyNumberFormat="0" applyFont="0" applyAlignment="0" applyProtection="0"/>
    <xf numFmtId="0" fontId="53" fillId="11" borderId="0" applyNumberFormat="0" applyBorder="0" applyAlignment="0" applyProtection="0"/>
    <xf numFmtId="0" fontId="53" fillId="15" borderId="0" applyNumberFormat="0" applyBorder="0" applyAlignment="0" applyProtection="0"/>
    <xf numFmtId="0" fontId="54" fillId="19" borderId="0" applyNumberFormat="0" applyBorder="0" applyAlignment="0" applyProtection="0"/>
    <xf numFmtId="0" fontId="53" fillId="23" borderId="0" applyNumberFormat="0" applyBorder="0" applyAlignment="0" applyProtection="0"/>
    <xf numFmtId="0" fontId="53" fillId="24" borderId="0" applyNumberFormat="0" applyBorder="0" applyAlignment="0" applyProtection="0"/>
    <xf numFmtId="0" fontId="54" fillId="25" borderId="0" applyNumberFormat="0" applyBorder="0" applyAlignment="0" applyProtection="0"/>
    <xf numFmtId="0" fontId="43" fillId="0" borderId="0" applyNumberFormat="0" applyFill="0" applyBorder="0" applyAlignment="0" applyProtection="0"/>
    <xf numFmtId="0" fontId="45" fillId="3" borderId="0" applyNumberFormat="0" applyBorder="0" applyAlignment="0" applyProtection="0"/>
    <xf numFmtId="0" fontId="47" fillId="5" borderId="5" applyNumberFormat="0" applyAlignment="0" applyProtection="0"/>
    <xf numFmtId="0" fontId="49" fillId="0" borderId="6" applyNumberFormat="0" applyFill="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2" fillId="0" borderId="0" applyNumberFormat="0" applyFill="0" applyBorder="0" applyAlignment="0" applyProtection="0"/>
    <xf numFmtId="0" fontId="41" fillId="0" borderId="1" applyNumberFormat="0" applyFill="0" applyAlignment="0" applyProtection="0"/>
    <xf numFmtId="0" fontId="42" fillId="0" borderId="2" applyNumberFormat="0" applyFill="0" applyAlignment="0" applyProtection="0"/>
    <xf numFmtId="0" fontId="43" fillId="0" borderId="3" applyNumberFormat="0" applyFill="0" applyAlignment="0" applyProtection="0"/>
    <xf numFmtId="0" fontId="44" fillId="2" borderId="0" applyNumberFormat="0" applyBorder="0" applyAlignment="0" applyProtection="0"/>
    <xf numFmtId="0" fontId="46" fillId="4" borderId="4" applyNumberFormat="0" applyAlignment="0" applyProtection="0"/>
    <xf numFmtId="0" fontId="48" fillId="5" borderId="4" applyNumberFormat="0" applyAlignment="0" applyProtection="0"/>
    <xf numFmtId="0" fontId="50" fillId="6" borderId="7" applyNumberFormat="0" applyAlignment="0" applyProtection="0"/>
    <xf numFmtId="0" fontId="1" fillId="7" borderId="8" applyNumberFormat="0" applyFont="0" applyAlignment="0" applyProtection="0"/>
    <xf numFmtId="0" fontId="53" fillId="8" borderId="0" applyNumberFormat="0" applyBorder="0" applyAlignment="0" applyProtection="0"/>
    <xf numFmtId="0" fontId="53" fillId="9" borderId="0" applyNumberFormat="0" applyBorder="0" applyAlignment="0" applyProtection="0"/>
    <xf numFmtId="0" fontId="54" fillId="10" borderId="0" applyNumberFormat="0" applyBorder="0" applyAlignment="0" applyProtection="0"/>
    <xf numFmtId="0" fontId="53" fillId="11" borderId="0" applyNumberFormat="0" applyBorder="0" applyAlignment="0" applyProtection="0"/>
    <xf numFmtId="0" fontId="53" fillId="12" borderId="0" applyNumberFormat="0" applyBorder="0" applyAlignment="0" applyProtection="0"/>
    <xf numFmtId="0" fontId="54" fillId="13" borderId="0" applyNumberFormat="0" applyBorder="0" applyAlignment="0" applyProtection="0"/>
    <xf numFmtId="0" fontId="53" fillId="14" borderId="0" applyNumberFormat="0" applyBorder="0" applyAlignment="0" applyProtection="0"/>
    <xf numFmtId="0" fontId="53" fillId="18" borderId="0" applyNumberFormat="0" applyBorder="0" applyAlignment="0" applyProtection="0"/>
    <xf numFmtId="0" fontId="54" fillId="22" borderId="0" applyNumberFormat="0" applyBorder="0" applyAlignment="0" applyProtection="0"/>
    <xf numFmtId="0" fontId="49" fillId="0" borderId="6" applyNumberFormat="0" applyFill="0" applyAlignment="0" applyProtection="0"/>
    <xf numFmtId="0" fontId="41" fillId="0" borderId="1" applyNumberFormat="0" applyFill="0" applyAlignment="0" applyProtection="0"/>
    <xf numFmtId="0" fontId="46" fillId="4" borderId="4" applyNumberFormat="0" applyAlignment="0" applyProtection="0"/>
    <xf numFmtId="0" fontId="48" fillId="5" borderId="4" applyNumberFormat="0" applyAlignment="0" applyProtection="0"/>
    <xf numFmtId="0" fontId="50" fillId="6" borderId="7" applyNumberFormat="0" applyAlignment="0" applyProtection="0"/>
    <xf numFmtId="0" fontId="1" fillId="7" borderId="8" applyNumberFormat="0" applyFont="0" applyAlignment="0" applyProtection="0"/>
    <xf numFmtId="0" fontId="53" fillId="8" borderId="0" applyNumberFormat="0" applyBorder="0" applyAlignment="0" applyProtection="0"/>
    <xf numFmtId="0" fontId="53" fillId="9" borderId="0" applyNumberFormat="0" applyBorder="0" applyAlignment="0" applyProtection="0"/>
    <xf numFmtId="0" fontId="54" fillId="10" borderId="0" applyNumberFormat="0" applyBorder="0" applyAlignment="0" applyProtection="0"/>
    <xf numFmtId="0" fontId="53" fillId="11" borderId="0" applyNumberFormat="0" applyBorder="0" applyAlignment="0" applyProtection="0"/>
    <xf numFmtId="0" fontId="53" fillId="12" borderId="0" applyNumberFormat="0" applyBorder="0" applyAlignment="0" applyProtection="0"/>
    <xf numFmtId="0" fontId="54" fillId="13" borderId="0" applyNumberFormat="0" applyBorder="0" applyAlignment="0" applyProtection="0"/>
    <xf numFmtId="0" fontId="53" fillId="14" borderId="0" applyNumberFormat="0" applyBorder="0" applyAlignment="0" applyProtection="0"/>
    <xf numFmtId="0" fontId="53" fillId="15" borderId="0" applyNumberFormat="0" applyBorder="0" applyAlignment="0" applyProtection="0"/>
    <xf numFmtId="0" fontId="54" fillId="16" borderId="0" applyNumberFormat="0" applyBorder="0" applyAlignment="0" applyProtection="0"/>
    <xf numFmtId="0" fontId="53" fillId="20" borderId="0" applyNumberFormat="0" applyBorder="0" applyAlignment="0" applyProtection="0"/>
    <xf numFmtId="0" fontId="53" fillId="24" borderId="0" applyNumberFormat="0" applyBorder="0" applyAlignment="0" applyProtection="0"/>
    <xf numFmtId="0" fontId="47" fillId="5" borderId="5" applyNumberFormat="0" applyAlignment="0" applyProtection="0"/>
    <xf numFmtId="0" fontId="2" fillId="0" borderId="0" applyNumberFormat="0" applyFill="0" applyBorder="0" applyAlignment="0" applyProtection="0"/>
    <xf numFmtId="0" fontId="44" fillId="2" borderId="0" applyNumberFormat="0" applyBorder="0" applyAlignment="0" applyProtection="0"/>
    <xf numFmtId="0" fontId="1" fillId="7" borderId="8" applyNumberFormat="0" applyFont="0" applyAlignment="0" applyProtection="0"/>
    <xf numFmtId="0" fontId="53" fillId="8" borderId="0" applyNumberFormat="0" applyBorder="0" applyAlignment="0" applyProtection="0"/>
    <xf numFmtId="0" fontId="53" fillId="9" borderId="0" applyNumberFormat="0" applyBorder="0" applyAlignment="0" applyProtection="0"/>
    <xf numFmtId="0" fontId="54" fillId="10" borderId="0" applyNumberFormat="0" applyBorder="0" applyAlignment="0" applyProtection="0"/>
    <xf numFmtId="0" fontId="53" fillId="11" borderId="0" applyNumberFormat="0" applyBorder="0" applyAlignment="0" applyProtection="0"/>
    <xf numFmtId="0" fontId="53" fillId="12" borderId="0" applyNumberFormat="0" applyBorder="0" applyAlignment="0" applyProtection="0"/>
    <xf numFmtId="0" fontId="54" fillId="13" borderId="0" applyNumberFormat="0" applyBorder="0" applyAlignment="0" applyProtection="0"/>
    <xf numFmtId="0" fontId="54" fillId="16" borderId="0" applyNumberFormat="0" applyBorder="0" applyAlignment="0" applyProtection="0"/>
    <xf numFmtId="0" fontId="54" fillId="19" borderId="0" applyNumberFormat="0" applyBorder="0" applyAlignment="0" applyProtection="0"/>
    <xf numFmtId="0" fontId="54" fillId="22" borderId="0" applyNumberFormat="0" applyBorder="0" applyAlignment="0" applyProtection="0"/>
    <xf numFmtId="0" fontId="54" fillId="25" borderId="0" applyNumberFormat="0" applyBorder="0" applyAlignment="0" applyProtection="0"/>
    <xf numFmtId="0" fontId="47" fillId="5" borderId="5" applyNumberFormat="0" applyAlignment="0" applyProtection="0"/>
    <xf numFmtId="0" fontId="52" fillId="0" borderId="0" applyNumberFormat="0" applyFill="0" applyBorder="0" applyAlignment="0" applyProtection="0"/>
    <xf numFmtId="0" fontId="43" fillId="0" borderId="3" applyNumberFormat="0" applyFill="0" applyAlignment="0" applyProtection="0"/>
    <xf numFmtId="0" fontId="44" fillId="2" borderId="0" applyNumberFormat="0" applyBorder="0" applyAlignment="0" applyProtection="0"/>
    <xf numFmtId="0" fontId="53" fillId="8" borderId="0" applyNumberFormat="0" applyBorder="0" applyAlignment="0" applyProtection="0"/>
    <xf numFmtId="0" fontId="46" fillId="4" borderId="4" applyNumberFormat="0" applyAlignment="0" applyProtection="0"/>
    <xf numFmtId="0" fontId="53" fillId="9" borderId="0" applyNumberFormat="0" applyBorder="0" applyAlignment="0" applyProtection="0"/>
    <xf numFmtId="0" fontId="54" fillId="10" borderId="0" applyNumberFormat="0" applyBorder="0" applyAlignment="0" applyProtection="0"/>
    <xf numFmtId="0" fontId="53" fillId="11" borderId="0" applyNumberFormat="0" applyBorder="0" applyAlignment="0" applyProtection="0"/>
    <xf numFmtId="0" fontId="53" fillId="12" borderId="0" applyNumberFormat="0" applyBorder="0" applyAlignment="0" applyProtection="0"/>
    <xf numFmtId="0" fontId="54" fillId="16" borderId="0" applyNumberFormat="0" applyBorder="0" applyAlignment="0" applyProtection="0"/>
    <xf numFmtId="0" fontId="53" fillId="17" borderId="0" applyNumberFormat="0" applyBorder="0" applyAlignment="0" applyProtection="0"/>
    <xf numFmtId="0" fontId="53" fillId="18" borderId="0" applyNumberFormat="0" applyBorder="0" applyAlignment="0" applyProtection="0"/>
    <xf numFmtId="0" fontId="54" fillId="19" borderId="0" applyNumberFormat="0" applyBorder="0" applyAlignment="0" applyProtection="0"/>
    <xf numFmtId="0" fontId="53" fillId="20" borderId="0" applyNumberFormat="0" applyBorder="0" applyAlignment="0" applyProtection="0"/>
    <xf numFmtId="0" fontId="44" fillId="2" borderId="0" applyNumberFormat="0" applyBorder="0" applyAlignment="0" applyProtection="0"/>
    <xf numFmtId="0" fontId="46" fillId="4" borderId="4" applyNumberFormat="0" applyAlignment="0" applyProtection="0"/>
    <xf numFmtId="0" fontId="48" fillId="5" borderId="4" applyNumberFormat="0" applyAlignment="0" applyProtection="0"/>
    <xf numFmtId="0" fontId="50" fillId="6" borderId="7" applyNumberFormat="0" applyAlignment="0" applyProtection="0"/>
    <xf numFmtId="0" fontId="1" fillId="7" borderId="8" applyNumberFormat="0" applyFont="0" applyAlignment="0" applyProtection="0"/>
    <xf numFmtId="0" fontId="53" fillId="8" borderId="0" applyNumberFormat="0" applyBorder="0" applyAlignment="0" applyProtection="0"/>
    <xf numFmtId="0" fontId="53" fillId="9" borderId="0" applyNumberFormat="0" applyBorder="0" applyAlignment="0" applyProtection="0"/>
    <xf numFmtId="0" fontId="54" fillId="10" borderId="0" applyNumberFormat="0" applyBorder="0" applyAlignment="0" applyProtection="0"/>
    <xf numFmtId="0" fontId="53" fillId="11" borderId="0" applyNumberFormat="0" applyBorder="0" applyAlignment="0" applyProtection="0"/>
    <xf numFmtId="0" fontId="53" fillId="18" borderId="0" applyNumberFormat="0" applyBorder="0" applyAlignment="0" applyProtection="0"/>
    <xf numFmtId="0" fontId="54" fillId="13" borderId="0" applyNumberFormat="0" applyBorder="0" applyAlignment="0" applyProtection="0"/>
    <xf numFmtId="0" fontId="54" fillId="19" borderId="0" applyNumberFormat="0" applyBorder="0" applyAlignment="0" applyProtection="0"/>
    <xf numFmtId="0" fontId="53" fillId="20" borderId="0" applyNumberFormat="0" applyBorder="0" applyAlignment="0" applyProtection="0"/>
    <xf numFmtId="0" fontId="53" fillId="24" borderId="0" applyNumberFormat="0" applyBorder="0" applyAlignment="0" applyProtection="0"/>
    <xf numFmtId="0" fontId="54" fillId="25" borderId="0" applyNumberFormat="0" applyBorder="0" applyAlignment="0" applyProtection="0"/>
    <xf numFmtId="0" fontId="2" fillId="0" borderId="0" applyNumberFormat="0" applyFill="0" applyBorder="0" applyAlignment="0" applyProtection="0"/>
    <xf numFmtId="0" fontId="41" fillId="0" borderId="1" applyNumberFormat="0" applyFill="0" applyAlignment="0" applyProtection="0"/>
    <xf numFmtId="0" fontId="42" fillId="0" borderId="2" applyNumberFormat="0" applyFill="0" applyAlignment="0" applyProtection="0"/>
    <xf numFmtId="0" fontId="43" fillId="0" borderId="3" applyNumberFormat="0" applyFill="0" applyAlignment="0" applyProtection="0"/>
    <xf numFmtId="0" fontId="41" fillId="0" borderId="1" applyNumberFormat="0" applyFill="0" applyAlignment="0" applyProtection="0"/>
    <xf numFmtId="0" fontId="53" fillId="23" borderId="0" applyNumberFormat="0" applyBorder="0" applyAlignment="0" applyProtection="0"/>
    <xf numFmtId="0" fontId="42" fillId="0" borderId="2" applyNumberFormat="0" applyFill="0" applyAlignment="0" applyProtection="0"/>
    <xf numFmtId="0" fontId="1" fillId="7" borderId="8" applyNumberFormat="0" applyFont="0" applyAlignment="0" applyProtection="0"/>
    <xf numFmtId="0" fontId="53" fillId="15" borderId="0" applyNumberFormat="0" applyBorder="0" applyAlignment="0" applyProtection="0"/>
    <xf numFmtId="0" fontId="1" fillId="7" borderId="8" applyNumberFormat="0" applyFont="0" applyAlignment="0" applyProtection="0"/>
    <xf numFmtId="0" fontId="52" fillId="0" borderId="0" applyNumberFormat="0" applyFill="0" applyBorder="0" applyAlignment="0" applyProtection="0"/>
    <xf numFmtId="0" fontId="53" fillId="8" borderId="0" applyNumberFormat="0" applyBorder="0" applyAlignment="0" applyProtection="0"/>
    <xf numFmtId="0" fontId="53" fillId="17" borderId="0" applyNumberFormat="0" applyBorder="0" applyAlignment="0" applyProtection="0"/>
    <xf numFmtId="0" fontId="54" fillId="19" borderId="0" applyNumberFormat="0" applyBorder="0" applyAlignment="0" applyProtection="0"/>
    <xf numFmtId="0" fontId="50" fillId="6" borderId="7" applyNumberFormat="0" applyAlignment="0" applyProtection="0"/>
    <xf numFmtId="0" fontId="53" fillId="21" borderId="0" applyNumberFormat="0" applyBorder="0" applyAlignment="0" applyProtection="0"/>
    <xf numFmtId="0" fontId="53" fillId="23" borderId="0" applyNumberFormat="0" applyBorder="0" applyAlignment="0" applyProtection="0"/>
    <xf numFmtId="0" fontId="54" fillId="10" borderId="0" applyNumberFormat="0" applyBorder="0" applyAlignment="0" applyProtection="0"/>
    <xf numFmtId="0" fontId="54" fillId="25" borderId="0" applyNumberFormat="0" applyBorder="0" applyAlignment="0" applyProtection="0"/>
    <xf numFmtId="0" fontId="45" fillId="3" borderId="0" applyNumberFormat="0" applyBorder="0" applyAlignment="0" applyProtection="0"/>
    <xf numFmtId="0" fontId="53" fillId="14" borderId="0" applyNumberFormat="0" applyBorder="0" applyAlignment="0" applyProtection="0"/>
    <xf numFmtId="0" fontId="47" fillId="5" borderId="5" applyNumberFormat="0" applyAlignment="0" applyProtection="0"/>
    <xf numFmtId="0" fontId="52" fillId="0" borderId="0" applyNumberFormat="0" applyFill="0" applyBorder="0" applyAlignment="0" applyProtection="0"/>
    <xf numFmtId="0" fontId="53" fillId="18" borderId="0" applyNumberFormat="0" applyBorder="0" applyAlignment="0" applyProtection="0"/>
    <xf numFmtId="0" fontId="2" fillId="0" borderId="0" applyNumberFormat="0" applyFill="0" applyBorder="0" applyAlignment="0" applyProtection="0"/>
    <xf numFmtId="0" fontId="43" fillId="0" borderId="3" applyNumberFormat="0" applyFill="0" applyAlignment="0" applyProtection="0"/>
    <xf numFmtId="0" fontId="54" fillId="22" borderId="0" applyNumberFormat="0" applyBorder="0" applyAlignment="0" applyProtection="0"/>
    <xf numFmtId="0" fontId="44" fillId="2" borderId="0" applyNumberFormat="0" applyBorder="0" applyAlignment="0" applyProtection="0"/>
    <xf numFmtId="0" fontId="50" fillId="6" borderId="7" applyNumberFormat="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1" borderId="0" applyNumberFormat="0" applyBorder="0" applyAlignment="0" applyProtection="0"/>
    <xf numFmtId="0" fontId="53" fillId="8" borderId="0" applyNumberFormat="0" applyBorder="0" applyAlignment="0" applyProtection="0"/>
    <xf numFmtId="0" fontId="52" fillId="0" borderId="0" applyNumberFormat="0" applyFill="0" applyBorder="0" applyAlignment="0" applyProtection="0"/>
    <xf numFmtId="0" fontId="1" fillId="7" borderId="8" applyNumberFormat="0" applyFont="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2" fillId="0" borderId="0" applyNumberFormat="0" applyFill="0" applyBorder="0" applyAlignment="0" applyProtection="0"/>
    <xf numFmtId="0" fontId="49" fillId="0" borderId="6" applyNumberFormat="0" applyFill="0" applyAlignment="0" applyProtection="0"/>
    <xf numFmtId="0" fontId="53" fillId="12" borderId="0" applyNumberFormat="0" applyBorder="0" applyAlignment="0" applyProtection="0"/>
    <xf numFmtId="0" fontId="2" fillId="0" borderId="0" applyNumberFormat="0" applyFill="0" applyBorder="0" applyAlignment="0" applyProtection="0"/>
    <xf numFmtId="0" fontId="43" fillId="0" borderId="3" applyNumberFormat="0" applyFill="0" applyAlignment="0" applyProtection="0"/>
    <xf numFmtId="0" fontId="46" fillId="4" borderId="4" applyNumberFormat="0" applyAlignment="0" applyProtection="0"/>
    <xf numFmtId="0" fontId="53" fillId="8" borderId="0" applyNumberFormat="0" applyBorder="0" applyAlignment="0" applyProtection="0"/>
    <xf numFmtId="0" fontId="53" fillId="12" borderId="0" applyNumberFormat="0" applyBorder="0" applyAlignment="0" applyProtection="0"/>
    <xf numFmtId="0" fontId="54" fillId="16" borderId="0" applyNumberFormat="0" applyBorder="0" applyAlignment="0" applyProtection="0"/>
    <xf numFmtId="0" fontId="53" fillId="20" borderId="0" applyNumberFormat="0" applyBorder="0" applyAlignment="0" applyProtection="0"/>
    <xf numFmtId="0" fontId="53" fillId="15" borderId="0" applyNumberFormat="0" applyBorder="0" applyAlignment="0" applyProtection="0"/>
    <xf numFmtId="0" fontId="54" fillId="19" borderId="0" applyNumberFormat="0" applyBorder="0" applyAlignment="0" applyProtection="0"/>
    <xf numFmtId="0" fontId="53" fillId="23" borderId="0" applyNumberFormat="0" applyBorder="0" applyAlignment="0" applyProtection="0"/>
    <xf numFmtId="0" fontId="43" fillId="0" borderId="0" applyNumberFormat="0" applyFill="0" applyBorder="0" applyAlignment="0" applyProtection="0"/>
    <xf numFmtId="0" fontId="51" fillId="0" borderId="0" applyNumberFormat="0" applyFill="0" applyBorder="0" applyAlignment="0" applyProtection="0"/>
    <xf numFmtId="0" fontId="42" fillId="0" borderId="2" applyNumberFormat="0" applyFill="0" applyAlignment="0" applyProtection="0"/>
    <xf numFmtId="0" fontId="53" fillId="17" borderId="0" applyNumberFormat="0" applyBorder="0" applyAlignment="0" applyProtection="0"/>
    <xf numFmtId="0" fontId="53" fillId="21" borderId="0" applyNumberFormat="0" applyBorder="0" applyAlignment="0" applyProtection="0"/>
    <xf numFmtId="0" fontId="54" fillId="25" borderId="0" applyNumberFormat="0" applyBorder="0" applyAlignment="0" applyProtection="0"/>
    <xf numFmtId="0" fontId="49" fillId="0" borderId="6" applyNumberFormat="0" applyFill="0" applyAlignment="0" applyProtection="0"/>
    <xf numFmtId="0" fontId="41" fillId="0" borderId="1" applyNumberFormat="0" applyFill="0" applyAlignment="0" applyProtection="0"/>
    <xf numFmtId="0" fontId="46" fillId="4" borderId="4" applyNumberFormat="0" applyAlignment="0" applyProtection="0"/>
    <xf numFmtId="0" fontId="53" fillId="14" borderId="0" applyNumberFormat="0" applyBorder="0" applyAlignment="0" applyProtection="0"/>
    <xf numFmtId="0" fontId="53" fillId="17" borderId="0" applyNumberFormat="0" applyBorder="0" applyAlignment="0" applyProtection="0"/>
    <xf numFmtId="0" fontId="53" fillId="20" borderId="0" applyNumberFormat="0" applyBorder="0" applyAlignment="0" applyProtection="0"/>
    <xf numFmtId="0" fontId="53" fillId="23" borderId="0" applyNumberFormat="0" applyBorder="0" applyAlignment="0" applyProtection="0"/>
    <xf numFmtId="0" fontId="43" fillId="0" borderId="0" applyNumberFormat="0" applyFill="0" applyBorder="0" applyAlignment="0" applyProtection="0"/>
    <xf numFmtId="0" fontId="49" fillId="0" borderId="6" applyNumberFormat="0" applyFill="0" applyAlignment="0" applyProtection="0"/>
    <xf numFmtId="0" fontId="2" fillId="0" borderId="0" applyNumberFormat="0" applyFill="0" applyBorder="0" applyAlignment="0" applyProtection="0"/>
    <xf numFmtId="0" fontId="48" fillId="5" borderId="4" applyNumberFormat="0" applyAlignment="0" applyProtection="0"/>
    <xf numFmtId="0" fontId="54" fillId="22" borderId="0" applyNumberFormat="0" applyBorder="0" applyAlignment="0" applyProtection="0"/>
    <xf numFmtId="0" fontId="53" fillId="23" borderId="0" applyNumberFormat="0" applyBorder="0" applyAlignment="0" applyProtection="0"/>
    <xf numFmtId="0" fontId="53" fillId="24" borderId="0" applyNumberFormat="0" applyBorder="0" applyAlignment="0" applyProtection="0"/>
    <xf numFmtId="0" fontId="54" fillId="25" borderId="0" applyNumberFormat="0" applyBorder="0" applyAlignment="0" applyProtection="0"/>
    <xf numFmtId="0" fontId="43" fillId="0" borderId="0" applyNumberFormat="0" applyFill="0" applyBorder="0" applyAlignment="0" applyProtection="0"/>
    <xf numFmtId="0" fontId="45" fillId="3" borderId="0" applyNumberFormat="0" applyBorder="0" applyAlignment="0" applyProtection="0"/>
    <xf numFmtId="0" fontId="47" fillId="5" borderId="5" applyNumberFormat="0" applyAlignment="0" applyProtection="0"/>
    <xf numFmtId="0" fontId="2" fillId="0" borderId="0" applyNumberFormat="0" applyFill="0" applyBorder="0" applyAlignment="0" applyProtection="0"/>
    <xf numFmtId="0" fontId="41" fillId="0" borderId="1" applyNumberFormat="0" applyFill="0" applyAlignment="0" applyProtection="0"/>
    <xf numFmtId="0" fontId="42" fillId="0" borderId="2" applyNumberFormat="0" applyFill="0" applyAlignment="0" applyProtection="0"/>
    <xf numFmtId="0" fontId="43" fillId="0" borderId="3" applyNumberFormat="0" applyFill="0" applyAlignment="0" applyProtection="0"/>
    <xf numFmtId="0" fontId="53" fillId="12" borderId="0" applyNumberFormat="0" applyBorder="0" applyAlignment="0" applyProtection="0"/>
    <xf numFmtId="0" fontId="53" fillId="14" borderId="0" applyNumberFormat="0" applyBorder="0" applyAlignment="0" applyProtection="0"/>
    <xf numFmtId="0" fontId="53" fillId="17" borderId="0" applyNumberFormat="0" applyBorder="0" applyAlignment="0" applyProtection="0"/>
    <xf numFmtId="0" fontId="53" fillId="21" borderId="0" applyNumberFormat="0" applyBorder="0" applyAlignment="0" applyProtection="0"/>
    <xf numFmtId="0" fontId="53" fillId="8" borderId="0" applyNumberFormat="0" applyBorder="0" applyAlignment="0" applyProtection="0"/>
    <xf numFmtId="0" fontId="52" fillId="0" borderId="0" applyNumberFormat="0" applyFill="0" applyBorder="0" applyAlignment="0" applyProtection="0"/>
    <xf numFmtId="0" fontId="1" fillId="7" borderId="8" applyNumberFormat="0" applyFont="0" applyAlignment="0" applyProtection="0"/>
    <xf numFmtId="0" fontId="43" fillId="0" borderId="3" applyNumberFormat="0" applyFill="0" applyAlignment="0" applyProtection="0"/>
    <xf numFmtId="0" fontId="2" fillId="0" borderId="0" applyNumberFormat="0" applyFill="0" applyBorder="0" applyAlignment="0" applyProtection="0"/>
    <xf numFmtId="0" fontId="54" fillId="13" borderId="0" applyNumberFormat="0" applyBorder="0" applyAlignment="0" applyProtection="0"/>
    <xf numFmtId="0" fontId="53" fillId="15" borderId="0" applyNumberFormat="0" applyBorder="0" applyAlignment="0" applyProtection="0"/>
    <xf numFmtId="0" fontId="42" fillId="0" borderId="2" applyNumberFormat="0" applyFill="0" applyAlignment="0" applyProtection="0"/>
    <xf numFmtId="0" fontId="54" fillId="16" borderId="0" applyNumberFormat="0" applyBorder="0" applyAlignment="0" applyProtection="0"/>
    <xf numFmtId="0" fontId="54" fillId="16" borderId="0" applyNumberFormat="0" applyBorder="0" applyAlignment="0" applyProtection="0"/>
    <xf numFmtId="0" fontId="53" fillId="17" borderId="0" applyNumberFormat="0" applyBorder="0" applyAlignment="0" applyProtection="0"/>
    <xf numFmtId="0" fontId="53" fillId="18" borderId="0" applyNumberFormat="0" applyBorder="0" applyAlignment="0" applyProtection="0"/>
    <xf numFmtId="0" fontId="54" fillId="19" borderId="0" applyNumberFormat="0" applyBorder="0" applyAlignment="0" applyProtection="0"/>
    <xf numFmtId="0" fontId="53" fillId="20" borderId="0" applyNumberFormat="0" applyBorder="0" applyAlignment="0" applyProtection="0"/>
    <xf numFmtId="0" fontId="53" fillId="21" borderId="0" applyNumberFormat="0" applyBorder="0" applyAlignment="0" applyProtection="0"/>
    <xf numFmtId="0" fontId="54" fillId="22" borderId="0" applyNumberFormat="0" applyBorder="0" applyAlignment="0" applyProtection="0"/>
    <xf numFmtId="0" fontId="53" fillId="23" borderId="0" applyNumberFormat="0" applyBorder="0" applyAlignment="0" applyProtection="0"/>
    <xf numFmtId="0" fontId="53" fillId="24" borderId="0" applyNumberFormat="0" applyBorder="0" applyAlignment="0" applyProtection="0"/>
    <xf numFmtId="0" fontId="54" fillId="25" borderId="0" applyNumberFormat="0" applyBorder="0" applyAlignment="0" applyProtection="0"/>
    <xf numFmtId="0" fontId="53" fillId="8" borderId="0" applyNumberFormat="0" applyBorder="0" applyAlignment="0" applyProtection="0"/>
    <xf numFmtId="0" fontId="52" fillId="0" borderId="0" applyNumberFormat="0" applyFill="0" applyBorder="0" applyAlignment="0" applyProtection="0"/>
    <xf numFmtId="0" fontId="1" fillId="7" borderId="8" applyNumberFormat="0" applyFont="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41" fillId="0" borderId="1" applyNumberFormat="0" applyFill="0" applyAlignment="0" applyProtection="0"/>
    <xf numFmtId="0" fontId="48" fillId="5" borderId="4" applyNumberFormat="0" applyAlignment="0" applyProtection="0"/>
    <xf numFmtId="0" fontId="53" fillId="9" borderId="0" applyNumberFormat="0" applyBorder="0" applyAlignment="0" applyProtection="0"/>
    <xf numFmtId="0" fontId="54" fillId="13" borderId="0" applyNumberFormat="0" applyBorder="0" applyAlignment="0" applyProtection="0"/>
    <xf numFmtId="0" fontId="53" fillId="17" borderId="0" applyNumberFormat="0" applyBorder="0" applyAlignment="0" applyProtection="0"/>
    <xf numFmtId="0" fontId="53" fillId="21" borderId="0" applyNumberFormat="0" applyBorder="0" applyAlignment="0" applyProtection="0"/>
    <xf numFmtId="0" fontId="54" fillId="16" borderId="0" applyNumberFormat="0" applyBorder="0" applyAlignment="0" applyProtection="0"/>
    <xf numFmtId="0" fontId="53" fillId="20" borderId="0" applyNumberFormat="0" applyBorder="0" applyAlignment="0" applyProtection="0"/>
    <xf numFmtId="0" fontId="53" fillId="24" borderId="0" applyNumberFormat="0" applyBorder="0" applyAlignment="0" applyProtection="0"/>
    <xf numFmtId="0" fontId="45" fillId="3" borderId="0" applyNumberFormat="0" applyBorder="0" applyAlignment="0" applyProtection="0"/>
    <xf numFmtId="0" fontId="52" fillId="0" borderId="0" applyNumberFormat="0" applyFill="0" applyBorder="0" applyAlignment="0" applyProtection="0"/>
    <xf numFmtId="0" fontId="43" fillId="0" borderId="3" applyNumberFormat="0" applyFill="0" applyAlignment="0" applyProtection="0"/>
    <xf numFmtId="0" fontId="53" fillId="18" borderId="0" applyNumberFormat="0" applyBorder="0" applyAlignment="0" applyProtection="0"/>
    <xf numFmtId="0" fontId="54" fillId="22" borderId="0" applyNumberFormat="0" applyBorder="0" applyAlignment="0" applyProtection="0"/>
    <xf numFmtId="0" fontId="43" fillId="0" borderId="0" applyNumberFormat="0" applyFill="0" applyBorder="0" applyAlignment="0" applyProtection="0"/>
    <xf numFmtId="0" fontId="51" fillId="0" borderId="0" applyNumberFormat="0" applyFill="0" applyBorder="0" applyAlignment="0" applyProtection="0"/>
    <xf numFmtId="0" fontId="42" fillId="0" borderId="2" applyNumberFormat="0" applyFill="0" applyAlignment="0" applyProtection="0"/>
    <xf numFmtId="0" fontId="48" fillId="5" borderId="4" applyNumberFormat="0" applyAlignment="0" applyProtection="0"/>
    <xf numFmtId="0" fontId="53" fillId="15" borderId="0" applyNumberFormat="0" applyBorder="0" applyAlignment="0" applyProtection="0"/>
    <xf numFmtId="0" fontId="53" fillId="18" borderId="0" applyNumberFormat="0" applyBorder="0" applyAlignment="0" applyProtection="0"/>
    <xf numFmtId="0" fontId="53" fillId="21" borderId="0" applyNumberFormat="0" applyBorder="0" applyAlignment="0" applyProtection="0"/>
    <xf numFmtId="0" fontId="53" fillId="24" borderId="0" applyNumberFormat="0" applyBorder="0" applyAlignment="0" applyProtection="0"/>
    <xf numFmtId="0" fontId="45" fillId="3" borderId="0" applyNumberFormat="0" applyBorder="0" applyAlignment="0" applyProtection="0"/>
    <xf numFmtId="0" fontId="51" fillId="0" borderId="0" applyNumberFormat="0" applyFill="0" applyBorder="0" applyAlignment="0" applyProtection="0"/>
    <xf numFmtId="0" fontId="41" fillId="0" borderId="1" applyNumberFormat="0" applyFill="0" applyAlignment="0" applyProtection="0"/>
    <xf numFmtId="0" fontId="50" fillId="6" borderId="7" applyNumberFormat="0" applyAlignment="0" applyProtection="0"/>
    <xf numFmtId="0" fontId="53" fillId="14" borderId="0" applyNumberFormat="0" applyBorder="0" applyAlignment="0" applyProtection="0"/>
    <xf numFmtId="0" fontId="51" fillId="0" borderId="0" applyNumberFormat="0" applyFill="0" applyBorder="0" applyAlignment="0" applyProtection="0"/>
    <xf numFmtId="0" fontId="53" fillId="15" borderId="0" applyNumberFormat="0" applyBorder="0" applyAlignment="0" applyProtection="0"/>
    <xf numFmtId="0" fontId="54" fillId="22" borderId="0" applyNumberFormat="0" applyBorder="0" applyAlignment="0" applyProtection="0"/>
    <xf numFmtId="0" fontId="42" fillId="0" borderId="2" applyNumberFormat="0" applyFill="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15" borderId="0" applyNumberFormat="0" applyBorder="0" applyAlignment="0" applyProtection="0"/>
    <xf numFmtId="0" fontId="54" fillId="16" borderId="0" applyNumberFormat="0" applyBorder="0" applyAlignment="0" applyProtection="0"/>
    <xf numFmtId="0" fontId="53" fillId="17" borderId="0" applyNumberFormat="0" applyBorder="0" applyAlignment="0" applyProtection="0"/>
    <xf numFmtId="0" fontId="53" fillId="18" borderId="0" applyNumberFormat="0" applyBorder="0" applyAlignment="0" applyProtection="0"/>
    <xf numFmtId="0" fontId="54" fillId="19" borderId="0" applyNumberFormat="0" applyBorder="0" applyAlignment="0" applyProtection="0"/>
    <xf numFmtId="0" fontId="53" fillId="20" borderId="0" applyNumberFormat="0" applyBorder="0" applyAlignment="0" applyProtection="0"/>
    <xf numFmtId="0" fontId="53" fillId="21" borderId="0" applyNumberFormat="0" applyBorder="0" applyAlignment="0" applyProtection="0"/>
    <xf numFmtId="0" fontId="54" fillId="22" borderId="0" applyNumberFormat="0" applyBorder="0" applyAlignment="0" applyProtection="0"/>
    <xf numFmtId="0" fontId="53" fillId="23" borderId="0" applyNumberFormat="0" applyBorder="0" applyAlignment="0" applyProtection="0"/>
    <xf numFmtId="0" fontId="53" fillId="24" borderId="0" applyNumberFormat="0" applyBorder="0" applyAlignment="0" applyProtection="0"/>
    <xf numFmtId="0" fontId="54" fillId="25" borderId="0" applyNumberFormat="0" applyBorder="0" applyAlignment="0" applyProtection="0"/>
    <xf numFmtId="0" fontId="53" fillId="8" borderId="0" applyNumberFormat="0" applyBorder="0" applyAlignment="0" applyProtection="0"/>
    <xf numFmtId="0" fontId="52" fillId="0" borderId="0" applyNumberFormat="0" applyFill="0" applyBorder="0" applyAlignment="0" applyProtection="0"/>
    <xf numFmtId="0" fontId="1" fillId="7" borderId="8" applyNumberFormat="0" applyFont="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8" borderId="0" applyNumberFormat="0" applyBorder="0" applyAlignment="0" applyProtection="0"/>
    <xf numFmtId="0" fontId="52" fillId="0" borderId="0" applyNumberFormat="0" applyFill="0" applyBorder="0" applyAlignment="0" applyProtection="0"/>
    <xf numFmtId="0" fontId="1" fillId="7" borderId="8" applyNumberFormat="0" applyFont="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15" borderId="0" applyNumberFormat="0" applyBorder="0" applyAlignment="0" applyProtection="0"/>
    <xf numFmtId="0" fontId="54" fillId="16" borderId="0" applyNumberFormat="0" applyBorder="0" applyAlignment="0" applyProtection="0"/>
    <xf numFmtId="0" fontId="53" fillId="17" borderId="0" applyNumberFormat="0" applyBorder="0" applyAlignment="0" applyProtection="0"/>
    <xf numFmtId="0" fontId="53" fillId="18" borderId="0" applyNumberFormat="0" applyBorder="0" applyAlignment="0" applyProtection="0"/>
    <xf numFmtId="0" fontId="54" fillId="19" borderId="0" applyNumberFormat="0" applyBorder="0" applyAlignment="0" applyProtection="0"/>
    <xf numFmtId="0" fontId="53" fillId="20" borderId="0" applyNumberFormat="0" applyBorder="0" applyAlignment="0" applyProtection="0"/>
    <xf numFmtId="0" fontId="53" fillId="21" borderId="0" applyNumberFormat="0" applyBorder="0" applyAlignment="0" applyProtection="0"/>
    <xf numFmtId="0" fontId="54" fillId="22" borderId="0" applyNumberFormat="0" applyBorder="0" applyAlignment="0" applyProtection="0"/>
    <xf numFmtId="0" fontId="53" fillId="23" borderId="0" applyNumberFormat="0" applyBorder="0" applyAlignment="0" applyProtection="0"/>
    <xf numFmtId="0" fontId="53" fillId="24" borderId="0" applyNumberFormat="0" applyBorder="0" applyAlignment="0" applyProtection="0"/>
    <xf numFmtId="0" fontId="54" fillId="25" borderId="0" applyNumberFormat="0" applyBorder="0" applyAlignment="0" applyProtection="0"/>
    <xf numFmtId="0" fontId="53" fillId="8" borderId="0" applyNumberFormat="0" applyBorder="0" applyAlignment="0" applyProtection="0"/>
    <xf numFmtId="0" fontId="52" fillId="0" borderId="0" applyNumberFormat="0" applyFill="0" applyBorder="0" applyAlignment="0" applyProtection="0"/>
    <xf numFmtId="0" fontId="1" fillId="7" borderId="8" applyNumberFormat="0" applyFont="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15" borderId="0" applyNumberFormat="0" applyBorder="0" applyAlignment="0" applyProtection="0"/>
    <xf numFmtId="0" fontId="54" fillId="16" borderId="0" applyNumberFormat="0" applyBorder="0" applyAlignment="0" applyProtection="0"/>
    <xf numFmtId="0" fontId="53" fillId="17" borderId="0" applyNumberFormat="0" applyBorder="0" applyAlignment="0" applyProtection="0"/>
    <xf numFmtId="0" fontId="53" fillId="18" borderId="0" applyNumberFormat="0" applyBorder="0" applyAlignment="0" applyProtection="0"/>
    <xf numFmtId="0" fontId="54" fillId="19" borderId="0" applyNumberFormat="0" applyBorder="0" applyAlignment="0" applyProtection="0"/>
    <xf numFmtId="0" fontId="53" fillId="20" borderId="0" applyNumberFormat="0" applyBorder="0" applyAlignment="0" applyProtection="0"/>
    <xf numFmtId="0" fontId="53" fillId="21" borderId="0" applyNumberFormat="0" applyBorder="0" applyAlignment="0" applyProtection="0"/>
    <xf numFmtId="0" fontId="54" fillId="22" borderId="0" applyNumberFormat="0" applyBorder="0" applyAlignment="0" applyProtection="0"/>
    <xf numFmtId="0" fontId="53" fillId="23" borderId="0" applyNumberFormat="0" applyBorder="0" applyAlignment="0" applyProtection="0"/>
    <xf numFmtId="0" fontId="53" fillId="24" borderId="0" applyNumberFormat="0" applyBorder="0" applyAlignment="0" applyProtection="0"/>
    <xf numFmtId="0" fontId="54" fillId="25" borderId="0" applyNumberFormat="0" applyBorder="0" applyAlignment="0" applyProtection="0"/>
    <xf numFmtId="0" fontId="53" fillId="8" borderId="0" applyNumberFormat="0" applyBorder="0" applyAlignment="0" applyProtection="0"/>
    <xf numFmtId="0" fontId="52" fillId="0" borderId="0" applyNumberFormat="0" applyFill="0" applyBorder="0" applyAlignment="0" applyProtection="0"/>
    <xf numFmtId="0" fontId="1" fillId="7" borderId="8" applyNumberFormat="0" applyFont="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3" fillId="8" borderId="0" applyNumberFormat="0" applyBorder="0" applyAlignment="0" applyProtection="0"/>
    <xf numFmtId="0" fontId="1" fillId="7" borderId="8" applyNumberFormat="0" applyFont="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43" fillId="0" borderId="3" applyNumberFormat="0" applyFill="0" applyAlignment="0" applyProtection="0"/>
    <xf numFmtId="0" fontId="42" fillId="0" borderId="2" applyNumberFormat="0" applyFill="0" applyAlignment="0" applyProtection="0"/>
    <xf numFmtId="0" fontId="41" fillId="0" borderId="1" applyNumberFormat="0" applyFill="0" applyAlignment="0" applyProtection="0"/>
    <xf numFmtId="0" fontId="2"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xf numFmtId="0" fontId="54" fillId="25" borderId="0" applyNumberFormat="0" applyBorder="0" applyAlignment="0" applyProtection="0"/>
    <xf numFmtId="0" fontId="53" fillId="24" borderId="0" applyNumberFormat="0" applyBorder="0" applyAlignment="0" applyProtection="0"/>
    <xf numFmtId="0" fontId="53" fillId="23" borderId="0" applyNumberFormat="0" applyBorder="0" applyAlignment="0" applyProtection="0"/>
    <xf numFmtId="0" fontId="54" fillId="22" borderId="0" applyNumberFormat="0" applyBorder="0" applyAlignment="0" applyProtection="0"/>
    <xf numFmtId="0" fontId="53" fillId="21" borderId="0" applyNumberFormat="0" applyBorder="0" applyAlignment="0" applyProtection="0"/>
    <xf numFmtId="0" fontId="53" fillId="20" borderId="0" applyNumberFormat="0" applyBorder="0" applyAlignment="0" applyProtection="0"/>
    <xf numFmtId="0" fontId="54" fillId="19" borderId="0" applyNumberFormat="0" applyBorder="0" applyAlignment="0" applyProtection="0"/>
    <xf numFmtId="0" fontId="53" fillId="18" borderId="0" applyNumberFormat="0" applyBorder="0" applyAlignment="0" applyProtection="0"/>
    <xf numFmtId="0" fontId="53" fillId="17" borderId="0" applyNumberFormat="0" applyBorder="0" applyAlignment="0" applyProtection="0"/>
    <xf numFmtId="0" fontId="54" fillId="16" borderId="0" applyNumberFormat="0" applyBorder="0" applyAlignment="0" applyProtection="0"/>
    <xf numFmtId="0" fontId="53" fillId="15" borderId="0" applyNumberFormat="0" applyBorder="0" applyAlignment="0" applyProtection="0"/>
    <xf numFmtId="0" fontId="53" fillId="14" borderId="0" applyNumberFormat="0" applyBorder="0" applyAlignment="0" applyProtection="0"/>
    <xf numFmtId="0" fontId="54" fillId="13" borderId="0" applyNumberFormat="0" applyBorder="0" applyAlignment="0" applyProtection="0"/>
    <xf numFmtId="0" fontId="53" fillId="12" borderId="0" applyNumberFormat="0" applyBorder="0" applyAlignment="0" applyProtection="0"/>
    <xf numFmtId="0" fontId="53" fillId="11" borderId="0" applyNumberFormat="0" applyBorder="0" applyAlignment="0" applyProtection="0"/>
    <xf numFmtId="0" fontId="54" fillId="10" borderId="0" applyNumberFormat="0" applyBorder="0" applyAlignment="0" applyProtection="0"/>
    <xf numFmtId="0" fontId="53" fillId="9" borderId="0" applyNumberFormat="0" applyBorder="0" applyAlignment="0" applyProtection="0"/>
    <xf numFmtId="0" fontId="50" fillId="6" borderId="7" applyNumberFormat="0" applyAlignment="0" applyProtection="0"/>
    <xf numFmtId="0" fontId="48" fillId="5" borderId="4" applyNumberFormat="0" applyAlignment="0" applyProtection="0"/>
    <xf numFmtId="0" fontId="46" fillId="4" borderId="4" applyNumberFormat="0" applyAlignment="0" applyProtection="0"/>
    <xf numFmtId="0" fontId="44" fillId="2" borderId="0" applyNumberFormat="0" applyBorder="0" applyAlignment="0" applyProtection="0"/>
    <xf numFmtId="0" fontId="51" fillId="0" borderId="0" applyNumberFormat="0" applyFill="0" applyBorder="0" applyAlignment="0" applyProtection="0"/>
    <xf numFmtId="0" fontId="49" fillId="0" borderId="6" applyNumberFormat="0" applyFill="0" applyAlignment="0" applyProtection="0"/>
    <xf numFmtId="0" fontId="47" fillId="5" borderId="5" applyNumberFormat="0" applyAlignment="0" applyProtection="0"/>
    <xf numFmtId="0" fontId="45" fillId="3" borderId="0" applyNumberFormat="0" applyBorder="0" applyAlignment="0" applyProtection="0"/>
    <xf numFmtId="0" fontId="43" fillId="0" borderId="0" applyNumberFormat="0" applyFill="0" applyBorder="0" applyAlignment="0" applyProtection="0"/>
  </cellStyleXfs>
  <cellXfs count="761">
    <xf numFmtId="0" fontId="0" fillId="0" borderId="0" xfId="0"/>
    <xf numFmtId="4" fontId="56" fillId="53" borderId="15" xfId="0" applyNumberFormat="1" applyFont="1" applyFill="1" applyBorder="1" applyAlignment="1" applyProtection="1">
      <alignment horizontal="right" vertical="center"/>
      <protection locked="0"/>
    </xf>
    <xf numFmtId="0" fontId="56" fillId="59" borderId="52" xfId="0" applyFont="1" applyFill="1" applyBorder="1" applyAlignment="1" applyProtection="1">
      <alignment horizontal="center" vertical="center"/>
      <protection hidden="1"/>
    </xf>
    <xf numFmtId="0" fontId="56" fillId="59" borderId="28" xfId="0" applyFont="1" applyFill="1" applyBorder="1" applyAlignment="1" applyProtection="1">
      <alignment horizontal="center" vertical="center"/>
      <protection hidden="1"/>
    </xf>
    <xf numFmtId="0" fontId="0" fillId="0" borderId="0" xfId="0" applyProtection="1">
      <protection hidden="1"/>
    </xf>
    <xf numFmtId="0" fontId="57" fillId="0" borderId="0" xfId="0" applyFont="1" applyAlignment="1" applyProtection="1">
      <alignment horizontal="center" vertical="center"/>
      <protection hidden="1"/>
    </xf>
    <xf numFmtId="0" fontId="0" fillId="54" borderId="0" xfId="0" applyFill="1" applyProtection="1">
      <protection hidden="1"/>
    </xf>
    <xf numFmtId="0" fontId="57" fillId="52" borderId="33" xfId="0" applyFont="1" applyFill="1" applyBorder="1" applyAlignment="1" applyProtection="1">
      <alignment horizontal="center" vertical="center"/>
      <protection hidden="1"/>
    </xf>
    <xf numFmtId="0" fontId="57" fillId="0" borderId="0" xfId="0" applyFont="1" applyAlignment="1" applyProtection="1">
      <alignment horizontal="left" vertical="center"/>
      <protection hidden="1"/>
    </xf>
    <xf numFmtId="0" fontId="57" fillId="52" borderId="68" xfId="0" applyFont="1" applyFill="1" applyBorder="1" applyAlignment="1" applyProtection="1">
      <alignment horizontal="left" vertical="center"/>
      <protection hidden="1"/>
    </xf>
    <xf numFmtId="9" fontId="68" fillId="0" borderId="0" xfId="1059" applyFont="1" applyAlignment="1" applyProtection="1">
      <alignment horizontal="left" vertical="center"/>
      <protection hidden="1"/>
    </xf>
    <xf numFmtId="0" fontId="68" fillId="0" borderId="0" xfId="0" applyFont="1" applyAlignment="1" applyProtection="1">
      <alignment horizontal="left" vertical="center"/>
      <protection hidden="1"/>
    </xf>
    <xf numFmtId="49" fontId="57" fillId="0" borderId="0" xfId="0" applyNumberFormat="1" applyFont="1" applyAlignment="1" applyProtection="1">
      <alignment horizontal="left" vertical="center"/>
      <protection hidden="1"/>
    </xf>
    <xf numFmtId="49" fontId="65" fillId="0" borderId="0" xfId="0" applyNumberFormat="1" applyFont="1" applyAlignment="1" applyProtection="1">
      <alignment horizontal="left" vertical="center"/>
      <protection hidden="1"/>
    </xf>
    <xf numFmtId="0" fontId="57" fillId="52" borderId="29" xfId="0" applyFont="1" applyFill="1" applyBorder="1" applyAlignment="1" applyProtection="1">
      <alignment horizontal="center" vertical="center"/>
      <protection hidden="1"/>
    </xf>
    <xf numFmtId="0" fontId="57" fillId="52" borderId="28" xfId="0" applyFont="1" applyFill="1" applyBorder="1" applyAlignment="1" applyProtection="1">
      <alignment horizontal="center" vertical="center"/>
      <protection hidden="1"/>
    </xf>
    <xf numFmtId="49" fontId="57" fillId="52" borderId="16" xfId="0" applyNumberFormat="1" applyFont="1" applyFill="1" applyBorder="1" applyAlignment="1" applyProtection="1">
      <alignment vertical="center" wrapText="1"/>
      <protection hidden="1"/>
    </xf>
    <xf numFmtId="49" fontId="57" fillId="52" borderId="78" xfId="0" applyNumberFormat="1" applyFont="1" applyFill="1" applyBorder="1" applyAlignment="1" applyProtection="1">
      <alignment vertical="center" wrapText="1"/>
      <protection hidden="1"/>
    </xf>
    <xf numFmtId="1" fontId="56" fillId="52" borderId="48" xfId="0" applyNumberFormat="1" applyFont="1" applyFill="1" applyBorder="1" applyAlignment="1" applyProtection="1">
      <alignment horizontal="center"/>
      <protection hidden="1"/>
    </xf>
    <xf numFmtId="1" fontId="56" fillId="52" borderId="49" xfId="0" applyNumberFormat="1" applyFont="1" applyFill="1" applyBorder="1" applyAlignment="1" applyProtection="1">
      <alignment horizontal="center"/>
      <protection hidden="1"/>
    </xf>
    <xf numFmtId="1" fontId="56" fillId="52" borderId="29" xfId="0" applyNumberFormat="1" applyFont="1" applyFill="1" applyBorder="1" applyAlignment="1" applyProtection="1">
      <alignment horizontal="center"/>
      <protection hidden="1"/>
    </xf>
    <xf numFmtId="4" fontId="56" fillId="53" borderId="31" xfId="0" applyNumberFormat="1" applyFont="1" applyFill="1" applyBorder="1" applyAlignment="1" applyProtection="1">
      <alignment horizontal="right" vertical="center"/>
      <protection locked="0"/>
    </xf>
    <xf numFmtId="0" fontId="59" fillId="52" borderId="20" xfId="0" applyFont="1" applyFill="1" applyBorder="1" applyAlignment="1" applyProtection="1">
      <alignment horizontal="center" vertical="center" wrapText="1"/>
      <protection hidden="1"/>
    </xf>
    <xf numFmtId="0" fontId="59" fillId="52" borderId="75" xfId="174" applyFont="1" applyFill="1" applyBorder="1" applyAlignment="1" applyProtection="1">
      <alignment horizontal="center" vertical="center" wrapText="1"/>
      <protection hidden="1"/>
    </xf>
    <xf numFmtId="49" fontId="59" fillId="44" borderId="31" xfId="174" applyNumberFormat="1" applyFont="1" applyBorder="1" applyAlignment="1" applyProtection="1">
      <alignment horizontal="center" vertical="center"/>
      <protection hidden="1"/>
    </xf>
    <xf numFmtId="0" fontId="59" fillId="52" borderId="39" xfId="174" applyFont="1" applyFill="1" applyBorder="1" applyAlignment="1" applyProtection="1">
      <alignment horizontal="center" vertical="center" wrapText="1"/>
      <protection hidden="1"/>
    </xf>
    <xf numFmtId="0" fontId="59" fillId="52" borderId="31" xfId="0" applyFont="1" applyFill="1" applyBorder="1" applyAlignment="1" applyProtection="1">
      <alignment horizontal="center" vertical="center" wrapText="1"/>
      <protection hidden="1"/>
    </xf>
    <xf numFmtId="0" fontId="59" fillId="52" borderId="44" xfId="0" applyFont="1" applyFill="1" applyBorder="1" applyAlignment="1" applyProtection="1">
      <alignment horizontal="center" vertical="center"/>
      <protection hidden="1"/>
    </xf>
    <xf numFmtId="0" fontId="59" fillId="52" borderId="25" xfId="174" applyFont="1" applyFill="1" applyBorder="1" applyAlignment="1" applyProtection="1">
      <alignment horizontal="center" vertical="center" wrapText="1"/>
      <protection hidden="1"/>
    </xf>
    <xf numFmtId="0" fontId="59" fillId="52" borderId="27" xfId="174" applyFont="1" applyFill="1" applyBorder="1" applyAlignment="1" applyProtection="1">
      <alignment horizontal="center" vertical="center" wrapText="1"/>
      <protection hidden="1"/>
    </xf>
    <xf numFmtId="0" fontId="56" fillId="52" borderId="57" xfId="0" applyFont="1" applyFill="1" applyBorder="1" applyAlignment="1" applyProtection="1">
      <alignment horizontal="left" vertical="center" wrapText="1"/>
      <protection hidden="1"/>
    </xf>
    <xf numFmtId="0" fontId="56" fillId="59" borderId="56" xfId="0" applyFont="1" applyFill="1" applyBorder="1" applyAlignment="1" applyProtection="1">
      <alignment horizontal="center" vertical="center"/>
      <protection hidden="1"/>
    </xf>
    <xf numFmtId="1" fontId="56" fillId="52" borderId="82" xfId="0" applyNumberFormat="1" applyFont="1" applyFill="1" applyBorder="1" applyAlignment="1" applyProtection="1">
      <alignment horizontal="center"/>
      <protection hidden="1"/>
    </xf>
    <xf numFmtId="0" fontId="59" fillId="52" borderId="26" xfId="174" applyFont="1" applyFill="1" applyBorder="1" applyAlignment="1" applyProtection="1">
      <alignment horizontal="center" vertical="center" wrapText="1"/>
      <protection hidden="1"/>
    </xf>
    <xf numFmtId="0" fontId="59" fillId="52" borderId="58" xfId="174" applyFont="1" applyFill="1" applyBorder="1" applyAlignment="1" applyProtection="1">
      <alignment horizontal="center" vertical="center" wrapText="1"/>
      <protection hidden="1"/>
    </xf>
    <xf numFmtId="0" fontId="59" fillId="52" borderId="68" xfId="0" applyFont="1" applyFill="1" applyBorder="1" applyAlignment="1" applyProtection="1">
      <alignment horizontal="center" vertical="center"/>
      <protection hidden="1"/>
    </xf>
    <xf numFmtId="168" fontId="71" fillId="52" borderId="29" xfId="1059" applyNumberFormat="1" applyFont="1" applyFill="1" applyBorder="1" applyAlignment="1" applyProtection="1">
      <alignment horizontal="right" vertical="center"/>
      <protection hidden="1"/>
    </xf>
    <xf numFmtId="0" fontId="57" fillId="52" borderId="72" xfId="0" applyFont="1" applyFill="1" applyBorder="1" applyAlignment="1" applyProtection="1">
      <alignment horizontal="center" vertical="center"/>
      <protection hidden="1"/>
    </xf>
    <xf numFmtId="0" fontId="56" fillId="52" borderId="29" xfId="0" applyFont="1" applyFill="1" applyBorder="1" applyAlignment="1" applyProtection="1">
      <alignment horizontal="left" vertical="center"/>
      <protection hidden="1"/>
    </xf>
    <xf numFmtId="1" fontId="56" fillId="52" borderId="52" xfId="0" applyNumberFormat="1" applyFont="1" applyFill="1" applyBorder="1" applyAlignment="1" applyProtection="1">
      <alignment horizontal="center"/>
      <protection hidden="1"/>
    </xf>
    <xf numFmtId="0" fontId="57" fillId="52" borderId="56" xfId="0" applyFont="1" applyFill="1" applyBorder="1" applyAlignment="1" applyProtection="1">
      <alignment horizontal="center" vertical="center"/>
      <protection hidden="1"/>
    </xf>
    <xf numFmtId="0" fontId="57" fillId="52" borderId="57" xfId="0" applyFont="1" applyFill="1" applyBorder="1" applyAlignment="1" applyProtection="1">
      <alignment horizontal="center" vertical="center"/>
      <protection hidden="1"/>
    </xf>
    <xf numFmtId="49" fontId="59" fillId="52" borderId="28" xfId="174" applyNumberFormat="1" applyFont="1" applyFill="1" applyBorder="1" applyAlignment="1" applyProtection="1">
      <alignment horizontal="center" vertical="center"/>
      <protection hidden="1"/>
    </xf>
    <xf numFmtId="49" fontId="59" fillId="52" borderId="50" xfId="174" applyNumberFormat="1" applyFont="1" applyFill="1" applyBorder="1" applyAlignment="1" applyProtection="1">
      <alignment horizontal="center" vertical="center"/>
      <protection hidden="1"/>
    </xf>
    <xf numFmtId="0" fontId="59" fillId="52" borderId="68" xfId="1060" applyNumberFormat="1" applyFont="1" applyFill="1" applyBorder="1" applyAlignment="1" applyProtection="1">
      <alignment horizontal="left" vertical="center"/>
      <protection hidden="1"/>
    </xf>
    <xf numFmtId="0" fontId="56" fillId="0" borderId="0" xfId="0" applyFont="1" applyProtection="1">
      <protection hidden="1"/>
    </xf>
    <xf numFmtId="49" fontId="59" fillId="52" borderId="20" xfId="174" applyNumberFormat="1" applyFont="1" applyFill="1" applyBorder="1" applyAlignment="1" applyProtection="1">
      <alignment horizontal="center" vertical="center"/>
      <protection hidden="1"/>
    </xf>
    <xf numFmtId="49" fontId="59" fillId="52" borderId="31" xfId="174" applyNumberFormat="1" applyFont="1" applyFill="1" applyBorder="1" applyAlignment="1" applyProtection="1">
      <alignment horizontal="center" vertical="center"/>
      <protection hidden="1"/>
    </xf>
    <xf numFmtId="0" fontId="57" fillId="52" borderId="32" xfId="0" applyFont="1" applyFill="1" applyBorder="1" applyAlignment="1" applyProtection="1">
      <alignment horizontal="center" vertical="center" wrapText="1"/>
      <protection hidden="1"/>
    </xf>
    <xf numFmtId="4" fontId="56" fillId="53" borderId="49" xfId="0" applyNumberFormat="1" applyFont="1" applyFill="1" applyBorder="1" applyAlignment="1" applyProtection="1">
      <alignment horizontal="right" vertical="center"/>
      <protection locked="0"/>
    </xf>
    <xf numFmtId="4" fontId="56" fillId="53" borderId="29" xfId="0" applyNumberFormat="1" applyFont="1" applyFill="1" applyBorder="1" applyAlignment="1" applyProtection="1">
      <alignment horizontal="right" vertical="center"/>
      <protection locked="0"/>
    </xf>
    <xf numFmtId="0" fontId="56" fillId="52" borderId="31" xfId="0" applyFont="1" applyFill="1" applyBorder="1" applyAlignment="1" applyProtection="1">
      <alignment horizontal="left" vertical="center"/>
      <protection hidden="1"/>
    </xf>
    <xf numFmtId="168" fontId="71" fillId="52" borderId="33" xfId="1059" applyNumberFormat="1" applyFont="1" applyFill="1" applyBorder="1" applyAlignment="1" applyProtection="1">
      <alignment horizontal="right" vertical="center"/>
      <protection hidden="1"/>
    </xf>
    <xf numFmtId="0" fontId="56" fillId="52" borderId="33" xfId="0" applyFont="1" applyFill="1" applyBorder="1" applyAlignment="1" applyProtection="1">
      <alignment horizontal="left" vertical="center"/>
      <protection hidden="1"/>
    </xf>
    <xf numFmtId="49" fontId="71" fillId="53" borderId="28" xfId="0" applyNumberFormat="1" applyFont="1" applyFill="1" applyBorder="1" applyAlignment="1" applyProtection="1">
      <alignment horizontal="left" vertical="center" wrapText="1"/>
      <protection locked="0"/>
    </xf>
    <xf numFmtId="49" fontId="71" fillId="53" borderId="15" xfId="0" applyNumberFormat="1" applyFont="1" applyFill="1" applyBorder="1" applyAlignment="1" applyProtection="1">
      <alignment horizontal="left" vertical="center" wrapText="1"/>
      <protection locked="0"/>
    </xf>
    <xf numFmtId="49" fontId="71" fillId="53" borderId="20" xfId="0" applyNumberFormat="1" applyFont="1" applyFill="1" applyBorder="1" applyAlignment="1" applyProtection="1">
      <alignment horizontal="left" vertical="center" wrapText="1"/>
      <protection locked="0"/>
    </xf>
    <xf numFmtId="49" fontId="71" fillId="53" borderId="52" xfId="0" applyNumberFormat="1" applyFont="1" applyFill="1" applyBorder="1" applyAlignment="1" applyProtection="1">
      <alignment horizontal="left" vertical="center" wrapText="1"/>
      <protection locked="0"/>
    </xf>
    <xf numFmtId="49" fontId="71" fillId="53" borderId="32" xfId="0" applyNumberFormat="1" applyFont="1" applyFill="1" applyBorder="1" applyAlignment="1" applyProtection="1">
      <alignment horizontal="left" vertical="center" wrapText="1"/>
      <protection locked="0"/>
    </xf>
    <xf numFmtId="49" fontId="71" fillId="53" borderId="33" xfId="0" applyNumberFormat="1" applyFont="1" applyFill="1" applyBorder="1" applyAlignment="1" applyProtection="1">
      <alignment horizontal="left" vertical="top" wrapText="1"/>
      <protection locked="0"/>
    </xf>
    <xf numFmtId="49" fontId="71" fillId="53" borderId="29" xfId="0" applyNumberFormat="1" applyFont="1" applyFill="1" applyBorder="1" applyAlignment="1" applyProtection="1">
      <alignment horizontal="left" vertical="top" wrapText="1"/>
      <protection locked="0"/>
    </xf>
    <xf numFmtId="49" fontId="71" fillId="53" borderId="30" xfId="0" applyNumberFormat="1" applyFont="1" applyFill="1" applyBorder="1" applyAlignment="1" applyProtection="1">
      <alignment horizontal="left" vertical="center" wrapText="1"/>
      <protection locked="0"/>
    </xf>
    <xf numFmtId="49" fontId="71" fillId="53" borderId="31" xfId="0" applyNumberFormat="1" applyFont="1" applyFill="1" applyBorder="1" applyAlignment="1" applyProtection="1">
      <alignment horizontal="left" vertical="top" wrapText="1"/>
      <protection locked="0"/>
    </xf>
    <xf numFmtId="0" fontId="57" fillId="55" borderId="36" xfId="0" applyFont="1" applyFill="1" applyBorder="1" applyAlignment="1" applyProtection="1">
      <alignment horizontal="center" vertical="center"/>
      <protection hidden="1"/>
    </xf>
    <xf numFmtId="0" fontId="57" fillId="52" borderId="52" xfId="0" applyFont="1" applyFill="1" applyBorder="1" applyAlignment="1" applyProtection="1">
      <alignment horizontal="center"/>
      <protection hidden="1"/>
    </xf>
    <xf numFmtId="1" fontId="56" fillId="57" borderId="30" xfId="0" applyNumberFormat="1" applyFont="1" applyFill="1" applyBorder="1" applyAlignment="1" applyProtection="1">
      <alignment horizontal="center"/>
      <protection hidden="1"/>
    </xf>
    <xf numFmtId="167" fontId="60" fillId="53" borderId="50" xfId="1058" applyNumberFormat="1" applyFont="1" applyFill="1" applyBorder="1" applyAlignment="1" applyProtection="1">
      <alignment horizontal="right" vertical="center"/>
      <protection locked="0"/>
    </xf>
    <xf numFmtId="167" fontId="60" fillId="53" borderId="38" xfId="1058" applyNumberFormat="1" applyFont="1" applyFill="1" applyBorder="1" applyAlignment="1" applyProtection="1">
      <alignment horizontal="right" vertical="center"/>
      <protection locked="0"/>
    </xf>
    <xf numFmtId="0" fontId="57" fillId="52" borderId="83" xfId="0" applyFont="1" applyFill="1" applyBorder="1" applyAlignment="1" applyProtection="1">
      <alignment horizontal="center" vertical="center"/>
      <protection hidden="1"/>
    </xf>
    <xf numFmtId="0" fontId="57" fillId="52" borderId="80" xfId="0" applyFont="1" applyFill="1" applyBorder="1" applyAlignment="1" applyProtection="1">
      <alignment horizontal="center" vertical="center"/>
      <protection hidden="1"/>
    </xf>
    <xf numFmtId="10" fontId="56" fillId="52" borderId="15" xfId="0" applyNumberFormat="1" applyFont="1" applyFill="1" applyBorder="1" applyAlignment="1" applyProtection="1">
      <alignment horizontal="right" vertical="center"/>
      <protection hidden="1"/>
    </xf>
    <xf numFmtId="10" fontId="56" fillId="52" borderId="29" xfId="0" applyNumberFormat="1" applyFont="1" applyFill="1" applyBorder="1" applyAlignment="1" applyProtection="1">
      <alignment horizontal="right" vertical="center"/>
      <protection hidden="1"/>
    </xf>
    <xf numFmtId="10" fontId="56" fillId="52" borderId="47" xfId="0" applyNumberFormat="1" applyFont="1" applyFill="1" applyBorder="1" applyAlignment="1" applyProtection="1">
      <alignment horizontal="right" vertical="center"/>
      <protection hidden="1"/>
    </xf>
    <xf numFmtId="10" fontId="56" fillId="52" borderId="26" xfId="0" applyNumberFormat="1" applyFont="1" applyFill="1" applyBorder="1" applyAlignment="1" applyProtection="1">
      <alignment horizontal="right" vertical="center"/>
      <protection hidden="1"/>
    </xf>
    <xf numFmtId="10" fontId="56" fillId="52" borderId="20" xfId="0" applyNumberFormat="1" applyFont="1" applyFill="1" applyBorder="1" applyAlignment="1" applyProtection="1">
      <alignment horizontal="right" vertical="center"/>
      <protection hidden="1"/>
    </xf>
    <xf numFmtId="4" fontId="56" fillId="53" borderId="45" xfId="0" applyNumberFormat="1" applyFont="1" applyFill="1" applyBorder="1" applyAlignment="1" applyProtection="1">
      <alignment horizontal="right" vertical="center"/>
      <protection locked="0"/>
    </xf>
    <xf numFmtId="10" fontId="56" fillId="52" borderId="49" xfId="1059" applyNumberFormat="1" applyFont="1" applyFill="1" applyBorder="1" applyAlignment="1" applyProtection="1">
      <alignment horizontal="right" vertical="center"/>
      <protection hidden="1"/>
    </xf>
    <xf numFmtId="3" fontId="56" fillId="53" borderId="47" xfId="0" applyNumberFormat="1" applyFont="1" applyFill="1" applyBorder="1" applyAlignment="1" applyProtection="1">
      <alignment horizontal="right" vertical="center"/>
      <protection locked="0"/>
    </xf>
    <xf numFmtId="1" fontId="56" fillId="52" borderId="33" xfId="0" applyNumberFormat="1" applyFont="1" applyFill="1" applyBorder="1" applyAlignment="1" applyProtection="1">
      <alignment horizontal="center"/>
      <protection hidden="1"/>
    </xf>
    <xf numFmtId="1" fontId="56" fillId="52" borderId="85" xfId="0" applyNumberFormat="1" applyFont="1" applyFill="1" applyBorder="1" applyAlignment="1" applyProtection="1">
      <alignment horizontal="center"/>
      <protection hidden="1"/>
    </xf>
    <xf numFmtId="0" fontId="71" fillId="56" borderId="52" xfId="0" applyFont="1" applyFill="1" applyBorder="1" applyAlignment="1" applyProtection="1">
      <alignment horizontal="center" vertical="center"/>
      <protection hidden="1"/>
    </xf>
    <xf numFmtId="0" fontId="71" fillId="56" borderId="48" xfId="0" applyFont="1" applyFill="1" applyBorder="1" applyAlignment="1" applyProtection="1">
      <alignment horizontal="center" vertical="center"/>
      <protection hidden="1"/>
    </xf>
    <xf numFmtId="0" fontId="71" fillId="56" borderId="28" xfId="0" applyFont="1" applyFill="1" applyBorder="1" applyAlignment="1" applyProtection="1">
      <alignment horizontal="center" vertical="center"/>
      <protection hidden="1"/>
    </xf>
    <xf numFmtId="0" fontId="71" fillId="52" borderId="72" xfId="0" applyFont="1" applyFill="1" applyBorder="1" applyAlignment="1" applyProtection="1">
      <alignment horizontal="left" vertical="center" wrapText="1"/>
      <protection hidden="1"/>
    </xf>
    <xf numFmtId="0" fontId="71" fillId="56" borderId="30" xfId="0" applyFont="1" applyFill="1" applyBorder="1" applyAlignment="1" applyProtection="1">
      <alignment horizontal="center" vertical="center"/>
      <protection hidden="1"/>
    </xf>
    <xf numFmtId="0" fontId="71" fillId="53" borderId="49" xfId="0" applyFont="1" applyFill="1" applyBorder="1" applyAlignment="1" applyProtection="1">
      <alignment horizontal="left" vertical="center" wrapText="1"/>
      <protection locked="0"/>
    </xf>
    <xf numFmtId="0" fontId="71" fillId="53" borderId="31" xfId="0" applyFont="1" applyFill="1" applyBorder="1" applyAlignment="1" applyProtection="1">
      <alignment horizontal="left" vertical="center" wrapText="1"/>
      <protection locked="0"/>
    </xf>
    <xf numFmtId="168" fontId="71" fillId="52" borderId="31" xfId="1059" applyNumberFormat="1" applyFont="1" applyFill="1" applyBorder="1" applyAlignment="1" applyProtection="1">
      <alignment horizontal="center" vertical="center" wrapText="1"/>
      <protection hidden="1"/>
    </xf>
    <xf numFmtId="0" fontId="71" fillId="58" borderId="52" xfId="0" applyFont="1" applyFill="1" applyBorder="1" applyAlignment="1" applyProtection="1">
      <alignment horizontal="center" vertical="center"/>
      <protection hidden="1"/>
    </xf>
    <xf numFmtId="0" fontId="71" fillId="58" borderId="28" xfId="0" applyFont="1" applyFill="1" applyBorder="1" applyAlignment="1" applyProtection="1">
      <alignment horizontal="center" vertical="center"/>
      <protection hidden="1"/>
    </xf>
    <xf numFmtId="0" fontId="71" fillId="58" borderId="30" xfId="0" applyFont="1" applyFill="1" applyBorder="1" applyAlignment="1" applyProtection="1">
      <alignment horizontal="center" vertical="center"/>
      <protection hidden="1"/>
    </xf>
    <xf numFmtId="4" fontId="71" fillId="53" borderId="52" xfId="0" applyNumberFormat="1" applyFont="1" applyFill="1" applyBorder="1" applyAlignment="1" applyProtection="1">
      <alignment horizontal="right" vertical="center"/>
      <protection locked="0"/>
    </xf>
    <xf numFmtId="4" fontId="71" fillId="53" borderId="32" xfId="0" applyNumberFormat="1" applyFont="1" applyFill="1" applyBorder="1" applyAlignment="1" applyProtection="1">
      <alignment horizontal="right" vertical="center"/>
      <protection locked="0"/>
    </xf>
    <xf numFmtId="4" fontId="71" fillId="53" borderId="28" xfId="0" applyNumberFormat="1" applyFont="1" applyFill="1" applyBorder="1" applyAlignment="1" applyProtection="1">
      <alignment horizontal="right" vertical="center"/>
      <protection locked="0"/>
    </xf>
    <xf numFmtId="4" fontId="71" fillId="53" borderId="15" xfId="0" applyNumberFormat="1" applyFont="1" applyFill="1" applyBorder="1" applyAlignment="1" applyProtection="1">
      <alignment horizontal="right" vertical="center"/>
      <protection locked="0"/>
    </xf>
    <xf numFmtId="3" fontId="71" fillId="53" borderId="28" xfId="0" applyNumberFormat="1" applyFont="1" applyFill="1" applyBorder="1" applyAlignment="1" applyProtection="1">
      <alignment horizontal="right" vertical="center"/>
      <protection locked="0"/>
    </xf>
    <xf numFmtId="3" fontId="71" fillId="53" borderId="15" xfId="0" applyNumberFormat="1" applyFont="1" applyFill="1" applyBorder="1" applyAlignment="1" applyProtection="1">
      <alignment horizontal="right" vertical="center"/>
      <protection locked="0"/>
    </xf>
    <xf numFmtId="3" fontId="71" fillId="53" borderId="52" xfId="0" applyNumberFormat="1" applyFont="1" applyFill="1" applyBorder="1" applyAlignment="1" applyProtection="1">
      <alignment horizontal="right" vertical="center"/>
      <protection locked="0"/>
    </xf>
    <xf numFmtId="3" fontId="71" fillId="53" borderId="63" xfId="0" applyNumberFormat="1" applyFont="1" applyFill="1" applyBorder="1" applyAlignment="1" applyProtection="1">
      <alignment horizontal="right" vertical="center"/>
      <protection locked="0"/>
    </xf>
    <xf numFmtId="3" fontId="71" fillId="53" borderId="45" xfId="0" applyNumberFormat="1" applyFont="1" applyFill="1" applyBorder="1" applyAlignment="1" applyProtection="1">
      <alignment horizontal="right" vertical="center"/>
      <protection locked="0"/>
    </xf>
    <xf numFmtId="3" fontId="71" fillId="53" borderId="16" xfId="0" applyNumberFormat="1" applyFont="1" applyFill="1" applyBorder="1" applyAlignment="1" applyProtection="1">
      <alignment horizontal="right" vertical="center"/>
      <protection locked="0"/>
    </xf>
    <xf numFmtId="3" fontId="71" fillId="53" borderId="30" xfId="0" applyNumberFormat="1" applyFont="1" applyFill="1" applyBorder="1" applyAlignment="1" applyProtection="1">
      <alignment horizontal="right" vertical="center"/>
      <protection locked="0"/>
    </xf>
    <xf numFmtId="3" fontId="71" fillId="53" borderId="26" xfId="0" applyNumberFormat="1" applyFont="1" applyFill="1" applyBorder="1" applyAlignment="1" applyProtection="1">
      <alignment horizontal="right" vertical="center"/>
      <protection locked="0"/>
    </xf>
    <xf numFmtId="3" fontId="71" fillId="53" borderId="20" xfId="0" applyNumberFormat="1" applyFont="1" applyFill="1" applyBorder="1" applyAlignment="1" applyProtection="1">
      <alignment horizontal="right" vertical="center"/>
      <protection locked="0"/>
    </xf>
    <xf numFmtId="3" fontId="71" fillId="53" borderId="31" xfId="0" applyNumberFormat="1" applyFont="1" applyFill="1" applyBorder="1" applyAlignment="1" applyProtection="1">
      <alignment horizontal="right" vertical="center"/>
      <protection locked="0"/>
    </xf>
    <xf numFmtId="49" fontId="59" fillId="44" borderId="26" xfId="174" applyNumberFormat="1" applyFont="1" applyBorder="1" applyAlignment="1" applyProtection="1">
      <alignment horizontal="center" vertical="center"/>
      <protection hidden="1"/>
    </xf>
    <xf numFmtId="0" fontId="59" fillId="44" borderId="20" xfId="174" applyNumberFormat="1" applyFont="1" applyBorder="1" applyAlignment="1" applyProtection="1">
      <alignment horizontal="center" vertical="center"/>
      <protection hidden="1"/>
    </xf>
    <xf numFmtId="49" fontId="59" fillId="44" borderId="20" xfId="174" applyNumberFormat="1" applyFont="1" applyBorder="1" applyAlignment="1" applyProtection="1">
      <alignment horizontal="center" vertical="center"/>
      <protection hidden="1"/>
    </xf>
    <xf numFmtId="0" fontId="59" fillId="44" borderId="31" xfId="174" applyNumberFormat="1" applyFont="1" applyBorder="1" applyAlignment="1" applyProtection="1">
      <alignment horizontal="center" vertical="center"/>
      <protection hidden="1"/>
    </xf>
    <xf numFmtId="49" fontId="59" fillId="44" borderId="52" xfId="174" applyNumberFormat="1" applyFont="1" applyBorder="1" applyAlignment="1" applyProtection="1">
      <alignment horizontal="left" vertical="center"/>
      <protection hidden="1"/>
    </xf>
    <xf numFmtId="49" fontId="59" fillId="44" borderId="28" xfId="174" applyNumberFormat="1" applyFont="1" applyBorder="1" applyAlignment="1" applyProtection="1">
      <alignment horizontal="left" vertical="center"/>
      <protection hidden="1"/>
    </xf>
    <xf numFmtId="49" fontId="59" fillId="44" borderId="30" xfId="174" applyNumberFormat="1" applyFont="1" applyBorder="1" applyAlignment="1" applyProtection="1">
      <alignment horizontal="left" vertical="center"/>
      <protection hidden="1"/>
    </xf>
    <xf numFmtId="3" fontId="71" fillId="53" borderId="67" xfId="0" applyNumberFormat="1" applyFont="1" applyFill="1" applyBorder="1" applyAlignment="1" applyProtection="1">
      <alignment horizontal="right" vertical="center"/>
      <protection locked="0"/>
    </xf>
    <xf numFmtId="3" fontId="71" fillId="53" borderId="44" xfId="0" applyNumberFormat="1" applyFont="1" applyFill="1" applyBorder="1" applyAlignment="1" applyProtection="1">
      <alignment horizontal="right" vertical="center"/>
      <protection locked="0"/>
    </xf>
    <xf numFmtId="3" fontId="71" fillId="53" borderId="68" xfId="0" applyNumberFormat="1" applyFont="1" applyFill="1" applyBorder="1" applyAlignment="1" applyProtection="1">
      <alignment horizontal="right" vertical="center"/>
      <protection locked="0"/>
    </xf>
    <xf numFmtId="3" fontId="71" fillId="53" borderId="28" xfId="0" quotePrefix="1" applyNumberFormat="1" applyFont="1" applyFill="1" applyBorder="1" applyAlignment="1" applyProtection="1">
      <alignment horizontal="right" vertical="center"/>
      <protection locked="0"/>
    </xf>
    <xf numFmtId="3" fontId="71" fillId="53" borderId="25" xfId="0" applyNumberFormat="1" applyFont="1" applyFill="1" applyBorder="1" applyAlignment="1" applyProtection="1">
      <alignment horizontal="right" vertical="center"/>
      <protection locked="0"/>
    </xf>
    <xf numFmtId="171" fontId="59" fillId="44" borderId="20" xfId="174" applyNumberFormat="1" applyFont="1" applyBorder="1" applyAlignment="1" applyProtection="1">
      <alignment horizontal="center" vertical="center"/>
      <protection hidden="1"/>
    </xf>
    <xf numFmtId="49" fontId="59" fillId="44" borderId="52" xfId="174" applyNumberFormat="1" applyFont="1" applyBorder="1" applyAlignment="1" applyProtection="1">
      <alignment horizontal="center" vertical="center"/>
      <protection hidden="1"/>
    </xf>
    <xf numFmtId="49" fontId="59" fillId="44" borderId="28" xfId="174" applyNumberFormat="1" applyFont="1" applyBorder="1" applyAlignment="1" applyProtection="1">
      <alignment horizontal="center" vertical="center"/>
      <protection hidden="1"/>
    </xf>
    <xf numFmtId="49" fontId="59" fillId="44" borderId="30" xfId="174" applyNumberFormat="1" applyFont="1" applyBorder="1" applyAlignment="1" applyProtection="1">
      <alignment horizontal="center" vertical="center"/>
      <protection hidden="1"/>
    </xf>
    <xf numFmtId="0" fontId="71" fillId="56" borderId="32" xfId="0" applyFont="1" applyFill="1" applyBorder="1" applyAlignment="1" applyProtection="1">
      <alignment horizontal="center" vertical="center"/>
      <protection hidden="1"/>
    </xf>
    <xf numFmtId="0" fontId="71" fillId="56" borderId="15" xfId="0" applyFont="1" applyFill="1" applyBorder="1" applyAlignment="1" applyProtection="1">
      <alignment horizontal="center" vertical="center"/>
      <protection hidden="1"/>
    </xf>
    <xf numFmtId="0" fontId="71" fillId="56" borderId="20" xfId="0" applyFont="1" applyFill="1" applyBorder="1" applyAlignment="1" applyProtection="1">
      <alignment horizontal="center" vertical="center"/>
      <protection hidden="1"/>
    </xf>
    <xf numFmtId="14" fontId="71" fillId="53" borderId="62" xfId="174" applyNumberFormat="1" applyFont="1" applyFill="1" applyBorder="1" applyAlignment="1" applyProtection="1">
      <alignment horizontal="right" vertical="center"/>
      <protection locked="0"/>
    </xf>
    <xf numFmtId="3" fontId="71" fillId="53" borderId="62" xfId="174" applyNumberFormat="1" applyFont="1" applyFill="1" applyBorder="1" applyAlignment="1" applyProtection="1">
      <alignment horizontal="right" vertical="center"/>
      <protection locked="0"/>
    </xf>
    <xf numFmtId="0" fontId="59" fillId="52" borderId="71" xfId="0" applyFont="1" applyFill="1" applyBorder="1" applyProtection="1">
      <protection hidden="1"/>
    </xf>
    <xf numFmtId="0" fontId="59" fillId="52" borderId="73" xfId="0" applyFont="1" applyFill="1" applyBorder="1" applyProtection="1">
      <protection hidden="1"/>
    </xf>
    <xf numFmtId="0" fontId="71" fillId="58" borderId="64" xfId="0" applyFont="1" applyFill="1" applyBorder="1" applyAlignment="1" applyProtection="1">
      <alignment horizontal="center"/>
      <protection hidden="1"/>
    </xf>
    <xf numFmtId="0" fontId="71" fillId="58" borderId="65" xfId="0" applyFont="1" applyFill="1" applyBorder="1" applyAlignment="1" applyProtection="1">
      <alignment horizontal="center"/>
      <protection hidden="1"/>
    </xf>
    <xf numFmtId="0" fontId="71" fillId="58" borderId="66" xfId="0" applyFont="1" applyFill="1" applyBorder="1" applyAlignment="1" applyProtection="1">
      <alignment horizontal="center"/>
      <protection hidden="1"/>
    </xf>
    <xf numFmtId="168" fontId="56" fillId="52" borderId="39" xfId="1059" applyNumberFormat="1" applyFont="1" applyFill="1" applyBorder="1" applyAlignment="1" applyProtection="1">
      <alignment horizontal="right" vertical="center"/>
      <protection hidden="1"/>
    </xf>
    <xf numFmtId="0" fontId="59" fillId="44" borderId="45" xfId="174" applyFont="1" applyBorder="1" applyAlignment="1" applyProtection="1">
      <alignment horizontal="center" vertical="center" wrapText="1"/>
      <protection hidden="1"/>
    </xf>
    <xf numFmtId="0" fontId="59" fillId="44" borderId="15" xfId="174" applyFont="1" applyBorder="1" applyAlignment="1" applyProtection="1">
      <alignment horizontal="center" vertical="center" wrapText="1"/>
      <protection hidden="1"/>
    </xf>
    <xf numFmtId="0" fontId="59" fillId="44" borderId="16" xfId="174" applyFont="1" applyBorder="1" applyAlignment="1" applyProtection="1">
      <alignment horizontal="center" vertical="center" wrapText="1"/>
      <protection hidden="1"/>
    </xf>
    <xf numFmtId="49" fontId="57" fillId="52" borderId="35" xfId="0" applyNumberFormat="1" applyFont="1" applyFill="1" applyBorder="1" applyAlignment="1" applyProtection="1">
      <alignment horizontal="center" vertical="center"/>
      <protection hidden="1"/>
    </xf>
    <xf numFmtId="49" fontId="57" fillId="52" borderId="54" xfId="0" applyNumberFormat="1" applyFont="1" applyFill="1" applyBorder="1" applyAlignment="1" applyProtection="1">
      <alignment horizontal="center" vertical="center"/>
      <protection hidden="1"/>
    </xf>
    <xf numFmtId="4" fontId="71" fillId="53" borderId="28" xfId="0" applyNumberFormat="1" applyFont="1" applyFill="1" applyBorder="1" applyAlignment="1" applyProtection="1">
      <alignment horizontal="left" vertical="center" wrapText="1"/>
      <protection locked="0"/>
    </xf>
    <xf numFmtId="4" fontId="71" fillId="53" borderId="15" xfId="0" applyNumberFormat="1" applyFont="1" applyFill="1" applyBorder="1" applyAlignment="1" applyProtection="1">
      <alignment horizontal="left" vertical="center" wrapText="1"/>
      <protection locked="0"/>
    </xf>
    <xf numFmtId="4" fontId="71" fillId="53" borderId="30" xfId="0" applyNumberFormat="1" applyFont="1" applyFill="1" applyBorder="1" applyAlignment="1" applyProtection="1">
      <alignment horizontal="left" vertical="center" wrapText="1"/>
      <protection locked="0"/>
    </xf>
    <xf numFmtId="4" fontId="71" fillId="53" borderId="20" xfId="0" applyNumberFormat="1" applyFont="1" applyFill="1" applyBorder="1" applyAlignment="1" applyProtection="1">
      <alignment horizontal="left" vertical="center" wrapText="1"/>
      <protection locked="0"/>
    </xf>
    <xf numFmtId="3" fontId="56" fillId="53" borderId="26" xfId="0" applyNumberFormat="1" applyFont="1" applyFill="1" applyBorder="1" applyAlignment="1" applyProtection="1">
      <alignment horizontal="right" vertical="center"/>
      <protection locked="0"/>
    </xf>
    <xf numFmtId="3" fontId="56" fillId="53" borderId="20" xfId="0" applyNumberFormat="1" applyFont="1" applyFill="1" applyBorder="1" applyAlignment="1" applyProtection="1">
      <alignment horizontal="right" vertical="center"/>
      <protection locked="0"/>
    </xf>
    <xf numFmtId="3" fontId="56" fillId="53" borderId="44" xfId="0" applyNumberFormat="1" applyFont="1" applyFill="1" applyBorder="1" applyAlignment="1" applyProtection="1">
      <alignment horizontal="right" vertical="center"/>
      <protection locked="0"/>
    </xf>
    <xf numFmtId="3" fontId="56" fillId="53" borderId="45" xfId="0" applyNumberFormat="1" applyFont="1" applyFill="1" applyBorder="1" applyAlignment="1" applyProtection="1">
      <alignment horizontal="right" vertical="center"/>
      <protection locked="0"/>
    </xf>
    <xf numFmtId="49" fontId="57" fillId="52" borderId="63" xfId="0" applyNumberFormat="1" applyFont="1" applyFill="1" applyBorder="1" applyAlignment="1" applyProtection="1">
      <alignment horizontal="center" vertical="center" wrapText="1"/>
      <protection hidden="1"/>
    </xf>
    <xf numFmtId="49" fontId="59" fillId="52" borderId="26" xfId="174" applyNumberFormat="1" applyFont="1" applyFill="1" applyBorder="1" applyAlignment="1" applyProtection="1">
      <alignment horizontal="center" vertical="center"/>
      <protection hidden="1"/>
    </xf>
    <xf numFmtId="10" fontId="56" fillId="52" borderId="46" xfId="0" applyNumberFormat="1" applyFont="1" applyFill="1" applyBorder="1" applyAlignment="1" applyProtection="1">
      <alignment horizontal="right" vertical="center"/>
      <protection hidden="1"/>
    </xf>
    <xf numFmtId="10" fontId="56" fillId="52" borderId="45" xfId="0" applyNumberFormat="1" applyFont="1" applyFill="1" applyBorder="1" applyAlignment="1" applyProtection="1">
      <alignment horizontal="right" vertical="center"/>
      <protection hidden="1"/>
    </xf>
    <xf numFmtId="10" fontId="56" fillId="52" borderId="76" xfId="0" applyNumberFormat="1" applyFont="1" applyFill="1" applyBorder="1" applyAlignment="1" applyProtection="1">
      <alignment horizontal="right" vertical="center"/>
      <protection hidden="1"/>
    </xf>
    <xf numFmtId="0" fontId="57" fillId="52" borderId="82" xfId="0" applyFont="1" applyFill="1" applyBorder="1" applyAlignment="1" applyProtection="1">
      <alignment horizontal="left" vertical="center"/>
      <protection hidden="1"/>
    </xf>
    <xf numFmtId="49" fontId="57" fillId="52" borderId="72" xfId="0" applyNumberFormat="1" applyFont="1" applyFill="1" applyBorder="1" applyAlignment="1" applyProtection="1">
      <alignment vertical="center" wrapText="1"/>
      <protection hidden="1"/>
    </xf>
    <xf numFmtId="49" fontId="57" fillId="52" borderId="89" xfId="0" applyNumberFormat="1" applyFont="1" applyFill="1" applyBorder="1" applyAlignment="1" applyProtection="1">
      <alignment vertical="center" wrapText="1"/>
      <protection hidden="1"/>
    </xf>
    <xf numFmtId="49" fontId="57" fillId="52" borderId="84" xfId="0" applyNumberFormat="1" applyFont="1" applyFill="1" applyBorder="1" applyAlignment="1" applyProtection="1">
      <alignment vertical="center" wrapText="1"/>
      <protection hidden="1"/>
    </xf>
    <xf numFmtId="49" fontId="57" fillId="52" borderId="25" xfId="0" applyNumberFormat="1" applyFont="1" applyFill="1" applyBorder="1" applyAlignment="1" applyProtection="1">
      <alignment vertical="center" wrapText="1"/>
      <protection hidden="1"/>
    </xf>
    <xf numFmtId="3" fontId="56" fillId="53" borderId="48" xfId="0" applyNumberFormat="1" applyFont="1" applyFill="1" applyBorder="1" applyAlignment="1" applyProtection="1">
      <alignment horizontal="left" vertical="center"/>
      <protection locked="0"/>
    </xf>
    <xf numFmtId="3" fontId="56" fillId="53" borderId="28" xfId="0" applyNumberFormat="1" applyFont="1" applyFill="1" applyBorder="1" applyAlignment="1" applyProtection="1">
      <alignment horizontal="left" vertical="center"/>
      <protection locked="0"/>
    </xf>
    <xf numFmtId="3" fontId="56" fillId="53" borderId="30" xfId="0" applyNumberFormat="1" applyFont="1" applyFill="1" applyBorder="1" applyAlignment="1" applyProtection="1">
      <alignment horizontal="left" vertical="center"/>
      <protection locked="0"/>
    </xf>
    <xf numFmtId="4" fontId="56" fillId="53" borderId="48" xfId="0" applyNumberFormat="1" applyFont="1" applyFill="1" applyBorder="1" applyAlignment="1" applyProtection="1">
      <alignment horizontal="left" vertical="center"/>
      <protection locked="0"/>
    </xf>
    <xf numFmtId="4" fontId="56" fillId="53" borderId="28" xfId="0" applyNumberFormat="1" applyFont="1" applyFill="1" applyBorder="1" applyAlignment="1" applyProtection="1">
      <alignment horizontal="left" vertical="center"/>
      <protection locked="0"/>
    </xf>
    <xf numFmtId="4" fontId="56" fillId="53" borderId="30" xfId="0" applyNumberFormat="1" applyFont="1" applyFill="1" applyBorder="1" applyAlignment="1" applyProtection="1">
      <alignment horizontal="left" vertical="center"/>
      <protection locked="0"/>
    </xf>
    <xf numFmtId="49" fontId="59" fillId="52" borderId="84" xfId="174" applyNumberFormat="1" applyFont="1" applyFill="1" applyBorder="1" applyAlignment="1" applyProtection="1">
      <alignment horizontal="center" vertical="center"/>
      <protection hidden="1"/>
    </xf>
    <xf numFmtId="1" fontId="56" fillId="0" borderId="0" xfId="0" applyNumberFormat="1" applyFont="1" applyAlignment="1" applyProtection="1">
      <alignment horizontal="center"/>
      <protection hidden="1"/>
    </xf>
    <xf numFmtId="169" fontId="60" fillId="0" borderId="0" xfId="174" applyNumberFormat="1" applyFont="1" applyFill="1" applyBorder="1" applyAlignment="1" applyProtection="1">
      <alignment horizontal="right" vertical="center" wrapText="1"/>
      <protection hidden="1"/>
    </xf>
    <xf numFmtId="0" fontId="56" fillId="59" borderId="30" xfId="0" applyFont="1" applyFill="1" applyBorder="1" applyAlignment="1" applyProtection="1">
      <alignment horizontal="center" vertical="center"/>
      <protection hidden="1"/>
    </xf>
    <xf numFmtId="3" fontId="56" fillId="53" borderId="79" xfId="0" applyNumberFormat="1" applyFont="1" applyFill="1" applyBorder="1" applyAlignment="1" applyProtection="1">
      <alignment horizontal="right" vertical="center"/>
      <protection locked="0"/>
    </xf>
    <xf numFmtId="0" fontId="56" fillId="52" borderId="80" xfId="0" applyFont="1" applyFill="1" applyBorder="1" applyAlignment="1" applyProtection="1">
      <alignment horizontal="left" vertical="center"/>
      <protection hidden="1"/>
    </xf>
    <xf numFmtId="0" fontId="56" fillId="52" borderId="49" xfId="0" applyFont="1" applyFill="1" applyBorder="1" applyAlignment="1" applyProtection="1">
      <alignment horizontal="left" vertical="center"/>
      <protection hidden="1"/>
    </xf>
    <xf numFmtId="0" fontId="66" fillId="55" borderId="79" xfId="0" applyFont="1" applyFill="1" applyBorder="1" applyAlignment="1" applyProtection="1">
      <alignment horizontal="left" vertical="center"/>
      <protection hidden="1"/>
    </xf>
    <xf numFmtId="0" fontId="59" fillId="52" borderId="79" xfId="174" applyFont="1" applyFill="1" applyBorder="1" applyAlignment="1" applyProtection="1">
      <alignment horizontal="center" vertical="center" wrapText="1"/>
      <protection hidden="1"/>
    </xf>
    <xf numFmtId="0" fontId="59" fillId="52" borderId="65" xfId="174" applyFont="1" applyFill="1" applyBorder="1" applyAlignment="1" applyProtection="1">
      <alignment horizontal="center" vertical="center" wrapText="1"/>
      <protection hidden="1"/>
    </xf>
    <xf numFmtId="0" fontId="56" fillId="52" borderId="91" xfId="0" applyFont="1" applyFill="1" applyBorder="1" applyAlignment="1" applyProtection="1">
      <alignment horizontal="left" vertical="center"/>
      <protection hidden="1"/>
    </xf>
    <xf numFmtId="3" fontId="71" fillId="44" borderId="53" xfId="174" applyNumberFormat="1" applyFont="1" applyBorder="1" applyAlignment="1" applyProtection="1">
      <alignment horizontal="right" vertical="center"/>
      <protection hidden="1"/>
    </xf>
    <xf numFmtId="3" fontId="71" fillId="44" borderId="88" xfId="174" applyNumberFormat="1" applyFont="1" applyBorder="1" applyAlignment="1" applyProtection="1">
      <alignment horizontal="right" vertical="center"/>
      <protection hidden="1"/>
    </xf>
    <xf numFmtId="4" fontId="71" fillId="44" borderId="37" xfId="174" quotePrefix="1" applyNumberFormat="1" applyFont="1" applyBorder="1" applyAlignment="1" applyProtection="1">
      <alignment horizontal="right" vertical="center"/>
      <protection hidden="1"/>
    </xf>
    <xf numFmtId="4" fontId="71" fillId="44" borderId="53" xfId="174" quotePrefix="1" applyNumberFormat="1" applyFont="1" applyBorder="1" applyAlignment="1" applyProtection="1">
      <alignment horizontal="right" vertical="center"/>
      <protection hidden="1"/>
    </xf>
    <xf numFmtId="0" fontId="56" fillId="0" borderId="59" xfId="0" applyFont="1" applyBorder="1" applyProtection="1">
      <protection hidden="1"/>
    </xf>
    <xf numFmtId="176" fontId="71" fillId="53" borderId="67" xfId="0" applyNumberFormat="1" applyFont="1" applyFill="1" applyBorder="1" applyAlignment="1" applyProtection="1">
      <alignment horizontal="right" vertical="center"/>
      <protection locked="0"/>
    </xf>
    <xf numFmtId="176" fontId="71" fillId="53" borderId="49" xfId="0" applyNumberFormat="1" applyFont="1" applyFill="1" applyBorder="1" applyAlignment="1" applyProtection="1">
      <alignment horizontal="right" vertical="center"/>
      <protection locked="0"/>
    </xf>
    <xf numFmtId="176" fontId="71" fillId="53" borderId="20" xfId="0" applyNumberFormat="1" applyFont="1" applyFill="1" applyBorder="1" applyAlignment="1" applyProtection="1">
      <alignment horizontal="right" vertical="center"/>
      <protection locked="0"/>
    </xf>
    <xf numFmtId="176" fontId="71" fillId="53" borderId="31" xfId="0" applyNumberFormat="1" applyFont="1" applyFill="1" applyBorder="1" applyAlignment="1" applyProtection="1">
      <alignment horizontal="right" vertical="center"/>
      <protection locked="0"/>
    </xf>
    <xf numFmtId="176" fontId="71" fillId="53" borderId="48" xfId="0" applyNumberFormat="1" applyFont="1" applyFill="1" applyBorder="1" applyAlignment="1" applyProtection="1">
      <alignment horizontal="right" vertical="center"/>
      <protection locked="0"/>
    </xf>
    <xf numFmtId="176" fontId="71" fillId="53" borderId="30" xfId="0" applyNumberFormat="1" applyFont="1" applyFill="1" applyBorder="1" applyAlignment="1" applyProtection="1">
      <alignment horizontal="right" vertical="center"/>
      <protection locked="0"/>
    </xf>
    <xf numFmtId="0" fontId="66" fillId="55" borderId="22" xfId="0" applyFont="1" applyFill="1" applyBorder="1" applyAlignment="1" applyProtection="1">
      <alignment vertical="center"/>
      <protection hidden="1"/>
    </xf>
    <xf numFmtId="0" fontId="66" fillId="55" borderId="23" xfId="0" applyFont="1" applyFill="1" applyBorder="1" applyAlignment="1" applyProtection="1">
      <alignment vertical="center"/>
      <protection hidden="1"/>
    </xf>
    <xf numFmtId="176" fontId="56" fillId="52" borderId="52" xfId="0" applyNumberFormat="1" applyFont="1" applyFill="1" applyBorder="1" applyAlignment="1" applyProtection="1">
      <alignment horizontal="right"/>
      <protection hidden="1"/>
    </xf>
    <xf numFmtId="176" fontId="56" fillId="52" borderId="27" xfId="0" applyNumberFormat="1" applyFont="1" applyFill="1" applyBorder="1" applyAlignment="1" applyProtection="1">
      <alignment horizontal="right"/>
      <protection hidden="1"/>
    </xf>
    <xf numFmtId="176" fontId="57" fillId="52" borderId="28" xfId="0" applyNumberFormat="1" applyFont="1" applyFill="1" applyBorder="1" applyAlignment="1" applyProtection="1">
      <alignment horizontal="right" vertical="center"/>
      <protection hidden="1"/>
    </xf>
    <xf numFmtId="176" fontId="57" fillId="52" borderId="16" xfId="0" applyNumberFormat="1" applyFont="1" applyFill="1" applyBorder="1" applyAlignment="1" applyProtection="1">
      <alignment horizontal="right" vertical="center"/>
      <protection hidden="1"/>
    </xf>
    <xf numFmtId="176" fontId="56" fillId="52" borderId="28" xfId="0" applyNumberFormat="1" applyFont="1" applyFill="1" applyBorder="1" applyAlignment="1" applyProtection="1">
      <alignment horizontal="right"/>
      <protection hidden="1"/>
    </xf>
    <xf numFmtId="176" fontId="56" fillId="52" borderId="16" xfId="1059" applyNumberFormat="1" applyFont="1" applyFill="1" applyBorder="1" applyAlignment="1" applyProtection="1">
      <alignment horizontal="right"/>
      <protection hidden="1"/>
    </xf>
    <xf numFmtId="176" fontId="56" fillId="52" borderId="30" xfId="0" applyNumberFormat="1" applyFont="1" applyFill="1" applyBorder="1" applyAlignment="1" applyProtection="1">
      <alignment horizontal="right"/>
      <protection hidden="1"/>
    </xf>
    <xf numFmtId="176" fontId="56" fillId="52" borderId="25" xfId="1059" applyNumberFormat="1" applyFont="1" applyFill="1" applyBorder="1" applyAlignment="1" applyProtection="1">
      <alignment horizontal="right"/>
      <protection hidden="1"/>
    </xf>
    <xf numFmtId="176" fontId="56" fillId="52" borderId="52" xfId="1059" applyNumberFormat="1" applyFont="1" applyFill="1" applyBorder="1" applyAlignment="1" applyProtection="1">
      <alignment horizontal="right"/>
      <protection hidden="1"/>
    </xf>
    <xf numFmtId="176" fontId="56" fillId="52" borderId="32" xfId="1059" applyNumberFormat="1" applyFont="1" applyFill="1" applyBorder="1" applyAlignment="1" applyProtection="1">
      <alignment horizontal="right"/>
      <protection hidden="1"/>
    </xf>
    <xf numFmtId="176" fontId="57" fillId="52" borderId="28" xfId="1059" applyNumberFormat="1" applyFont="1" applyFill="1" applyBorder="1" applyAlignment="1" applyProtection="1">
      <alignment horizontal="right" vertical="center"/>
      <protection hidden="1"/>
    </xf>
    <xf numFmtId="176" fontId="57" fillId="52" borderId="15" xfId="1059" applyNumberFormat="1" applyFont="1" applyFill="1" applyBorder="1" applyAlignment="1" applyProtection="1">
      <alignment horizontal="right" vertical="center"/>
      <protection hidden="1"/>
    </xf>
    <xf numFmtId="176" fontId="56" fillId="52" borderId="28" xfId="1059" applyNumberFormat="1" applyFont="1" applyFill="1" applyBorder="1" applyAlignment="1" applyProtection="1">
      <alignment horizontal="right"/>
      <protection hidden="1"/>
    </xf>
    <xf numFmtId="176" fontId="56" fillId="52" borderId="15" xfId="1059" applyNumberFormat="1" applyFont="1" applyFill="1" applyBorder="1" applyAlignment="1" applyProtection="1">
      <alignment horizontal="right"/>
      <protection hidden="1"/>
    </xf>
    <xf numFmtId="176" fontId="57" fillId="0" borderId="52" xfId="1059" applyNumberFormat="1" applyFont="1" applyBorder="1" applyAlignment="1" applyProtection="1">
      <alignment horizontal="center" vertical="center"/>
      <protection hidden="1"/>
    </xf>
    <xf numFmtId="176" fontId="57" fillId="0" borderId="32" xfId="1059" applyNumberFormat="1" applyFont="1" applyBorder="1" applyAlignment="1" applyProtection="1">
      <alignment horizontal="center" vertical="center"/>
      <protection hidden="1"/>
    </xf>
    <xf numFmtId="176" fontId="57" fillId="0" borderId="33" xfId="1059" applyNumberFormat="1" applyFont="1" applyBorder="1" applyAlignment="1" applyProtection="1">
      <alignment horizontal="center" vertical="center"/>
      <protection hidden="1"/>
    </xf>
    <xf numFmtId="176" fontId="57" fillId="0" borderId="28" xfId="1059" applyNumberFormat="1" applyFont="1" applyBorder="1" applyAlignment="1" applyProtection="1">
      <alignment horizontal="center" vertical="center"/>
      <protection hidden="1"/>
    </xf>
    <xf numFmtId="176" fontId="57" fillId="0" borderId="15" xfId="1059" applyNumberFormat="1" applyFont="1" applyBorder="1" applyAlignment="1" applyProtection="1">
      <alignment horizontal="center" vertical="center"/>
      <protection hidden="1"/>
    </xf>
    <xf numFmtId="176" fontId="57" fillId="0" borderId="29" xfId="1059" applyNumberFormat="1" applyFont="1" applyBorder="1" applyAlignment="1" applyProtection="1">
      <alignment horizontal="center" vertical="center"/>
      <protection hidden="1"/>
    </xf>
    <xf numFmtId="176" fontId="56" fillId="54" borderId="28" xfId="1059" applyNumberFormat="1" applyFont="1" applyFill="1" applyBorder="1" applyProtection="1">
      <protection hidden="1"/>
    </xf>
    <xf numFmtId="176" fontId="56" fillId="54" borderId="15" xfId="1059" applyNumberFormat="1" applyFont="1" applyFill="1" applyBorder="1" applyProtection="1">
      <protection hidden="1"/>
    </xf>
    <xf numFmtId="176" fontId="56" fillId="54" borderId="29" xfId="1059" applyNumberFormat="1" applyFont="1" applyFill="1" applyBorder="1" applyProtection="1">
      <protection hidden="1"/>
    </xf>
    <xf numFmtId="176" fontId="56" fillId="54" borderId="30" xfId="1059" applyNumberFormat="1" applyFont="1" applyFill="1" applyBorder="1" applyProtection="1">
      <protection hidden="1"/>
    </xf>
    <xf numFmtId="176" fontId="56" fillId="54" borderId="20" xfId="1059" applyNumberFormat="1" applyFont="1" applyFill="1" applyBorder="1" applyProtection="1">
      <protection hidden="1"/>
    </xf>
    <xf numFmtId="176" fontId="56" fillId="54" borderId="31" xfId="1059" applyNumberFormat="1" applyFont="1" applyFill="1" applyBorder="1" applyProtection="1">
      <protection hidden="1"/>
    </xf>
    <xf numFmtId="176" fontId="71" fillId="53" borderId="32" xfId="0" applyNumberFormat="1" applyFont="1" applyFill="1" applyBorder="1" applyAlignment="1" applyProtection="1">
      <alignment horizontal="right" vertical="center"/>
      <protection locked="0"/>
    </xf>
    <xf numFmtId="176" fontId="71" fillId="53" borderId="33" xfId="0" applyNumberFormat="1" applyFont="1" applyFill="1" applyBorder="1" applyAlignment="1" applyProtection="1">
      <alignment horizontal="right" vertical="center"/>
      <protection locked="0"/>
    </xf>
    <xf numFmtId="176" fontId="71" fillId="53" borderId="52" xfId="0" applyNumberFormat="1" applyFont="1" applyFill="1" applyBorder="1" applyAlignment="1" applyProtection="1">
      <alignment horizontal="right" vertical="center"/>
      <protection locked="0"/>
    </xf>
    <xf numFmtId="176" fontId="56" fillId="54" borderId="58" xfId="0" applyNumberFormat="1" applyFont="1" applyFill="1" applyBorder="1" applyAlignment="1" applyProtection="1">
      <alignment horizontal="right"/>
      <protection hidden="1"/>
    </xf>
    <xf numFmtId="176" fontId="56" fillId="54" borderId="32" xfId="0" applyNumberFormat="1" applyFont="1" applyFill="1" applyBorder="1" applyAlignment="1" applyProtection="1">
      <alignment horizontal="right"/>
      <protection hidden="1"/>
    </xf>
    <xf numFmtId="176" fontId="56" fillId="54" borderId="33" xfId="0" applyNumberFormat="1" applyFont="1" applyFill="1" applyBorder="1" applyAlignment="1" applyProtection="1">
      <alignment horizontal="right"/>
      <protection hidden="1"/>
    </xf>
    <xf numFmtId="176" fontId="71" fillId="54" borderId="45" xfId="174" applyNumberFormat="1" applyFont="1" applyFill="1" applyBorder="1" applyAlignment="1" applyProtection="1">
      <alignment horizontal="right" vertical="center"/>
      <protection hidden="1"/>
    </xf>
    <xf numFmtId="176" fontId="56" fillId="54" borderId="68" xfId="0" applyNumberFormat="1" applyFont="1" applyFill="1" applyBorder="1" applyAlignment="1" applyProtection="1">
      <alignment horizontal="right"/>
      <protection hidden="1"/>
    </xf>
    <xf numFmtId="176" fontId="55" fillId="54" borderId="29" xfId="174" applyNumberFormat="1" applyFont="1" applyFill="1" applyBorder="1" applyAlignment="1" applyProtection="1">
      <alignment horizontal="right" vertical="center"/>
      <protection hidden="1"/>
    </xf>
    <xf numFmtId="176" fontId="56" fillId="54" borderId="70" xfId="0" applyNumberFormat="1" applyFont="1" applyFill="1" applyBorder="1" applyAlignment="1" applyProtection="1">
      <alignment horizontal="right"/>
      <protection hidden="1"/>
    </xf>
    <xf numFmtId="176" fontId="56" fillId="54" borderId="49" xfId="0" applyNumberFormat="1" applyFont="1" applyFill="1" applyBorder="1" applyAlignment="1" applyProtection="1">
      <alignment horizontal="right"/>
      <protection hidden="1"/>
    </xf>
    <xf numFmtId="176" fontId="71" fillId="53" borderId="56" xfId="174" applyNumberFormat="1" applyFont="1" applyFill="1" applyBorder="1" applyAlignment="1" applyProtection="1">
      <alignment horizontal="right" vertical="center"/>
      <protection locked="0"/>
    </xf>
    <xf numFmtId="176" fontId="71" fillId="53" borderId="62" xfId="0" applyNumberFormat="1" applyFont="1" applyFill="1" applyBorder="1" applyAlignment="1" applyProtection="1">
      <alignment horizontal="right" vertical="center"/>
      <protection locked="0"/>
    </xf>
    <xf numFmtId="177" fontId="71" fillId="53" borderId="57" xfId="174" applyNumberFormat="1" applyFont="1" applyFill="1" applyBorder="1" applyAlignment="1" applyProtection="1">
      <alignment horizontal="right" vertical="center"/>
      <protection locked="0"/>
    </xf>
    <xf numFmtId="176" fontId="71" fillId="53" borderId="54" xfId="0" applyNumberFormat="1" applyFont="1" applyFill="1" applyBorder="1" applyAlignment="1" applyProtection="1">
      <alignment horizontal="right" vertical="center"/>
      <protection locked="0"/>
    </xf>
    <xf numFmtId="176" fontId="71" fillId="44" borderId="24" xfId="174" applyNumberFormat="1" applyFont="1" applyBorder="1" applyAlignment="1" applyProtection="1">
      <alignment horizontal="right" vertical="center"/>
      <protection hidden="1"/>
    </xf>
    <xf numFmtId="176" fontId="71" fillId="44" borderId="24" xfId="174" quotePrefix="1" applyNumberFormat="1" applyFont="1" applyBorder="1" applyAlignment="1" applyProtection="1">
      <alignment horizontal="right" vertical="center"/>
      <protection hidden="1"/>
    </xf>
    <xf numFmtId="176" fontId="56" fillId="53" borderId="67" xfId="0" applyNumberFormat="1" applyFont="1" applyFill="1" applyBorder="1" applyAlignment="1" applyProtection="1">
      <alignment horizontal="right" vertical="center"/>
      <protection locked="0"/>
    </xf>
    <xf numFmtId="176" fontId="56" fillId="53" borderId="15" xfId="0" applyNumberFormat="1" applyFont="1" applyFill="1" applyBorder="1" applyAlignment="1" applyProtection="1">
      <alignment horizontal="right" vertical="center"/>
      <protection locked="0"/>
    </xf>
    <xf numFmtId="176" fontId="56" fillId="53" borderId="20" xfId="0" applyNumberFormat="1" applyFont="1" applyFill="1" applyBorder="1" applyAlignment="1" applyProtection="1">
      <alignment horizontal="right" vertical="center"/>
      <protection locked="0"/>
    </xf>
    <xf numFmtId="176" fontId="60" fillId="44" borderId="31" xfId="174" applyNumberFormat="1" applyFont="1" applyBorder="1" applyAlignment="1" applyProtection="1">
      <alignment horizontal="right" vertical="center" wrapText="1"/>
      <protection hidden="1"/>
    </xf>
    <xf numFmtId="4" fontId="71" fillId="52" borderId="33" xfId="0" applyNumberFormat="1" applyFont="1" applyFill="1" applyBorder="1" applyAlignment="1" applyProtection="1">
      <alignment horizontal="right" vertical="center"/>
      <protection hidden="1"/>
    </xf>
    <xf numFmtId="4" fontId="71" fillId="52" borderId="29" xfId="0" applyNumberFormat="1" applyFont="1" applyFill="1" applyBorder="1" applyAlignment="1" applyProtection="1">
      <alignment horizontal="right" vertical="center"/>
      <protection hidden="1"/>
    </xf>
    <xf numFmtId="4" fontId="71" fillId="52" borderId="29" xfId="0" applyNumberFormat="1" applyFont="1" applyFill="1" applyBorder="1" applyAlignment="1" applyProtection="1">
      <alignment horizontal="right"/>
      <protection hidden="1"/>
    </xf>
    <xf numFmtId="176" fontId="71" fillId="52" borderId="29" xfId="1059" applyNumberFormat="1" applyFont="1" applyFill="1" applyBorder="1" applyAlignment="1" applyProtection="1">
      <alignment horizontal="right"/>
      <protection hidden="1"/>
    </xf>
    <xf numFmtId="176" fontId="71" fillId="52" borderId="31" xfId="1059" applyNumberFormat="1" applyFont="1" applyFill="1" applyBorder="1" applyAlignment="1" applyProtection="1">
      <alignment horizontal="right"/>
      <protection hidden="1"/>
    </xf>
    <xf numFmtId="3" fontId="71" fillId="52" borderId="48" xfId="0" applyNumberFormat="1" applyFont="1" applyFill="1" applyBorder="1" applyAlignment="1" applyProtection="1">
      <alignment horizontal="right" vertical="center"/>
      <protection hidden="1"/>
    </xf>
    <xf numFmtId="49" fontId="59" fillId="52" borderId="67" xfId="174" applyNumberFormat="1" applyFont="1" applyFill="1" applyBorder="1" applyAlignment="1" applyProtection="1">
      <alignment horizontal="right" vertical="center"/>
      <protection hidden="1"/>
    </xf>
    <xf numFmtId="3" fontId="71" fillId="52" borderId="67" xfId="0" applyNumberFormat="1" applyFont="1" applyFill="1" applyBorder="1" applyAlignment="1" applyProtection="1">
      <alignment horizontal="right" vertical="center"/>
      <protection hidden="1"/>
    </xf>
    <xf numFmtId="3" fontId="71" fillId="52" borderId="49" xfId="0" applyNumberFormat="1" applyFont="1" applyFill="1" applyBorder="1" applyAlignment="1" applyProtection="1">
      <alignment horizontal="right" vertical="center"/>
      <protection hidden="1"/>
    </xf>
    <xf numFmtId="3" fontId="71" fillId="52" borderId="28" xfId="0" applyNumberFormat="1" applyFont="1" applyFill="1" applyBorder="1" applyAlignment="1" applyProtection="1">
      <alignment horizontal="right" vertical="center"/>
      <protection hidden="1"/>
    </xf>
    <xf numFmtId="49" fontId="59" fillId="52" borderId="15" xfId="174" applyNumberFormat="1" applyFont="1" applyFill="1" applyBorder="1" applyAlignment="1" applyProtection="1">
      <alignment horizontal="right" vertical="center"/>
      <protection hidden="1"/>
    </xf>
    <xf numFmtId="3" fontId="71" fillId="52" borderId="15" xfId="0" applyNumberFormat="1" applyFont="1" applyFill="1" applyBorder="1" applyAlignment="1" applyProtection="1">
      <alignment horizontal="right" vertical="center"/>
      <protection hidden="1"/>
    </xf>
    <xf numFmtId="3" fontId="71" fillId="52" borderId="29" xfId="0" applyNumberFormat="1" applyFont="1" applyFill="1" applyBorder="1" applyAlignment="1" applyProtection="1">
      <alignment horizontal="right" vertical="center"/>
      <protection hidden="1"/>
    </xf>
    <xf numFmtId="3" fontId="71" fillId="52" borderId="30" xfId="0" applyNumberFormat="1" applyFont="1" applyFill="1" applyBorder="1" applyAlignment="1" applyProtection="1">
      <alignment horizontal="right" vertical="center"/>
      <protection hidden="1"/>
    </xf>
    <xf numFmtId="49" fontId="59" fillId="52" borderId="20" xfId="174" applyNumberFormat="1" applyFont="1" applyFill="1" applyBorder="1" applyAlignment="1" applyProtection="1">
      <alignment horizontal="right" vertical="center"/>
      <protection hidden="1"/>
    </xf>
    <xf numFmtId="3" fontId="71" fillId="52" borderId="20" xfId="0" applyNumberFormat="1" applyFont="1" applyFill="1" applyBorder="1" applyAlignment="1" applyProtection="1">
      <alignment horizontal="right" vertical="center"/>
      <protection hidden="1"/>
    </xf>
    <xf numFmtId="3" fontId="71" fillId="52" borderId="31" xfId="0" applyNumberFormat="1" applyFont="1" applyFill="1" applyBorder="1" applyAlignment="1" applyProtection="1">
      <alignment horizontal="right" vertical="center"/>
      <protection hidden="1"/>
    </xf>
    <xf numFmtId="3" fontId="71" fillId="52" borderId="33" xfId="0" applyNumberFormat="1" applyFont="1" applyFill="1" applyBorder="1" applyAlignment="1" applyProtection="1">
      <alignment horizontal="right" vertical="center"/>
      <protection hidden="1"/>
    </xf>
    <xf numFmtId="3" fontId="71" fillId="52" borderId="29" xfId="0" applyNumberFormat="1" applyFont="1" applyFill="1" applyBorder="1" applyAlignment="1" applyProtection="1">
      <alignment horizontal="right"/>
      <protection hidden="1"/>
    </xf>
    <xf numFmtId="49" fontId="59" fillId="52" borderId="67" xfId="174" applyNumberFormat="1" applyFont="1" applyFill="1" applyBorder="1" applyAlignment="1" applyProtection="1">
      <alignment horizontal="center" vertical="center"/>
      <protection hidden="1"/>
    </xf>
    <xf numFmtId="49" fontId="59" fillId="52" borderId="15" xfId="174" applyNumberFormat="1" applyFont="1" applyFill="1" applyBorder="1" applyAlignment="1" applyProtection="1">
      <alignment horizontal="center" vertical="center"/>
      <protection hidden="1"/>
    </xf>
    <xf numFmtId="0" fontId="71" fillId="52" borderId="33" xfId="0" applyFont="1" applyFill="1" applyBorder="1" applyAlignment="1" applyProtection="1">
      <alignment horizontal="left" vertical="center" wrapText="1"/>
      <protection hidden="1"/>
    </xf>
    <xf numFmtId="0" fontId="71" fillId="52" borderId="49" xfId="0" applyFont="1" applyFill="1" applyBorder="1" applyAlignment="1" applyProtection="1">
      <alignment horizontal="left" vertical="center"/>
      <protection hidden="1"/>
    </xf>
    <xf numFmtId="0" fontId="71" fillId="52" borderId="49" xfId="0" applyFont="1" applyFill="1" applyBorder="1" applyAlignment="1" applyProtection="1">
      <alignment horizontal="left" vertical="center" wrapText="1"/>
      <protection hidden="1"/>
    </xf>
    <xf numFmtId="0" fontId="71" fillId="52" borderId="39" xfId="0" applyFont="1" applyFill="1" applyBorder="1" applyAlignment="1" applyProtection="1">
      <alignment horizontal="left" vertical="center" wrapText="1"/>
      <protection hidden="1"/>
    </xf>
    <xf numFmtId="1" fontId="56" fillId="52" borderId="58" xfId="0" applyNumberFormat="1" applyFont="1" applyFill="1" applyBorder="1" applyAlignment="1" applyProtection="1">
      <alignment horizontal="center"/>
      <protection hidden="1"/>
    </xf>
    <xf numFmtId="1" fontId="56" fillId="52" borderId="40" xfId="0" applyNumberFormat="1" applyFont="1" applyFill="1" applyBorder="1" applyAlignment="1" applyProtection="1">
      <alignment horizontal="center"/>
      <protection hidden="1"/>
    </xf>
    <xf numFmtId="1" fontId="71" fillId="52" borderId="48" xfId="0" applyNumberFormat="1" applyFont="1" applyFill="1" applyBorder="1" applyAlignment="1" applyProtection="1">
      <alignment horizontal="center"/>
      <protection hidden="1"/>
    </xf>
    <xf numFmtId="171" fontId="71" fillId="44" borderId="45" xfId="174" applyNumberFormat="1" applyFont="1" applyBorder="1" applyAlignment="1" applyProtection="1">
      <alignment horizontal="left" vertical="center"/>
      <protection hidden="1"/>
    </xf>
    <xf numFmtId="171" fontId="59" fillId="44" borderId="15" xfId="174" applyNumberFormat="1" applyFont="1" applyBorder="1" applyAlignment="1" applyProtection="1">
      <alignment horizontal="center" vertical="center"/>
      <protection hidden="1"/>
    </xf>
    <xf numFmtId="1" fontId="71" fillId="52" borderId="15" xfId="0" applyNumberFormat="1" applyFont="1" applyFill="1" applyBorder="1" applyAlignment="1" applyProtection="1">
      <alignment horizontal="center"/>
      <protection hidden="1"/>
    </xf>
    <xf numFmtId="1" fontId="71" fillId="52" borderId="32" xfId="0" applyNumberFormat="1" applyFont="1" applyFill="1" applyBorder="1" applyAlignment="1" applyProtection="1">
      <alignment horizontal="center"/>
      <protection hidden="1"/>
    </xf>
    <xf numFmtId="1" fontId="71" fillId="52" borderId="52" xfId="0" applyNumberFormat="1" applyFont="1" applyFill="1" applyBorder="1" applyAlignment="1" applyProtection="1">
      <alignment horizontal="center"/>
      <protection hidden="1"/>
    </xf>
    <xf numFmtId="169" fontId="59" fillId="52" borderId="29" xfId="174" applyNumberFormat="1" applyFont="1" applyFill="1" applyBorder="1" applyAlignment="1" applyProtection="1">
      <alignment horizontal="right" vertical="center"/>
      <protection hidden="1"/>
    </xf>
    <xf numFmtId="176" fontId="71" fillId="53" borderId="15" xfId="0" applyNumberFormat="1" applyFont="1" applyFill="1" applyBorder="1" applyAlignment="1" applyProtection="1">
      <alignment horizontal="right" vertical="center"/>
      <protection locked="0"/>
    </xf>
    <xf numFmtId="176" fontId="71" fillId="53" borderId="29" xfId="0" applyNumberFormat="1" applyFont="1" applyFill="1" applyBorder="1" applyAlignment="1" applyProtection="1">
      <alignment horizontal="right" vertical="center"/>
      <protection locked="0"/>
    </xf>
    <xf numFmtId="176" fontId="71" fillId="53" borderId="28" xfId="0" applyNumberFormat="1" applyFont="1" applyFill="1" applyBorder="1" applyAlignment="1" applyProtection="1">
      <alignment horizontal="right" vertical="center"/>
      <protection locked="0"/>
    </xf>
    <xf numFmtId="176" fontId="71" fillId="52" borderId="32" xfId="0" applyNumberFormat="1" applyFont="1" applyFill="1" applyBorder="1" applyAlignment="1" applyProtection="1">
      <alignment horizontal="right"/>
      <protection hidden="1"/>
    </xf>
    <xf numFmtId="176" fontId="59" fillId="44" borderId="15" xfId="174" applyNumberFormat="1" applyFont="1" applyBorder="1" applyAlignment="1" applyProtection="1">
      <alignment horizontal="right" vertical="center"/>
      <protection hidden="1"/>
    </xf>
    <xf numFmtId="176" fontId="71" fillId="52" borderId="15" xfId="0" applyNumberFormat="1" applyFont="1" applyFill="1" applyBorder="1" applyAlignment="1" applyProtection="1">
      <alignment horizontal="right"/>
      <protection hidden="1"/>
    </xf>
    <xf numFmtId="176" fontId="71" fillId="52" borderId="20" xfId="0" applyNumberFormat="1" applyFont="1" applyFill="1" applyBorder="1" applyAlignment="1" applyProtection="1">
      <alignment horizontal="right"/>
      <protection hidden="1"/>
    </xf>
    <xf numFmtId="176" fontId="59" fillId="52" borderId="15" xfId="174" applyNumberFormat="1" applyFont="1" applyFill="1" applyBorder="1" applyAlignment="1" applyProtection="1">
      <alignment horizontal="right" vertical="center"/>
      <protection hidden="1"/>
    </xf>
    <xf numFmtId="1" fontId="71" fillId="52" borderId="33" xfId="0" applyNumberFormat="1" applyFont="1" applyFill="1" applyBorder="1" applyAlignment="1" applyProtection="1">
      <alignment horizontal="center"/>
      <protection hidden="1"/>
    </xf>
    <xf numFmtId="1" fontId="71" fillId="52" borderId="29" xfId="0" applyNumberFormat="1" applyFont="1" applyFill="1" applyBorder="1" applyAlignment="1" applyProtection="1">
      <alignment horizontal="center"/>
      <protection hidden="1"/>
    </xf>
    <xf numFmtId="0" fontId="71" fillId="52" borderId="16" xfId="0" applyFont="1" applyFill="1" applyBorder="1" applyAlignment="1" applyProtection="1">
      <alignment horizontal="left" vertical="center"/>
      <protection hidden="1"/>
    </xf>
    <xf numFmtId="0" fontId="71" fillId="52" borderId="32" xfId="0" applyFont="1" applyFill="1" applyBorder="1" applyAlignment="1" applyProtection="1">
      <alignment horizontal="left" vertical="center"/>
      <protection hidden="1"/>
    </xf>
    <xf numFmtId="0" fontId="71" fillId="52" borderId="33" xfId="0" applyFont="1" applyFill="1" applyBorder="1" applyAlignment="1" applyProtection="1">
      <alignment horizontal="left" vertical="center"/>
      <protection hidden="1"/>
    </xf>
    <xf numFmtId="0" fontId="71" fillId="52" borderId="31" xfId="0" applyFont="1" applyFill="1" applyBorder="1" applyAlignment="1" applyProtection="1">
      <alignment horizontal="left" vertical="center"/>
      <protection hidden="1"/>
    </xf>
    <xf numFmtId="0" fontId="71" fillId="52" borderId="29" xfId="0" applyFont="1" applyFill="1" applyBorder="1" applyAlignment="1" applyProtection="1">
      <alignment horizontal="left" vertical="center"/>
      <protection hidden="1"/>
    </xf>
    <xf numFmtId="0" fontId="59" fillId="52" borderId="30" xfId="0" applyFont="1" applyFill="1" applyBorder="1" applyAlignment="1" applyProtection="1">
      <alignment horizontal="center" vertical="center"/>
      <protection hidden="1"/>
    </xf>
    <xf numFmtId="0" fontId="59" fillId="52" borderId="33" xfId="0" applyFont="1" applyFill="1" applyBorder="1" applyAlignment="1" applyProtection="1">
      <alignment horizontal="center" vertical="center"/>
      <protection hidden="1"/>
    </xf>
    <xf numFmtId="49" fontId="59" fillId="44" borderId="63" xfId="174" applyNumberFormat="1" applyFont="1" applyBorder="1" applyAlignment="1" applyProtection="1">
      <alignment horizontal="center" vertical="center"/>
      <protection hidden="1"/>
    </xf>
    <xf numFmtId="49" fontId="59" fillId="44" borderId="32" xfId="174" applyNumberFormat="1" applyFont="1" applyBorder="1" applyAlignment="1" applyProtection="1">
      <alignment horizontal="center" vertical="center"/>
      <protection hidden="1"/>
    </xf>
    <xf numFmtId="49" fontId="59" fillId="44" borderId="33" xfId="174" applyNumberFormat="1" applyFont="1" applyBorder="1" applyAlignment="1" applyProtection="1">
      <alignment horizontal="center" vertical="center"/>
      <protection hidden="1"/>
    </xf>
    <xf numFmtId="0" fontId="59" fillId="52" borderId="50" xfId="0" applyFont="1" applyFill="1" applyBorder="1" applyAlignment="1" applyProtection="1">
      <alignment horizontal="center" vertical="center"/>
      <protection hidden="1"/>
    </xf>
    <xf numFmtId="0" fontId="59" fillId="52" borderId="38" xfId="174" applyFont="1" applyFill="1" applyBorder="1" applyAlignment="1" applyProtection="1">
      <alignment horizontal="center" vertical="center" wrapText="1"/>
      <protection hidden="1"/>
    </xf>
    <xf numFmtId="0" fontId="56" fillId="0" borderId="0" xfId="0" applyFont="1" applyAlignment="1" applyProtection="1">
      <alignment horizontal="center" vertical="center" wrapText="1"/>
      <protection hidden="1"/>
    </xf>
    <xf numFmtId="0" fontId="56" fillId="0" borderId="0" xfId="0" applyFont="1" applyAlignment="1" applyProtection="1">
      <alignment wrapText="1"/>
      <protection hidden="1"/>
    </xf>
    <xf numFmtId="0" fontId="71" fillId="0" borderId="0" xfId="0" applyFont="1" applyAlignment="1" applyProtection="1">
      <alignment horizontal="center" vertical="center" wrapText="1"/>
      <protection hidden="1"/>
    </xf>
    <xf numFmtId="0" fontId="71" fillId="0" borderId="0" xfId="0" applyFont="1" applyAlignment="1" applyProtection="1">
      <alignment wrapText="1"/>
      <protection hidden="1"/>
    </xf>
    <xf numFmtId="0" fontId="66" fillId="55" borderId="71" xfId="0" applyFont="1" applyFill="1" applyBorder="1" applyAlignment="1" applyProtection="1">
      <alignment horizontal="center" vertical="center"/>
      <protection hidden="1"/>
    </xf>
    <xf numFmtId="0" fontId="59" fillId="44" borderId="83" xfId="174" applyFont="1" applyBorder="1" applyAlignment="1" applyProtection="1">
      <alignment horizontal="center" vertical="center" wrapText="1"/>
      <protection hidden="1"/>
    </xf>
    <xf numFmtId="0" fontId="59" fillId="44" borderId="77" xfId="174" applyFont="1" applyBorder="1" applyAlignment="1" applyProtection="1">
      <alignment horizontal="center" vertical="center" wrapText="1"/>
      <protection hidden="1"/>
    </xf>
    <xf numFmtId="0" fontId="59" fillId="44" borderId="80" xfId="174" applyFont="1" applyBorder="1" applyAlignment="1" applyProtection="1">
      <alignment horizontal="center" vertical="center" wrapText="1"/>
      <protection hidden="1"/>
    </xf>
    <xf numFmtId="0" fontId="59" fillId="52" borderId="73" xfId="174" applyFont="1" applyFill="1" applyBorder="1" applyAlignment="1" applyProtection="1">
      <alignment horizontal="center" vertical="center" wrapText="1"/>
      <protection hidden="1"/>
    </xf>
    <xf numFmtId="175" fontId="71" fillId="0" borderId="83" xfId="0" quotePrefix="1" applyNumberFormat="1" applyFont="1" applyBorder="1" applyAlignment="1" applyProtection="1">
      <alignment horizontal="center" vertical="center" wrapText="1"/>
      <protection hidden="1"/>
    </xf>
    <xf numFmtId="0" fontId="71" fillId="0" borderId="77" xfId="0" applyFont="1" applyBorder="1" applyAlignment="1" applyProtection="1">
      <alignment horizontal="left" vertical="center" wrapText="1"/>
      <protection hidden="1"/>
    </xf>
    <xf numFmtId="0" fontId="71" fillId="0" borderId="80" xfId="0" applyFont="1" applyBorder="1" applyAlignment="1" applyProtection="1">
      <alignment horizontal="left" vertical="center" wrapText="1"/>
      <protection hidden="1"/>
    </xf>
    <xf numFmtId="0" fontId="71" fillId="0" borderId="53" xfId="0" quotePrefix="1" applyFont="1" applyBorder="1" applyAlignment="1" applyProtection="1">
      <alignment horizontal="center" vertical="center" wrapText="1"/>
      <protection hidden="1"/>
    </xf>
    <xf numFmtId="0" fontId="71" fillId="0" borderId="24" xfId="0" applyFont="1" applyBorder="1" applyAlignment="1" applyProtection="1">
      <alignment horizontal="left" vertical="center" wrapText="1"/>
      <protection hidden="1"/>
    </xf>
    <xf numFmtId="0" fontId="71" fillId="0" borderId="37" xfId="0" applyFont="1" applyBorder="1" applyAlignment="1" applyProtection="1">
      <alignment horizontal="left" vertical="center" wrapText="1"/>
      <protection hidden="1"/>
    </xf>
    <xf numFmtId="0" fontId="71" fillId="0" borderId="50" xfId="0" quotePrefix="1" applyFont="1" applyBorder="1" applyAlignment="1" applyProtection="1">
      <alignment horizontal="center" vertical="center" wrapText="1"/>
      <protection hidden="1"/>
    </xf>
    <xf numFmtId="0" fontId="71" fillId="0" borderId="38" xfId="0" applyFont="1" applyBorder="1" applyAlignment="1" applyProtection="1">
      <alignment horizontal="left" vertical="center" wrapText="1"/>
      <protection hidden="1"/>
    </xf>
    <xf numFmtId="0" fontId="71" fillId="0" borderId="39" xfId="0" applyFont="1" applyBorder="1" applyAlignment="1" applyProtection="1">
      <alignment horizontal="left" vertical="center" wrapText="1"/>
      <protection hidden="1"/>
    </xf>
    <xf numFmtId="0" fontId="71" fillId="0" borderId="0" xfId="0" applyFont="1" applyProtection="1">
      <protection hidden="1"/>
    </xf>
    <xf numFmtId="0" fontId="71" fillId="0" borderId="55" xfId="0" applyFont="1" applyBorder="1" applyProtection="1">
      <protection hidden="1"/>
    </xf>
    <xf numFmtId="0" fontId="71" fillId="0" borderId="59" xfId="0" applyFont="1" applyBorder="1" applyProtection="1">
      <protection hidden="1"/>
    </xf>
    <xf numFmtId="0" fontId="59" fillId="52" borderId="42" xfId="174" applyFont="1" applyFill="1" applyBorder="1" applyAlignment="1" applyProtection="1">
      <alignment vertical="center"/>
      <protection hidden="1"/>
    </xf>
    <xf numFmtId="0" fontId="71" fillId="52" borderId="55" xfId="0" applyFont="1" applyFill="1" applyBorder="1" applyAlignment="1" applyProtection="1">
      <alignment vertical="center"/>
      <protection hidden="1"/>
    </xf>
    <xf numFmtId="0" fontId="59" fillId="52" borderId="55" xfId="174" applyFont="1" applyFill="1" applyBorder="1" applyAlignment="1" applyProtection="1">
      <alignment vertical="center"/>
      <protection hidden="1"/>
    </xf>
    <xf numFmtId="0" fontId="59" fillId="52" borderId="55" xfId="174" applyFont="1" applyFill="1" applyBorder="1" applyAlignment="1" applyProtection="1">
      <alignment horizontal="right" vertical="center"/>
      <protection hidden="1"/>
    </xf>
    <xf numFmtId="2" fontId="71" fillId="52" borderId="54" xfId="0" applyNumberFormat="1" applyFont="1" applyFill="1" applyBorder="1" applyAlignment="1" applyProtection="1">
      <alignment vertical="center"/>
      <protection hidden="1"/>
    </xf>
    <xf numFmtId="0" fontId="59" fillId="0" borderId="0" xfId="0" applyFont="1" applyProtection="1">
      <protection hidden="1"/>
    </xf>
    <xf numFmtId="0" fontId="71" fillId="0" borderId="0" xfId="0" applyFont="1" applyAlignment="1" applyProtection="1">
      <alignment horizontal="left" vertical="center"/>
      <protection hidden="1"/>
    </xf>
    <xf numFmtId="0" fontId="71" fillId="51" borderId="0" xfId="0" applyFont="1" applyFill="1" applyProtection="1">
      <protection hidden="1"/>
    </xf>
    <xf numFmtId="0" fontId="58" fillId="0" borderId="0" xfId="364" applyFill="1" applyBorder="1" applyProtection="1">
      <protection hidden="1"/>
    </xf>
    <xf numFmtId="0" fontId="69" fillId="0" borderId="0" xfId="0" applyFont="1" applyProtection="1">
      <protection hidden="1"/>
    </xf>
    <xf numFmtId="49" fontId="71" fillId="0" borderId="0" xfId="0" applyNumberFormat="1" applyFont="1" applyAlignment="1" applyProtection="1">
      <alignment horizontal="left"/>
      <protection hidden="1"/>
    </xf>
    <xf numFmtId="0" fontId="63" fillId="0" borderId="0" xfId="0" applyFont="1" applyAlignment="1" applyProtection="1">
      <alignment horizontal="left" vertical="center"/>
      <protection hidden="1"/>
    </xf>
    <xf numFmtId="0" fontId="71" fillId="52" borderId="52" xfId="0" applyFont="1" applyFill="1" applyBorder="1" applyAlignment="1" applyProtection="1">
      <alignment horizontal="left"/>
      <protection hidden="1"/>
    </xf>
    <xf numFmtId="0" fontId="71" fillId="52" borderId="28" xfId="0" applyFont="1" applyFill="1" applyBorder="1" applyAlignment="1" applyProtection="1">
      <alignment horizontal="left"/>
      <protection hidden="1"/>
    </xf>
    <xf numFmtId="0" fontId="71" fillId="52" borderId="30" xfId="0" applyFont="1" applyFill="1" applyBorder="1" applyAlignment="1" applyProtection="1">
      <alignment horizontal="left"/>
      <protection hidden="1"/>
    </xf>
    <xf numFmtId="0" fontId="71" fillId="54" borderId="0" xfId="0" applyFont="1" applyFill="1" applyProtection="1">
      <protection hidden="1"/>
    </xf>
    <xf numFmtId="14" fontId="71" fillId="0" borderId="0" xfId="0" applyNumberFormat="1" applyFont="1" applyProtection="1">
      <protection hidden="1"/>
    </xf>
    <xf numFmtId="49" fontId="62" fillId="0" borderId="0" xfId="0" applyNumberFormat="1" applyFont="1" applyAlignment="1" applyProtection="1">
      <alignment horizontal="left"/>
      <protection hidden="1"/>
    </xf>
    <xf numFmtId="14" fontId="56" fillId="0" borderId="0" xfId="0" applyNumberFormat="1" applyFont="1" applyProtection="1">
      <protection hidden="1"/>
    </xf>
    <xf numFmtId="0" fontId="57" fillId="0" borderId="0" xfId="0" applyFont="1" applyProtection="1">
      <protection hidden="1"/>
    </xf>
    <xf numFmtId="22" fontId="56" fillId="0" borderId="0" xfId="0" applyNumberFormat="1" applyFont="1" applyProtection="1">
      <protection hidden="1"/>
    </xf>
    <xf numFmtId="0" fontId="57" fillId="0" borderId="0" xfId="0" applyFont="1" applyAlignment="1" applyProtection="1">
      <alignment horizontal="left" vertical="center" wrapText="1"/>
      <protection hidden="1"/>
    </xf>
    <xf numFmtId="49" fontId="59" fillId="70" borderId="33" xfId="174" applyNumberFormat="1" applyFont="1" applyFill="1" applyBorder="1" applyAlignment="1" applyProtection="1">
      <alignment horizontal="center" vertical="center"/>
      <protection hidden="1"/>
    </xf>
    <xf numFmtId="0" fontId="0" fillId="0" borderId="59" xfId="0" applyBorder="1" applyProtection="1">
      <protection hidden="1"/>
    </xf>
    <xf numFmtId="49" fontId="59" fillId="70" borderId="31" xfId="174" applyNumberFormat="1" applyFont="1" applyFill="1" applyBorder="1" applyAlignment="1" applyProtection="1">
      <alignment horizontal="center" vertical="center"/>
      <protection hidden="1"/>
    </xf>
    <xf numFmtId="0" fontId="59" fillId="52" borderId="56" xfId="0" applyFont="1" applyFill="1" applyBorder="1" applyAlignment="1" applyProtection="1">
      <alignment horizontal="center" vertical="center"/>
      <protection hidden="1"/>
    </xf>
    <xf numFmtId="0" fontId="59" fillId="52" borderId="57" xfId="0" applyFont="1" applyFill="1" applyBorder="1" applyAlignment="1" applyProtection="1">
      <alignment horizontal="center" vertical="center"/>
      <protection hidden="1"/>
    </xf>
    <xf numFmtId="49" fontId="59" fillId="70" borderId="52" xfId="174" applyNumberFormat="1" applyFont="1" applyFill="1" applyBorder="1" applyAlignment="1" applyProtection="1">
      <alignment horizontal="center" vertical="center"/>
      <protection hidden="1"/>
    </xf>
    <xf numFmtId="49" fontId="59" fillId="70" borderId="48" xfId="174" applyNumberFormat="1" applyFont="1" applyFill="1" applyBorder="1" applyAlignment="1" applyProtection="1">
      <alignment horizontal="center" vertical="center"/>
      <protection hidden="1"/>
    </xf>
    <xf numFmtId="49" fontId="59" fillId="70" borderId="40" xfId="174" applyNumberFormat="1" applyFont="1" applyFill="1" applyBorder="1" applyAlignment="1" applyProtection="1">
      <alignment horizontal="center" vertical="center"/>
      <protection hidden="1"/>
    </xf>
    <xf numFmtId="49" fontId="59" fillId="70" borderId="30" xfId="174" applyNumberFormat="1" applyFont="1" applyFill="1" applyBorder="1" applyAlignment="1" applyProtection="1">
      <alignment horizontal="center" vertical="center"/>
      <protection hidden="1"/>
    </xf>
    <xf numFmtId="0" fontId="59" fillId="44" borderId="33" xfId="174" applyFont="1" applyBorder="1" applyAlignment="1" applyProtection="1">
      <alignment horizontal="center" vertical="center" wrapText="1"/>
      <protection hidden="1"/>
    </xf>
    <xf numFmtId="0" fontId="59" fillId="44" borderId="28" xfId="174" applyFont="1" applyBorder="1" applyAlignment="1" applyProtection="1">
      <alignment horizontal="center" vertical="center" wrapText="1"/>
      <protection hidden="1"/>
    </xf>
    <xf numFmtId="49" fontId="58" fillId="44" borderId="15" xfId="364" applyNumberFormat="1" applyFill="1" applyBorder="1" applyAlignment="1" applyProtection="1">
      <alignment horizontal="center" vertical="center" wrapText="1"/>
      <protection hidden="1"/>
    </xf>
    <xf numFmtId="0" fontId="58" fillId="52" borderId="29" xfId="364" applyFill="1" applyBorder="1" applyAlignment="1" applyProtection="1">
      <alignment horizontal="center" vertical="center"/>
      <protection hidden="1"/>
    </xf>
    <xf numFmtId="49" fontId="59" fillId="44" borderId="30" xfId="174" applyNumberFormat="1" applyFont="1" applyBorder="1" applyAlignment="1" applyProtection="1">
      <alignment horizontal="center" vertical="center" wrapText="1"/>
      <protection hidden="1"/>
    </xf>
    <xf numFmtId="49" fontId="59" fillId="44" borderId="20" xfId="174" applyNumberFormat="1" applyFont="1" applyBorder="1" applyAlignment="1" applyProtection="1">
      <alignment horizontal="center" vertical="center" wrapText="1"/>
      <protection hidden="1"/>
    </xf>
    <xf numFmtId="49" fontId="59" fillId="44" borderId="25" xfId="364" applyNumberFormat="1" applyFont="1" applyFill="1" applyBorder="1" applyAlignment="1" applyProtection="1">
      <alignment horizontal="center" vertical="center" wrapText="1"/>
      <protection hidden="1"/>
    </xf>
    <xf numFmtId="49" fontId="59" fillId="52" borderId="31" xfId="364" applyNumberFormat="1" applyFont="1" applyFill="1" applyBorder="1" applyAlignment="1" applyProtection="1">
      <alignment horizontal="center" vertical="center"/>
      <protection hidden="1"/>
    </xf>
    <xf numFmtId="0" fontId="59" fillId="52" borderId="56" xfId="0" applyFont="1" applyFill="1" applyBorder="1" applyAlignment="1" applyProtection="1">
      <alignment horizontal="center"/>
      <protection hidden="1"/>
    </xf>
    <xf numFmtId="0" fontId="59" fillId="52" borderId="57" xfId="0" applyFont="1" applyFill="1" applyBorder="1" applyAlignment="1" applyProtection="1">
      <alignment horizontal="center"/>
      <protection hidden="1"/>
    </xf>
    <xf numFmtId="0" fontId="0" fillId="0" borderId="0" xfId="0" applyAlignment="1" applyProtection="1">
      <alignment horizontal="left" vertical="center"/>
      <protection hidden="1"/>
    </xf>
    <xf numFmtId="49" fontId="59" fillId="44" borderId="52" xfId="174" quotePrefix="1" applyNumberFormat="1" applyFont="1" applyBorder="1" applyAlignment="1" applyProtection="1">
      <alignment horizontal="center" vertical="center"/>
      <protection hidden="1"/>
    </xf>
    <xf numFmtId="49" fontId="59" fillId="44" borderId="32" xfId="174" applyNumberFormat="1" applyFont="1" applyBorder="1" applyAlignment="1" applyProtection="1">
      <alignment horizontal="left" vertical="center" wrapText="1"/>
      <protection hidden="1"/>
    </xf>
    <xf numFmtId="49" fontId="71" fillId="44" borderId="27" xfId="174" applyNumberFormat="1" applyFont="1" applyBorder="1" applyAlignment="1" applyProtection="1">
      <alignment horizontal="left" vertical="center" wrapText="1"/>
      <protection hidden="1"/>
    </xf>
    <xf numFmtId="49" fontId="59" fillId="44" borderId="28" xfId="174" quotePrefix="1" applyNumberFormat="1" applyFont="1" applyBorder="1" applyAlignment="1" applyProtection="1">
      <alignment horizontal="center" vertical="center"/>
      <protection hidden="1"/>
    </xf>
    <xf numFmtId="49" fontId="59" fillId="44" borderId="15" xfId="174" applyNumberFormat="1" applyFont="1" applyBorder="1" applyAlignment="1" applyProtection="1">
      <alignment horizontal="left" vertical="center" wrapText="1"/>
      <protection hidden="1"/>
    </xf>
    <xf numFmtId="49" fontId="71" fillId="44" borderId="16" xfId="174" applyNumberFormat="1" applyFont="1" applyBorder="1" applyAlignment="1" applyProtection="1">
      <alignment horizontal="left" vertical="center" wrapText="1"/>
      <protection hidden="1"/>
    </xf>
    <xf numFmtId="49" fontId="59" fillId="44" borderId="30" xfId="174" quotePrefix="1" applyNumberFormat="1" applyFont="1" applyBorder="1" applyAlignment="1" applyProtection="1">
      <alignment horizontal="center" vertical="center"/>
      <protection hidden="1"/>
    </xf>
    <xf numFmtId="49" fontId="59" fillId="44" borderId="20" xfId="174" applyNumberFormat="1" applyFont="1" applyBorder="1" applyAlignment="1" applyProtection="1">
      <alignment horizontal="left" vertical="center" wrapText="1"/>
      <protection hidden="1"/>
    </xf>
    <xf numFmtId="49" fontId="71" fillId="44" borderId="25" xfId="174" applyNumberFormat="1" applyFont="1" applyBorder="1" applyAlignment="1" applyProtection="1">
      <alignment horizontal="left" vertical="center" wrapText="1"/>
      <protection hidden="1"/>
    </xf>
    <xf numFmtId="49" fontId="55" fillId="0" borderId="0" xfId="174" applyNumberFormat="1" applyFont="1" applyFill="1" applyBorder="1" applyAlignment="1" applyProtection="1">
      <alignment vertical="center"/>
      <protection hidden="1"/>
    </xf>
    <xf numFmtId="49" fontId="55" fillId="0" borderId="0" xfId="174" applyNumberFormat="1" applyFont="1" applyFill="1" applyBorder="1" applyAlignment="1" applyProtection="1">
      <alignment vertical="center" wrapText="1"/>
      <protection hidden="1"/>
    </xf>
    <xf numFmtId="49" fontId="0" fillId="0" borderId="0" xfId="0" applyNumberFormat="1" applyAlignment="1" applyProtection="1">
      <alignment vertical="top" wrapText="1"/>
      <protection hidden="1"/>
    </xf>
    <xf numFmtId="0" fontId="59" fillId="44" borderId="83" xfId="364" applyFont="1" applyFill="1" applyBorder="1" applyAlignment="1" applyProtection="1">
      <alignment horizontal="center" vertical="center" wrapText="1"/>
      <protection hidden="1"/>
    </xf>
    <xf numFmtId="0" fontId="59" fillId="44" borderId="53" xfId="364" applyFont="1" applyFill="1" applyBorder="1" applyAlignment="1" applyProtection="1">
      <alignment horizontal="center" vertical="center" wrapText="1"/>
      <protection hidden="1"/>
    </xf>
    <xf numFmtId="49" fontId="59" fillId="44" borderId="76" xfId="174" applyNumberFormat="1" applyFont="1" applyBorder="1" applyAlignment="1" applyProtection="1">
      <alignment horizontal="center" vertical="center"/>
      <protection hidden="1"/>
    </xf>
    <xf numFmtId="49" fontId="59" fillId="44" borderId="47" xfId="174" applyNumberFormat="1" applyFont="1" applyBorder="1" applyAlignment="1" applyProtection="1">
      <alignment horizontal="center" vertical="center"/>
      <protection hidden="1"/>
    </xf>
    <xf numFmtId="49" fontId="59" fillId="44" borderId="43" xfId="174" applyNumberFormat="1" applyFont="1" applyBorder="1" applyAlignment="1" applyProtection="1">
      <alignment horizontal="center" vertical="center"/>
      <protection hidden="1"/>
    </xf>
    <xf numFmtId="0" fontId="59" fillId="52" borderId="61" xfId="0" applyFont="1" applyFill="1" applyBorder="1" applyAlignment="1" applyProtection="1">
      <alignment horizontal="center" vertical="center"/>
      <protection hidden="1"/>
    </xf>
    <xf numFmtId="0" fontId="59" fillId="52" borderId="43" xfId="0" applyFont="1" applyFill="1" applyBorder="1" applyAlignment="1" applyProtection="1">
      <alignment horizontal="center" vertical="center"/>
      <protection hidden="1"/>
    </xf>
    <xf numFmtId="0" fontId="59" fillId="44" borderId="52" xfId="364" applyFont="1" applyFill="1" applyBorder="1" applyAlignment="1" applyProtection="1">
      <alignment horizontal="center" vertical="center" wrapText="1"/>
      <protection hidden="1"/>
    </xf>
    <xf numFmtId="0" fontId="58" fillId="44" borderId="27" xfId="364" applyFill="1" applyBorder="1" applyAlignment="1" applyProtection="1">
      <alignment horizontal="left" vertical="center" wrapText="1"/>
      <protection hidden="1"/>
    </xf>
    <xf numFmtId="0" fontId="59" fillId="44" borderId="28" xfId="364" applyFont="1" applyFill="1" applyBorder="1" applyAlignment="1" applyProtection="1">
      <alignment horizontal="center" vertical="center" wrapText="1"/>
      <protection hidden="1"/>
    </xf>
    <xf numFmtId="0" fontId="58" fillId="44" borderId="16" xfId="364" applyFill="1" applyBorder="1" applyAlignment="1" applyProtection="1">
      <alignment horizontal="left" vertical="center" wrapText="1"/>
      <protection hidden="1"/>
    </xf>
    <xf numFmtId="0" fontId="59" fillId="44" borderId="30" xfId="364" applyFont="1" applyFill="1" applyBorder="1" applyAlignment="1" applyProtection="1">
      <alignment horizontal="center" vertical="center" wrapText="1"/>
      <protection hidden="1"/>
    </xf>
    <xf numFmtId="0" fontId="58" fillId="52" borderId="25" xfId="364" applyFill="1" applyBorder="1" applyAlignment="1" applyProtection="1">
      <alignment horizontal="left" vertical="center" wrapText="1"/>
      <protection hidden="1"/>
    </xf>
    <xf numFmtId="3" fontId="0" fillId="0" borderId="0" xfId="0" applyNumberFormat="1" applyProtection="1">
      <protection hidden="1"/>
    </xf>
    <xf numFmtId="4" fontId="57" fillId="0" borderId="0" xfId="0" applyNumberFormat="1" applyFont="1" applyAlignment="1" applyProtection="1">
      <alignment horizontal="center" vertical="center"/>
      <protection hidden="1"/>
    </xf>
    <xf numFmtId="49" fontId="57" fillId="0" borderId="0" xfId="0" applyNumberFormat="1" applyFont="1" applyAlignment="1" applyProtection="1">
      <alignment horizontal="center" vertical="center"/>
      <protection hidden="1"/>
    </xf>
    <xf numFmtId="0" fontId="57" fillId="0" borderId="0" xfId="0" applyFont="1" applyAlignment="1" applyProtection="1">
      <alignment horizontal="center" vertical="center" wrapText="1"/>
      <protection hidden="1"/>
    </xf>
    <xf numFmtId="0" fontId="99" fillId="44" borderId="45" xfId="174" applyFont="1" applyBorder="1" applyAlignment="1" applyProtection="1">
      <alignment horizontal="center" vertical="center" wrapText="1"/>
      <protection hidden="1"/>
    </xf>
    <xf numFmtId="0" fontId="99" fillId="44" borderId="15" xfId="174" applyFont="1" applyBorder="1" applyAlignment="1" applyProtection="1">
      <alignment horizontal="center" vertical="center" wrapText="1"/>
      <protection hidden="1"/>
    </xf>
    <xf numFmtId="0" fontId="99" fillId="44" borderId="16" xfId="174" applyFont="1" applyBorder="1" applyAlignment="1" applyProtection="1">
      <alignment horizontal="center" vertical="center" wrapText="1"/>
      <protection hidden="1"/>
    </xf>
    <xf numFmtId="49" fontId="59" fillId="44" borderId="78" xfId="174" applyNumberFormat="1" applyFont="1" applyBorder="1" applyAlignment="1" applyProtection="1">
      <alignment horizontal="center" vertical="center"/>
      <protection hidden="1"/>
    </xf>
    <xf numFmtId="49" fontId="59" fillId="44" borderId="61" xfId="174" applyNumberFormat="1" applyFont="1" applyBorder="1" applyAlignment="1" applyProtection="1">
      <alignment horizontal="center" vertical="center"/>
      <protection hidden="1"/>
    </xf>
    <xf numFmtId="49" fontId="59" fillId="44" borderId="83" xfId="174" applyNumberFormat="1" applyFont="1" applyBorder="1" applyAlignment="1" applyProtection="1">
      <alignment horizontal="center" vertical="center"/>
      <protection hidden="1"/>
    </xf>
    <xf numFmtId="49" fontId="58" fillId="52" borderId="80" xfId="364" applyNumberFormat="1" applyFill="1" applyBorder="1" applyAlignment="1" applyProtection="1">
      <alignment horizontal="left" vertical="center"/>
      <protection hidden="1"/>
    </xf>
    <xf numFmtId="168" fontId="71" fillId="52" borderId="70" xfId="1059" applyNumberFormat="1" applyFont="1" applyFill="1" applyBorder="1" applyAlignment="1" applyProtection="1">
      <alignment horizontal="left" vertical="center"/>
      <protection hidden="1"/>
    </xf>
    <xf numFmtId="49" fontId="59" fillId="44" borderId="40" xfId="174" applyNumberFormat="1" applyFont="1" applyBorder="1" applyAlignment="1" applyProtection="1">
      <alignment horizontal="center" vertical="center"/>
      <protection hidden="1"/>
    </xf>
    <xf numFmtId="49" fontId="55" fillId="44" borderId="72" xfId="174" applyNumberFormat="1" applyFont="1" applyBorder="1" applyAlignment="1" applyProtection="1">
      <alignment horizontal="center" vertical="center"/>
      <protection hidden="1"/>
    </xf>
    <xf numFmtId="49" fontId="59" fillId="52" borderId="40" xfId="174" applyNumberFormat="1" applyFont="1" applyFill="1" applyBorder="1" applyAlignment="1" applyProtection="1">
      <alignment horizontal="center" vertical="center"/>
      <protection hidden="1"/>
    </xf>
    <xf numFmtId="1" fontId="59" fillId="44" borderId="28" xfId="174" applyNumberFormat="1" applyFont="1" applyBorder="1" applyAlignment="1" applyProtection="1">
      <alignment horizontal="center" vertical="center"/>
      <protection hidden="1"/>
    </xf>
    <xf numFmtId="176" fontId="59" fillId="44" borderId="45" xfId="174" applyNumberFormat="1" applyFont="1" applyBorder="1" applyAlignment="1" applyProtection="1">
      <alignment horizontal="center" vertical="center"/>
      <protection hidden="1"/>
    </xf>
    <xf numFmtId="176" fontId="59" fillId="44" borderId="15" xfId="174" applyNumberFormat="1" applyFont="1" applyBorder="1" applyAlignment="1" applyProtection="1">
      <alignment horizontal="center" vertical="center"/>
      <protection hidden="1"/>
    </xf>
    <xf numFmtId="176" fontId="59" fillId="44" borderId="29" xfId="174" applyNumberFormat="1" applyFont="1" applyBorder="1" applyAlignment="1" applyProtection="1">
      <alignment horizontal="center" vertical="center"/>
      <protection hidden="1"/>
    </xf>
    <xf numFmtId="3" fontId="59" fillId="44" borderId="45" xfId="174" applyNumberFormat="1" applyFont="1" applyBorder="1" applyAlignment="1" applyProtection="1">
      <alignment horizontal="center" vertical="center"/>
      <protection hidden="1"/>
    </xf>
    <xf numFmtId="3" fontId="59" fillId="44" borderId="15" xfId="174" applyNumberFormat="1" applyFont="1" applyBorder="1" applyAlignment="1" applyProtection="1">
      <alignment horizontal="center" vertical="center"/>
      <protection hidden="1"/>
    </xf>
    <xf numFmtId="3" fontId="59" fillId="44" borderId="16" xfId="174" applyNumberFormat="1" applyFont="1" applyBorder="1" applyAlignment="1" applyProtection="1">
      <alignment horizontal="center" vertical="center"/>
      <protection hidden="1"/>
    </xf>
    <xf numFmtId="176" fontId="59" fillId="44" borderId="28" xfId="174" applyNumberFormat="1" applyFont="1" applyBorder="1" applyAlignment="1" applyProtection="1">
      <alignment horizontal="center" vertical="center"/>
      <protection hidden="1"/>
    </xf>
    <xf numFmtId="49" fontId="59" fillId="44" borderId="48" xfId="174" applyNumberFormat="1" applyFont="1" applyBorder="1" applyAlignment="1" applyProtection="1">
      <alignment horizontal="center" vertical="center"/>
      <protection hidden="1"/>
    </xf>
    <xf numFmtId="49" fontId="58" fillId="52" borderId="49" xfId="364" applyNumberFormat="1" applyFill="1" applyBorder="1" applyAlignment="1" applyProtection="1">
      <alignment horizontal="left" vertical="center"/>
      <protection hidden="1"/>
    </xf>
    <xf numFmtId="1" fontId="71" fillId="52" borderId="40" xfId="0" applyNumberFormat="1" applyFont="1" applyFill="1" applyBorder="1" applyAlignment="1" applyProtection="1">
      <alignment horizontal="left" vertical="center"/>
      <protection hidden="1"/>
    </xf>
    <xf numFmtId="49" fontId="59" fillId="52" borderId="49" xfId="0" applyNumberFormat="1" applyFont="1" applyFill="1" applyBorder="1" applyAlignment="1" applyProtection="1">
      <alignment horizontal="left" vertical="center"/>
      <protection hidden="1"/>
    </xf>
    <xf numFmtId="49" fontId="59" fillId="52" borderId="31" xfId="0" applyNumberFormat="1" applyFont="1" applyFill="1" applyBorder="1" applyAlignment="1" applyProtection="1">
      <alignment horizontal="left" vertical="center"/>
      <protection hidden="1"/>
    </xf>
    <xf numFmtId="1" fontId="71" fillId="52" borderId="75" xfId="0" applyNumberFormat="1" applyFont="1" applyFill="1" applyBorder="1" applyAlignment="1" applyProtection="1">
      <alignment horizontal="left" vertical="center"/>
      <protection hidden="1"/>
    </xf>
    <xf numFmtId="176" fontId="59" fillId="44" borderId="20" xfId="174" applyNumberFormat="1" applyFont="1" applyBorder="1" applyAlignment="1" applyProtection="1">
      <alignment horizontal="center" vertical="center"/>
      <protection hidden="1"/>
    </xf>
    <xf numFmtId="0" fontId="57" fillId="0" borderId="34" xfId="0" applyFont="1" applyBorder="1" applyAlignment="1" applyProtection="1">
      <alignment horizontal="center" vertical="center"/>
      <protection hidden="1"/>
    </xf>
    <xf numFmtId="2" fontId="57" fillId="0" borderId="0" xfId="0" applyNumberFormat="1" applyFont="1" applyAlignment="1" applyProtection="1">
      <alignment horizontal="center" vertical="center"/>
      <protection hidden="1"/>
    </xf>
    <xf numFmtId="0" fontId="56" fillId="0" borderId="0" xfId="0" applyFont="1" applyAlignment="1" applyProtection="1">
      <alignment horizontal="center" vertical="center"/>
      <protection hidden="1"/>
    </xf>
    <xf numFmtId="171" fontId="56" fillId="0" borderId="0" xfId="0" applyNumberFormat="1" applyFont="1" applyAlignment="1" applyProtection="1">
      <alignment horizontal="center" vertical="center"/>
      <protection hidden="1"/>
    </xf>
    <xf numFmtId="171" fontId="57" fillId="0" borderId="0" xfId="0" applyNumberFormat="1" applyFont="1" applyAlignment="1" applyProtection="1">
      <alignment horizontal="center" vertical="center"/>
      <protection hidden="1"/>
    </xf>
    <xf numFmtId="0" fontId="59" fillId="44" borderId="29" xfId="174" applyFont="1" applyBorder="1" applyAlignment="1" applyProtection="1">
      <alignment horizontal="center" vertical="center" wrapText="1"/>
      <protection hidden="1"/>
    </xf>
    <xf numFmtId="49" fontId="59" fillId="44" borderId="25" xfId="174" applyNumberFormat="1" applyFont="1" applyBorder="1" applyAlignment="1" applyProtection="1">
      <alignment horizontal="center" vertical="center"/>
      <protection hidden="1"/>
    </xf>
    <xf numFmtId="49" fontId="59" fillId="44" borderId="53" xfId="174" applyNumberFormat="1" applyFont="1" applyBorder="1" applyAlignment="1" applyProtection="1">
      <alignment horizontal="center" vertical="center"/>
      <protection hidden="1"/>
    </xf>
    <xf numFmtId="49" fontId="58" fillId="52" borderId="51" xfId="364" applyNumberFormat="1" applyFill="1" applyBorder="1" applyAlignment="1" applyProtection="1">
      <alignment horizontal="left" vertical="center"/>
      <protection hidden="1"/>
    </xf>
    <xf numFmtId="3" fontId="71" fillId="44" borderId="28" xfId="174" applyNumberFormat="1" applyFont="1" applyBorder="1" applyAlignment="1" applyProtection="1">
      <alignment horizontal="left" vertical="center"/>
      <protection hidden="1"/>
    </xf>
    <xf numFmtId="49" fontId="55" fillId="44" borderId="46" xfId="174" applyNumberFormat="1" applyFont="1" applyBorder="1" applyAlignment="1" applyProtection="1">
      <alignment horizontal="center" vertical="center"/>
      <protection hidden="1"/>
    </xf>
    <xf numFmtId="3" fontId="59" fillId="44" borderId="28" xfId="174" applyNumberFormat="1" applyFont="1" applyBorder="1" applyAlignment="1" applyProtection="1">
      <alignment horizontal="right" vertical="center"/>
      <protection hidden="1"/>
    </xf>
    <xf numFmtId="3" fontId="59" fillId="44" borderId="15" xfId="174" applyNumberFormat="1" applyFont="1" applyBorder="1" applyAlignment="1" applyProtection="1">
      <alignment horizontal="right" vertical="center"/>
      <protection hidden="1"/>
    </xf>
    <xf numFmtId="176" fontId="59" fillId="44" borderId="29" xfId="174" applyNumberFormat="1" applyFont="1" applyBorder="1" applyAlignment="1" applyProtection="1">
      <alignment horizontal="right" vertical="center"/>
      <protection hidden="1"/>
    </xf>
    <xf numFmtId="3" fontId="59" fillId="44" borderId="45" xfId="174" applyNumberFormat="1" applyFont="1" applyBorder="1" applyAlignment="1" applyProtection="1">
      <alignment horizontal="right" vertical="center"/>
      <protection hidden="1"/>
    </xf>
    <xf numFmtId="3" fontId="59" fillId="44" borderId="16" xfId="174" applyNumberFormat="1" applyFont="1" applyBorder="1" applyAlignment="1" applyProtection="1">
      <alignment horizontal="right" vertical="center"/>
      <protection hidden="1"/>
    </xf>
    <xf numFmtId="176" fontId="59" fillId="44" borderId="28" xfId="174" applyNumberFormat="1" applyFont="1" applyBorder="1" applyAlignment="1" applyProtection="1">
      <alignment horizontal="right" vertical="center"/>
      <protection hidden="1"/>
    </xf>
    <xf numFmtId="49" fontId="58" fillId="52" borderId="68" xfId="364" applyNumberFormat="1" applyFill="1" applyBorder="1" applyAlignment="1" applyProtection="1">
      <alignment horizontal="left" vertical="center"/>
      <protection hidden="1"/>
    </xf>
    <xf numFmtId="49" fontId="59" fillId="52" borderId="68" xfId="0" applyNumberFormat="1" applyFont="1" applyFill="1" applyBorder="1" applyAlignment="1" applyProtection="1">
      <alignment horizontal="left" vertical="center"/>
      <protection hidden="1"/>
    </xf>
    <xf numFmtId="49" fontId="59" fillId="52" borderId="69" xfId="0" applyNumberFormat="1" applyFont="1" applyFill="1" applyBorder="1" applyAlignment="1" applyProtection="1">
      <alignment horizontal="left" vertical="center"/>
      <protection hidden="1"/>
    </xf>
    <xf numFmtId="176" fontId="59" fillId="44" borderId="20" xfId="174" applyNumberFormat="1" applyFont="1" applyBorder="1" applyAlignment="1" applyProtection="1">
      <alignment horizontal="right" vertical="center"/>
      <protection hidden="1"/>
    </xf>
    <xf numFmtId="3" fontId="57" fillId="0" borderId="0" xfId="0" applyNumberFormat="1" applyFont="1" applyAlignment="1" applyProtection="1">
      <alignment horizontal="center" vertical="center"/>
      <protection hidden="1"/>
    </xf>
    <xf numFmtId="3" fontId="56" fillId="0" borderId="0" xfId="0" applyNumberFormat="1" applyFont="1" applyAlignment="1" applyProtection="1">
      <alignment horizontal="center" vertical="center"/>
      <protection hidden="1"/>
    </xf>
    <xf numFmtId="171" fontId="0" fillId="0" borderId="0" xfId="0" applyNumberFormat="1" applyProtection="1">
      <protection hidden="1"/>
    </xf>
    <xf numFmtId="171" fontId="57" fillId="57" borderId="0" xfId="0" applyNumberFormat="1" applyFont="1" applyFill="1" applyAlignment="1" applyProtection="1">
      <alignment horizontal="center" vertical="center"/>
      <protection hidden="1"/>
    </xf>
    <xf numFmtId="0" fontId="58" fillId="0" borderId="0" xfId="364" applyFill="1" applyBorder="1" applyAlignment="1" applyProtection="1">
      <alignment horizontal="left" vertical="center"/>
      <protection hidden="1"/>
    </xf>
    <xf numFmtId="0" fontId="59" fillId="52" borderId="15" xfId="0" applyFont="1" applyFill="1" applyBorder="1" applyAlignment="1" applyProtection="1">
      <alignment horizontal="center" vertical="center"/>
      <protection hidden="1"/>
    </xf>
    <xf numFmtId="0" fontId="59" fillId="44" borderId="15" xfId="174" applyFont="1" applyBorder="1" applyAlignment="1" applyProtection="1">
      <alignment horizontal="center" vertical="center"/>
      <protection hidden="1"/>
    </xf>
    <xf numFmtId="0" fontId="58" fillId="44" borderId="29" xfId="364" applyFill="1" applyBorder="1" applyAlignment="1" applyProtection="1">
      <alignment horizontal="center" vertical="center"/>
      <protection hidden="1"/>
    </xf>
    <xf numFmtId="49" fontId="59" fillId="44" borderId="56" xfId="174" applyNumberFormat="1" applyFont="1" applyBorder="1" applyAlignment="1" applyProtection="1">
      <alignment horizontal="center" vertical="center"/>
      <protection hidden="1"/>
    </xf>
    <xf numFmtId="49" fontId="58" fillId="52" borderId="60" xfId="364" applyNumberFormat="1" applyFill="1" applyBorder="1" applyAlignment="1" applyProtection="1">
      <alignment horizontal="left" vertical="center"/>
      <protection hidden="1"/>
    </xf>
    <xf numFmtId="0" fontId="66" fillId="55" borderId="0" xfId="0" applyFont="1" applyFill="1" applyAlignment="1" applyProtection="1">
      <alignment horizontal="center" vertical="center" wrapText="1"/>
      <protection hidden="1"/>
    </xf>
    <xf numFmtId="0" fontId="57" fillId="52" borderId="0" xfId="0" applyFont="1" applyFill="1" applyProtection="1">
      <protection hidden="1"/>
    </xf>
    <xf numFmtId="0" fontId="57" fillId="52" borderId="0" xfId="0" applyFont="1" applyFill="1" applyAlignment="1" applyProtection="1">
      <alignment horizontal="center"/>
      <protection hidden="1"/>
    </xf>
    <xf numFmtId="170" fontId="56" fillId="57" borderId="0" xfId="1059" applyNumberFormat="1" applyFont="1" applyFill="1" applyBorder="1" applyAlignment="1" applyProtection="1">
      <alignment horizontal="center"/>
      <protection hidden="1"/>
    </xf>
    <xf numFmtId="10" fontId="56" fillId="57" borderId="0" xfId="1059" applyNumberFormat="1" applyFont="1" applyFill="1" applyBorder="1" applyAlignment="1" applyProtection="1">
      <alignment horizontal="center"/>
      <protection hidden="1"/>
    </xf>
    <xf numFmtId="0" fontId="58" fillId="44" borderId="28" xfId="364" applyFill="1" applyBorder="1" applyAlignment="1" applyProtection="1">
      <alignment horizontal="center" vertical="center" wrapText="1"/>
      <protection hidden="1"/>
    </xf>
    <xf numFmtId="0" fontId="59" fillId="44" borderId="29" xfId="174" applyFont="1" applyBorder="1" applyAlignment="1" applyProtection="1">
      <alignment horizontal="center" vertical="center"/>
      <protection hidden="1"/>
    </xf>
    <xf numFmtId="49" fontId="55" fillId="44" borderId="50" xfId="174" applyNumberFormat="1" applyFont="1" applyBorder="1" applyAlignment="1" applyProtection="1">
      <alignment horizontal="center" vertical="center"/>
      <protection hidden="1"/>
    </xf>
    <xf numFmtId="167" fontId="57" fillId="0" borderId="0" xfId="0" applyNumberFormat="1" applyFont="1" applyAlignment="1" applyProtection="1">
      <alignment horizontal="left" vertical="center"/>
      <protection hidden="1"/>
    </xf>
    <xf numFmtId="1" fontId="57" fillId="0" borderId="0" xfId="0" applyNumberFormat="1" applyFont="1" applyAlignment="1" applyProtection="1">
      <alignment horizontal="left" vertical="center"/>
      <protection hidden="1"/>
    </xf>
    <xf numFmtId="0" fontId="58" fillId="44" borderId="52" xfId="364" applyFill="1" applyBorder="1" applyAlignment="1" applyProtection="1">
      <alignment horizontal="center" vertical="center" wrapText="1"/>
      <protection hidden="1"/>
    </xf>
    <xf numFmtId="0" fontId="59" fillId="44" borderId="32" xfId="174" applyFont="1" applyBorder="1" applyAlignment="1" applyProtection="1">
      <alignment horizontal="center" vertical="center" wrapText="1"/>
      <protection hidden="1"/>
    </xf>
    <xf numFmtId="0" fontId="58" fillId="44" borderId="33" xfId="364" applyFill="1" applyBorder="1" applyAlignment="1" applyProtection="1">
      <alignment horizontal="center" vertical="center" wrapText="1"/>
      <protection hidden="1"/>
    </xf>
    <xf numFmtId="0" fontId="65" fillId="0" borderId="0" xfId="0" applyFont="1" applyAlignment="1" applyProtection="1">
      <alignment horizontal="center" vertical="center"/>
      <protection hidden="1"/>
    </xf>
    <xf numFmtId="0" fontId="56" fillId="0" borderId="0" xfId="0" applyFont="1" applyAlignment="1" applyProtection="1">
      <alignment horizontal="left" vertical="center"/>
      <protection hidden="1"/>
    </xf>
    <xf numFmtId="0" fontId="57" fillId="0" borderId="15" xfId="0" applyFont="1" applyBorder="1" applyAlignment="1" applyProtection="1">
      <alignment horizontal="left" vertical="center"/>
      <protection hidden="1"/>
    </xf>
    <xf numFmtId="1" fontId="59" fillId="44" borderId="48" xfId="174" applyNumberFormat="1" applyFont="1" applyBorder="1" applyAlignment="1" applyProtection="1">
      <alignment horizontal="center" vertical="center"/>
      <protection hidden="1"/>
    </xf>
    <xf numFmtId="176" fontId="59" fillId="44" borderId="15" xfId="174" quotePrefix="1" applyNumberFormat="1" applyFont="1" applyBorder="1" applyAlignment="1" applyProtection="1">
      <alignment horizontal="center" vertical="center"/>
      <protection hidden="1"/>
    </xf>
    <xf numFmtId="4" fontId="59" fillId="44" borderId="29" xfId="174" quotePrefix="1" applyNumberFormat="1" applyFont="1" applyBorder="1" applyAlignment="1" applyProtection="1">
      <alignment horizontal="center" vertical="center"/>
      <protection hidden="1"/>
    </xf>
    <xf numFmtId="0" fontId="68" fillId="0" borderId="0" xfId="0" applyFont="1" applyAlignment="1" applyProtection="1">
      <alignment horizontal="center" vertical="center"/>
      <protection hidden="1"/>
    </xf>
    <xf numFmtId="0" fontId="57" fillId="0" borderId="55" xfId="0" applyFont="1" applyBorder="1" applyAlignment="1" applyProtection="1">
      <alignment horizontal="left" vertical="center"/>
      <protection hidden="1"/>
    </xf>
    <xf numFmtId="49" fontId="59" fillId="52" borderId="36" xfId="174" applyNumberFormat="1" applyFont="1" applyFill="1" applyBorder="1" applyAlignment="1" applyProtection="1">
      <alignment horizontal="center" vertical="center"/>
      <protection hidden="1"/>
    </xf>
    <xf numFmtId="49" fontId="59" fillId="52" borderId="34" xfId="174" applyNumberFormat="1" applyFont="1" applyFill="1" applyBorder="1" applyAlignment="1" applyProtection="1">
      <alignment horizontal="center" vertical="center"/>
      <protection hidden="1"/>
    </xf>
    <xf numFmtId="49" fontId="59" fillId="52" borderId="35" xfId="174" applyNumberFormat="1" applyFont="1" applyFill="1" applyBorder="1" applyAlignment="1" applyProtection="1">
      <alignment horizontal="center" vertical="center"/>
      <protection hidden="1"/>
    </xf>
    <xf numFmtId="171" fontId="59" fillId="52" borderId="85" xfId="0" applyNumberFormat="1" applyFont="1" applyFill="1" applyBorder="1" applyAlignment="1" applyProtection="1">
      <alignment horizontal="center" vertical="center"/>
      <protection hidden="1"/>
    </xf>
    <xf numFmtId="49" fontId="59" fillId="52" borderId="42" xfId="174" applyNumberFormat="1" applyFont="1" applyFill="1" applyBorder="1" applyAlignment="1" applyProtection="1">
      <alignment horizontal="center" vertical="center"/>
      <protection hidden="1"/>
    </xf>
    <xf numFmtId="49" fontId="59" fillId="52" borderId="55" xfId="174" applyNumberFormat="1" applyFont="1" applyFill="1" applyBorder="1" applyAlignment="1" applyProtection="1">
      <alignment horizontal="center" vertical="center"/>
      <protection hidden="1"/>
    </xf>
    <xf numFmtId="49" fontId="59" fillId="52" borderId="54" xfId="174" applyNumberFormat="1" applyFont="1" applyFill="1" applyBorder="1" applyAlignment="1" applyProtection="1">
      <alignment horizontal="center" vertical="center"/>
      <protection hidden="1"/>
    </xf>
    <xf numFmtId="49" fontId="59" fillId="52" borderId="56" xfId="174" applyNumberFormat="1" applyFont="1" applyFill="1" applyBorder="1" applyAlignment="1" applyProtection="1">
      <alignment horizontal="center" vertical="center"/>
      <protection hidden="1"/>
    </xf>
    <xf numFmtId="49" fontId="59" fillId="52" borderId="22" xfId="174" applyNumberFormat="1" applyFont="1" applyFill="1" applyBorder="1" applyAlignment="1" applyProtection="1">
      <alignment horizontal="center" vertical="center"/>
      <protection hidden="1"/>
    </xf>
    <xf numFmtId="49" fontId="59" fillId="52" borderId="23" xfId="174" applyNumberFormat="1" applyFont="1" applyFill="1" applyBorder="1" applyAlignment="1" applyProtection="1">
      <alignment horizontal="center" vertical="center"/>
      <protection hidden="1"/>
    </xf>
    <xf numFmtId="171" fontId="57" fillId="52" borderId="30" xfId="0" applyNumberFormat="1" applyFont="1" applyFill="1" applyBorder="1" applyAlignment="1" applyProtection="1">
      <alignment horizontal="center" vertical="center" wrapText="1"/>
      <protection hidden="1"/>
    </xf>
    <xf numFmtId="0" fontId="57" fillId="0" borderId="34" xfId="0" applyFont="1" applyBorder="1" applyAlignment="1" applyProtection="1">
      <alignment horizontal="left" vertical="center"/>
      <protection hidden="1"/>
    </xf>
    <xf numFmtId="49" fontId="59" fillId="0" borderId="0" xfId="174" applyNumberFormat="1" applyFont="1" applyFill="1" applyBorder="1" applyAlignment="1" applyProtection="1">
      <alignment horizontal="center" vertical="center"/>
      <protection hidden="1"/>
    </xf>
    <xf numFmtId="171" fontId="59" fillId="0" borderId="0" xfId="0" applyNumberFormat="1" applyFont="1" applyAlignment="1" applyProtection="1">
      <alignment horizontal="center" vertical="center"/>
      <protection hidden="1"/>
    </xf>
    <xf numFmtId="171" fontId="71" fillId="0" borderId="0" xfId="0" applyNumberFormat="1" applyFont="1" applyAlignment="1" applyProtection="1">
      <alignment horizontal="right" vertical="center"/>
      <protection hidden="1"/>
    </xf>
    <xf numFmtId="171" fontId="57" fillId="0" borderId="0" xfId="0" applyNumberFormat="1" applyFont="1" applyAlignment="1" applyProtection="1">
      <alignment horizontal="center" vertical="center" wrapText="1"/>
      <protection hidden="1"/>
    </xf>
    <xf numFmtId="0" fontId="58" fillId="44" borderId="33" xfId="364" applyFill="1" applyBorder="1" applyAlignment="1" applyProtection="1">
      <alignment horizontal="left" vertical="center" wrapText="1"/>
      <protection hidden="1"/>
    </xf>
    <xf numFmtId="0" fontId="58" fillId="44" borderId="29" xfId="364" applyFill="1" applyBorder="1" applyAlignment="1" applyProtection="1">
      <alignment horizontal="left" vertical="center" wrapText="1"/>
      <protection hidden="1"/>
    </xf>
    <xf numFmtId="49" fontId="58" fillId="44" borderId="29" xfId="364" applyNumberFormat="1" applyFill="1" applyBorder="1" applyAlignment="1" applyProtection="1">
      <alignment horizontal="left" vertical="center"/>
      <protection hidden="1"/>
    </xf>
    <xf numFmtId="0" fontId="58" fillId="44" borderId="31" xfId="364" applyFill="1" applyBorder="1" applyAlignment="1" applyProtection="1">
      <alignment horizontal="left" vertical="center" wrapText="1"/>
      <protection hidden="1"/>
    </xf>
    <xf numFmtId="0" fontId="0" fillId="0" borderId="0" xfId="0" applyAlignment="1" applyProtection="1">
      <alignment horizontal="left"/>
      <protection hidden="1"/>
    </xf>
    <xf numFmtId="49" fontId="55" fillId="44" borderId="83" xfId="174" applyNumberFormat="1" applyFont="1" applyBorder="1" applyAlignment="1" applyProtection="1">
      <alignment horizontal="center" vertical="center"/>
      <protection hidden="1"/>
    </xf>
    <xf numFmtId="49" fontId="59" fillId="44" borderId="35" xfId="174" applyNumberFormat="1" applyFont="1" applyBorder="1" applyAlignment="1" applyProtection="1">
      <alignment horizontal="center" vertical="center"/>
      <protection hidden="1"/>
    </xf>
    <xf numFmtId="0" fontId="59" fillId="44" borderId="56" xfId="364" applyFont="1" applyFill="1" applyBorder="1" applyAlignment="1" applyProtection="1">
      <alignment horizontal="center" vertical="center" wrapText="1"/>
      <protection hidden="1"/>
    </xf>
    <xf numFmtId="0" fontId="58" fillId="44" borderId="57" xfId="364" applyFill="1" applyBorder="1" applyAlignment="1" applyProtection="1">
      <alignment horizontal="left" vertical="center" wrapText="1"/>
      <protection hidden="1"/>
    </xf>
    <xf numFmtId="0" fontId="100" fillId="0" borderId="0" xfId="0" applyFont="1" applyProtection="1">
      <protection hidden="1"/>
    </xf>
    <xf numFmtId="0" fontId="61" fillId="0" borderId="0" xfId="0" applyFont="1" applyAlignment="1" applyProtection="1">
      <alignment horizontal="center" vertical="center"/>
      <protection hidden="1"/>
    </xf>
    <xf numFmtId="0" fontId="56" fillId="0" borderId="0" xfId="0" applyFont="1" applyAlignment="1" applyProtection="1">
      <alignment vertical="center" wrapText="1"/>
      <protection hidden="1"/>
    </xf>
    <xf numFmtId="0" fontId="56" fillId="0" borderId="0" xfId="0" applyFont="1" applyAlignment="1" applyProtection="1">
      <alignment vertical="center"/>
      <protection hidden="1"/>
    </xf>
    <xf numFmtId="0" fontId="57" fillId="0" borderId="0" xfId="0" applyFont="1" applyAlignment="1" applyProtection="1">
      <alignment wrapText="1"/>
      <protection hidden="1"/>
    </xf>
    <xf numFmtId="0" fontId="61" fillId="0" borderId="0" xfId="0" applyFont="1" applyAlignment="1" applyProtection="1">
      <alignment wrapText="1"/>
      <protection hidden="1"/>
    </xf>
    <xf numFmtId="0" fontId="56" fillId="0" borderId="0" xfId="0" applyFont="1" applyAlignment="1" applyProtection="1">
      <alignment vertical="top" wrapText="1"/>
      <protection hidden="1"/>
    </xf>
    <xf numFmtId="0" fontId="57" fillId="0" borderId="0" xfId="0" applyFont="1" applyAlignment="1" applyProtection="1">
      <alignment vertical="top" wrapText="1"/>
      <protection hidden="1"/>
    </xf>
    <xf numFmtId="0" fontId="56" fillId="0" borderId="0" xfId="0" applyFont="1" applyAlignment="1" applyProtection="1">
      <alignment horizontal="left" vertical="top"/>
      <protection hidden="1"/>
    </xf>
    <xf numFmtId="0" fontId="56" fillId="0" borderId="0" xfId="0" applyFont="1" applyAlignment="1" applyProtection="1">
      <alignment vertical="top"/>
      <protection hidden="1"/>
    </xf>
    <xf numFmtId="168" fontId="71" fillId="52" borderId="49" xfId="1059" applyNumberFormat="1" applyFont="1" applyFill="1" applyBorder="1" applyAlignment="1" applyProtection="1">
      <alignment horizontal="right" vertical="center"/>
      <protection hidden="1"/>
    </xf>
    <xf numFmtId="1" fontId="56" fillId="52" borderId="30" xfId="0" applyNumberFormat="1" applyFont="1" applyFill="1" applyBorder="1" applyAlignment="1" applyProtection="1">
      <alignment horizontal="center"/>
      <protection hidden="1"/>
    </xf>
    <xf numFmtId="1" fontId="56" fillId="52" borderId="75" xfId="0" applyNumberFormat="1" applyFont="1" applyFill="1" applyBorder="1" applyAlignment="1" applyProtection="1">
      <alignment horizontal="center"/>
      <protection hidden="1"/>
    </xf>
    <xf numFmtId="1" fontId="56" fillId="52" borderId="31" xfId="0" applyNumberFormat="1" applyFont="1" applyFill="1" applyBorder="1" applyAlignment="1" applyProtection="1">
      <alignment horizontal="center"/>
      <protection hidden="1"/>
    </xf>
    <xf numFmtId="176" fontId="56" fillId="52" borderId="30" xfId="1059" applyNumberFormat="1" applyFont="1" applyFill="1" applyBorder="1" applyAlignment="1" applyProtection="1">
      <alignment horizontal="right"/>
      <protection hidden="1"/>
    </xf>
    <xf numFmtId="176" fontId="56" fillId="52" borderId="20" xfId="1059" applyNumberFormat="1" applyFont="1" applyFill="1" applyBorder="1" applyAlignment="1" applyProtection="1">
      <alignment horizontal="right"/>
      <protection hidden="1"/>
    </xf>
    <xf numFmtId="1" fontId="56" fillId="52" borderId="84" xfId="0" applyNumberFormat="1" applyFont="1" applyFill="1" applyBorder="1" applyAlignment="1" applyProtection="1">
      <alignment horizontal="center"/>
      <protection hidden="1"/>
    </xf>
    <xf numFmtId="1" fontId="71" fillId="52" borderId="30" xfId="0" applyNumberFormat="1" applyFont="1" applyFill="1" applyBorder="1" applyAlignment="1" applyProtection="1">
      <alignment horizontal="center"/>
      <protection hidden="1"/>
    </xf>
    <xf numFmtId="0" fontId="71" fillId="52" borderId="25" xfId="0" applyFont="1" applyFill="1" applyBorder="1" applyAlignment="1" applyProtection="1">
      <alignment horizontal="left" vertical="center"/>
      <protection hidden="1"/>
    </xf>
    <xf numFmtId="1" fontId="71" fillId="52" borderId="20" xfId="0" applyNumberFormat="1" applyFont="1" applyFill="1" applyBorder="1" applyAlignment="1" applyProtection="1">
      <alignment horizontal="center"/>
      <protection hidden="1"/>
    </xf>
    <xf numFmtId="1" fontId="71" fillId="52" borderId="31" xfId="0" applyNumberFormat="1" applyFont="1" applyFill="1" applyBorder="1" applyAlignment="1" applyProtection="1">
      <alignment horizontal="center"/>
      <protection hidden="1"/>
    </xf>
    <xf numFmtId="10" fontId="56" fillId="52" borderId="31" xfId="0" applyNumberFormat="1" applyFont="1" applyFill="1" applyBorder="1" applyAlignment="1" applyProtection="1">
      <alignment horizontal="right" vertical="center"/>
      <protection hidden="1"/>
    </xf>
    <xf numFmtId="1" fontId="71" fillId="52" borderId="27" xfId="0" applyNumberFormat="1" applyFont="1" applyFill="1" applyBorder="1" applyAlignment="1" applyProtection="1">
      <alignment horizontal="center"/>
      <protection hidden="1"/>
    </xf>
    <xf numFmtId="171" fontId="59" fillId="44" borderId="16" xfId="174" applyNumberFormat="1" applyFont="1" applyBorder="1" applyAlignment="1" applyProtection="1">
      <alignment horizontal="center" vertical="center"/>
      <protection hidden="1"/>
    </xf>
    <xf numFmtId="1" fontId="71" fillId="52" borderId="16" xfId="0" applyNumberFormat="1" applyFont="1" applyFill="1" applyBorder="1" applyAlignment="1" applyProtection="1">
      <alignment horizontal="center"/>
      <protection hidden="1"/>
    </xf>
    <xf numFmtId="1" fontId="71" fillId="52" borderId="25" xfId="0" applyNumberFormat="1" applyFont="1" applyFill="1" applyBorder="1" applyAlignment="1" applyProtection="1">
      <alignment horizontal="center"/>
      <protection hidden="1"/>
    </xf>
    <xf numFmtId="176" fontId="71" fillId="52" borderId="63" xfId="0" applyNumberFormat="1" applyFont="1" applyFill="1" applyBorder="1" applyAlignment="1" applyProtection="1">
      <alignment horizontal="right"/>
      <protection hidden="1"/>
    </xf>
    <xf numFmtId="176" fontId="71" fillId="52" borderId="45" xfId="0" applyNumberFormat="1" applyFont="1" applyFill="1" applyBorder="1" applyAlignment="1" applyProtection="1">
      <alignment horizontal="right"/>
      <protection hidden="1"/>
    </xf>
    <xf numFmtId="176" fontId="71" fillId="52" borderId="26" xfId="0" applyNumberFormat="1" applyFont="1" applyFill="1" applyBorder="1" applyAlignment="1" applyProtection="1">
      <alignment horizontal="right"/>
      <protection hidden="1"/>
    </xf>
    <xf numFmtId="171" fontId="59" fillId="44" borderId="30" xfId="174" applyNumberFormat="1" applyFont="1" applyBorder="1" applyAlignment="1" applyProtection="1">
      <alignment horizontal="center" vertical="center"/>
      <protection hidden="1"/>
    </xf>
    <xf numFmtId="171" fontId="59" fillId="44" borderId="31" xfId="174" applyNumberFormat="1" applyFont="1" applyBorder="1" applyAlignment="1" applyProtection="1">
      <alignment horizontal="center" vertical="center"/>
      <protection hidden="1"/>
    </xf>
    <xf numFmtId="176" fontId="71" fillId="52" borderId="52" xfId="0" applyNumberFormat="1" applyFont="1" applyFill="1" applyBorder="1" applyAlignment="1" applyProtection="1">
      <alignment horizontal="right"/>
      <protection hidden="1"/>
    </xf>
    <xf numFmtId="171" fontId="59" fillId="52" borderId="29" xfId="174" applyNumberFormat="1" applyFont="1" applyFill="1" applyBorder="1" applyAlignment="1" applyProtection="1">
      <alignment horizontal="center" vertical="center"/>
      <protection hidden="1"/>
    </xf>
    <xf numFmtId="176" fontId="71" fillId="52" borderId="28" xfId="0" applyNumberFormat="1" applyFont="1" applyFill="1" applyBorder="1" applyAlignment="1" applyProtection="1">
      <alignment horizontal="right"/>
      <protection hidden="1"/>
    </xf>
    <xf numFmtId="176" fontId="71" fillId="52" borderId="30" xfId="0" applyNumberFormat="1" applyFont="1" applyFill="1" applyBorder="1" applyAlignment="1" applyProtection="1">
      <alignment horizontal="right"/>
      <protection hidden="1"/>
    </xf>
    <xf numFmtId="176" fontId="59" fillId="52" borderId="46" xfId="174" applyNumberFormat="1" applyFont="1" applyFill="1" applyBorder="1" applyAlignment="1" applyProtection="1">
      <alignment horizontal="right" vertical="center"/>
      <protection hidden="1"/>
    </xf>
    <xf numFmtId="176" fontId="59" fillId="52" borderId="28" xfId="174" applyNumberFormat="1" applyFont="1" applyFill="1" applyBorder="1" applyAlignment="1" applyProtection="1">
      <alignment horizontal="right" vertical="center"/>
      <protection hidden="1"/>
    </xf>
    <xf numFmtId="170" fontId="59" fillId="52" borderId="29" xfId="174" applyNumberFormat="1" applyFont="1" applyFill="1" applyBorder="1" applyAlignment="1" applyProtection="1">
      <alignment horizontal="center" vertical="center"/>
      <protection hidden="1"/>
    </xf>
    <xf numFmtId="4" fontId="56" fillId="53" borderId="52" xfId="0" applyNumberFormat="1" applyFont="1" applyFill="1" applyBorder="1" applyAlignment="1" applyProtection="1">
      <alignment horizontal="right" vertical="center"/>
      <protection locked="0"/>
    </xf>
    <xf numFmtId="4" fontId="56" fillId="53" borderId="63" xfId="0" applyNumberFormat="1" applyFont="1" applyFill="1" applyBorder="1" applyAlignment="1" applyProtection="1">
      <alignment horizontal="right" vertical="center"/>
      <protection locked="0"/>
    </xf>
    <xf numFmtId="10" fontId="56" fillId="52" borderId="33" xfId="1059" applyNumberFormat="1" applyFont="1" applyFill="1" applyBorder="1" applyAlignment="1" applyProtection="1">
      <alignment horizontal="right" vertical="center"/>
      <protection hidden="1"/>
    </xf>
    <xf numFmtId="4" fontId="56" fillId="53" borderId="28" xfId="0" applyNumberFormat="1" applyFont="1" applyFill="1" applyBorder="1" applyAlignment="1" applyProtection="1">
      <alignment horizontal="right" vertical="center"/>
      <protection locked="0"/>
    </xf>
    <xf numFmtId="3" fontId="56" fillId="53" borderId="61" xfId="0" applyNumberFormat="1" applyFont="1" applyFill="1" applyBorder="1" applyAlignment="1" applyProtection="1">
      <alignment horizontal="right" vertical="center"/>
      <protection locked="0"/>
    </xf>
    <xf numFmtId="3" fontId="56" fillId="53" borderId="30" xfId="0" applyNumberFormat="1" applyFont="1" applyFill="1" applyBorder="1" applyAlignment="1" applyProtection="1">
      <alignment horizontal="right" vertical="center"/>
      <protection locked="0"/>
    </xf>
    <xf numFmtId="10" fontId="56" fillId="52" borderId="39" xfId="1059" applyNumberFormat="1" applyFont="1" applyFill="1" applyBorder="1" applyAlignment="1" applyProtection="1">
      <alignment horizontal="right" vertical="center"/>
      <protection hidden="1"/>
    </xf>
    <xf numFmtId="0" fontId="71" fillId="0" borderId="0" xfId="0" applyFont="1" applyAlignment="1" applyProtection="1">
      <alignment horizontal="left" vertical="top"/>
      <protection hidden="1"/>
    </xf>
    <xf numFmtId="0" fontId="71" fillId="0" borderId="0" xfId="0" applyFont="1" applyAlignment="1" applyProtection="1">
      <alignment horizontal="center" vertical="center"/>
      <protection hidden="1"/>
    </xf>
    <xf numFmtId="0" fontId="71" fillId="52" borderId="29" xfId="0" applyFont="1" applyFill="1" applyBorder="1" applyAlignment="1" applyProtection="1">
      <alignment horizontal="left" vertical="center" wrapText="1"/>
      <protection hidden="1"/>
    </xf>
    <xf numFmtId="0" fontId="71" fillId="58" borderId="28" xfId="0" applyFont="1" applyFill="1" applyBorder="1" applyAlignment="1" applyProtection="1">
      <alignment horizontal="center" vertical="center" wrapText="1"/>
      <protection hidden="1"/>
    </xf>
    <xf numFmtId="176" fontId="71" fillId="52" borderId="15" xfId="0" applyNumberFormat="1" applyFont="1" applyFill="1" applyBorder="1" applyAlignment="1" applyProtection="1">
      <alignment horizontal="right" vertical="center"/>
      <protection hidden="1"/>
    </xf>
    <xf numFmtId="0" fontId="59" fillId="52" borderId="95" xfId="0" applyFont="1" applyFill="1" applyBorder="1" applyProtection="1">
      <protection hidden="1"/>
    </xf>
    <xf numFmtId="0" fontId="71" fillId="52" borderId="56" xfId="0" quotePrefix="1" applyFont="1" applyFill="1" applyBorder="1" applyAlignment="1" applyProtection="1">
      <alignment horizontal="left" vertical="center"/>
      <protection hidden="1"/>
    </xf>
    <xf numFmtId="1" fontId="71" fillId="57" borderId="62" xfId="0" applyNumberFormat="1" applyFont="1" applyFill="1" applyBorder="1" applyAlignment="1" applyProtection="1">
      <alignment horizontal="center"/>
      <protection hidden="1"/>
    </xf>
    <xf numFmtId="1" fontId="71" fillId="57" borderId="57" xfId="0" applyNumberFormat="1" applyFont="1" applyFill="1" applyBorder="1" applyAlignment="1" applyProtection="1">
      <alignment horizontal="center"/>
      <protection hidden="1"/>
    </xf>
    <xf numFmtId="169" fontId="71" fillId="52" borderId="56" xfId="0" applyNumberFormat="1" applyFont="1" applyFill="1" applyBorder="1" applyAlignment="1" applyProtection="1">
      <alignment horizontal="left" vertical="center"/>
      <protection hidden="1"/>
    </xf>
    <xf numFmtId="169" fontId="71" fillId="52" borderId="96" xfId="0" applyNumberFormat="1" applyFont="1" applyFill="1" applyBorder="1" applyAlignment="1" applyProtection="1">
      <alignment horizontal="left" vertical="center"/>
      <protection hidden="1"/>
    </xf>
    <xf numFmtId="169" fontId="71" fillId="52" borderId="23" xfId="0" applyNumberFormat="1" applyFont="1" applyFill="1" applyBorder="1" applyAlignment="1" applyProtection="1">
      <alignment horizontal="left" vertical="center"/>
      <protection hidden="1"/>
    </xf>
    <xf numFmtId="0" fontId="57" fillId="0" borderId="65" xfId="0" applyFont="1" applyBorder="1" applyAlignment="1" applyProtection="1">
      <alignment horizontal="left" vertical="center"/>
      <protection hidden="1"/>
    </xf>
    <xf numFmtId="1" fontId="71" fillId="52" borderId="77" xfId="0" applyNumberFormat="1" applyFont="1" applyFill="1" applyBorder="1" applyAlignment="1" applyProtection="1">
      <alignment horizontal="center"/>
      <protection hidden="1"/>
    </xf>
    <xf numFmtId="169" fontId="71" fillId="52" borderId="38" xfId="0" applyNumberFormat="1" applyFont="1" applyFill="1" applyBorder="1" applyAlignment="1" applyProtection="1">
      <alignment horizontal="left" vertical="center"/>
      <protection hidden="1"/>
    </xf>
    <xf numFmtId="176" fontId="71" fillId="52" borderId="28" xfId="0" applyNumberFormat="1" applyFont="1" applyFill="1" applyBorder="1" applyAlignment="1" applyProtection="1">
      <alignment horizontal="right" vertical="center"/>
      <protection hidden="1"/>
    </xf>
    <xf numFmtId="176" fontId="71" fillId="52" borderId="29" xfId="0" applyNumberFormat="1" applyFont="1" applyFill="1" applyBorder="1" applyAlignment="1" applyProtection="1">
      <alignment horizontal="right" vertical="center"/>
      <protection hidden="1"/>
    </xf>
    <xf numFmtId="1" fontId="59" fillId="44" borderId="30" xfId="174" applyNumberFormat="1" applyFont="1" applyBorder="1" applyAlignment="1" applyProtection="1">
      <alignment horizontal="center" vertical="center"/>
      <protection hidden="1"/>
    </xf>
    <xf numFmtId="0" fontId="59" fillId="52" borderId="31" xfId="1060" applyNumberFormat="1" applyFont="1" applyFill="1" applyBorder="1" applyAlignment="1" applyProtection="1">
      <alignment horizontal="left" vertical="center"/>
      <protection hidden="1"/>
    </xf>
    <xf numFmtId="0" fontId="59" fillId="52" borderId="16" xfId="0" applyFont="1" applyFill="1" applyBorder="1" applyAlignment="1" applyProtection="1">
      <alignment horizontal="center" vertical="center"/>
      <protection hidden="1"/>
    </xf>
    <xf numFmtId="176" fontId="71" fillId="53" borderId="60" xfId="0" applyNumberFormat="1" applyFont="1" applyFill="1" applyBorder="1" applyAlignment="1" applyProtection="1">
      <alignment horizontal="right" vertical="center"/>
      <protection locked="0"/>
    </xf>
    <xf numFmtId="0" fontId="59" fillId="44" borderId="28" xfId="174" applyFont="1" applyBorder="1" applyAlignment="1" applyProtection="1">
      <alignment horizontal="center" vertical="center"/>
      <protection hidden="1"/>
    </xf>
    <xf numFmtId="14" fontId="71" fillId="53" borderId="56" xfId="174" applyNumberFormat="1" applyFont="1" applyFill="1" applyBorder="1" applyAlignment="1" applyProtection="1">
      <alignment horizontal="right" vertical="center"/>
      <protection locked="0"/>
    </xf>
    <xf numFmtId="0" fontId="59" fillId="52" borderId="45" xfId="0" applyFont="1" applyFill="1" applyBorder="1" applyAlignment="1" applyProtection="1">
      <alignment horizontal="center" vertical="center"/>
      <protection hidden="1"/>
    </xf>
    <xf numFmtId="176" fontId="71" fillId="53" borderId="96" xfId="0" applyNumberFormat="1" applyFont="1" applyFill="1" applyBorder="1" applyAlignment="1" applyProtection="1">
      <alignment horizontal="right" vertical="center"/>
      <protection locked="0"/>
    </xf>
    <xf numFmtId="176" fontId="71" fillId="53" borderId="57" xfId="174" applyNumberFormat="1" applyFont="1" applyFill="1" applyBorder="1" applyAlignment="1" applyProtection="1">
      <alignment horizontal="right" vertical="center"/>
      <protection locked="0"/>
    </xf>
    <xf numFmtId="0" fontId="59" fillId="44" borderId="21" xfId="174" applyFont="1" applyBorder="1" applyAlignment="1" applyProtection="1">
      <alignment horizontal="center" vertical="center"/>
      <protection hidden="1"/>
    </xf>
    <xf numFmtId="0" fontId="59" fillId="44" borderId="22" xfId="174" applyFont="1" applyBorder="1" applyAlignment="1" applyProtection="1">
      <alignment horizontal="center" vertical="center"/>
      <protection hidden="1"/>
    </xf>
    <xf numFmtId="0" fontId="59" fillId="44" borderId="23" xfId="174" applyFont="1" applyBorder="1" applyAlignment="1" applyProtection="1">
      <alignment horizontal="center" vertical="center"/>
      <protection hidden="1"/>
    </xf>
    <xf numFmtId="0" fontId="59" fillId="44" borderId="21" xfId="174" applyFont="1" applyBorder="1" applyAlignment="1" applyProtection="1">
      <alignment horizontal="center" vertical="center" wrapText="1"/>
      <protection hidden="1"/>
    </xf>
    <xf numFmtId="0" fontId="59" fillId="44" borderId="22" xfId="174" applyFont="1" applyBorder="1" applyAlignment="1" applyProtection="1">
      <alignment horizontal="center" vertical="center" wrapText="1"/>
      <protection hidden="1"/>
    </xf>
    <xf numFmtId="0" fontId="59" fillId="44" borderId="23" xfId="174" applyFont="1" applyBorder="1" applyAlignment="1" applyProtection="1">
      <alignment horizontal="center" vertical="center" wrapText="1"/>
      <protection hidden="1"/>
    </xf>
    <xf numFmtId="49" fontId="71" fillId="53" borderId="21" xfId="0" applyNumberFormat="1" applyFont="1" applyFill="1" applyBorder="1" applyAlignment="1" applyProtection="1">
      <alignment horizontal="left"/>
      <protection locked="0"/>
    </xf>
    <xf numFmtId="49" fontId="71" fillId="53" borderId="22" xfId="0" applyNumberFormat="1" applyFont="1" applyFill="1" applyBorder="1" applyAlignment="1" applyProtection="1">
      <alignment horizontal="left"/>
      <protection locked="0"/>
    </xf>
    <xf numFmtId="49" fontId="71" fillId="53" borderId="23" xfId="0" applyNumberFormat="1" applyFont="1" applyFill="1" applyBorder="1" applyAlignment="1" applyProtection="1">
      <alignment horizontal="left"/>
      <protection locked="0"/>
    </xf>
    <xf numFmtId="166" fontId="71" fillId="53" borderId="21" xfId="0" applyNumberFormat="1" applyFont="1" applyFill="1" applyBorder="1" applyAlignment="1" applyProtection="1">
      <alignment horizontal="left"/>
      <protection locked="0"/>
    </xf>
    <xf numFmtId="166" fontId="71" fillId="53" borderId="22" xfId="0" applyNumberFormat="1" applyFont="1" applyFill="1" applyBorder="1" applyAlignment="1" applyProtection="1">
      <alignment horizontal="left"/>
      <protection locked="0"/>
    </xf>
    <xf numFmtId="166" fontId="71" fillId="53" borderId="23" xfId="0" applyNumberFormat="1" applyFont="1" applyFill="1" applyBorder="1" applyAlignment="1" applyProtection="1">
      <alignment horizontal="left"/>
      <protection locked="0"/>
    </xf>
    <xf numFmtId="0" fontId="59" fillId="44" borderId="36" xfId="174" applyFont="1" applyBorder="1" applyAlignment="1" applyProtection="1">
      <alignment horizontal="center" vertical="center"/>
      <protection hidden="1"/>
    </xf>
    <xf numFmtId="0" fontId="59" fillId="44" borderId="34" xfId="174" applyFont="1" applyBorder="1" applyAlignment="1" applyProtection="1">
      <alignment horizontal="center" vertical="center"/>
      <protection hidden="1"/>
    </xf>
    <xf numFmtId="0" fontId="59" fillId="44" borderId="35" xfId="174" applyFont="1" applyBorder="1" applyAlignment="1" applyProtection="1">
      <alignment horizontal="center" vertical="center"/>
      <protection hidden="1"/>
    </xf>
    <xf numFmtId="0" fontId="56" fillId="0" borderId="0" xfId="0" applyFont="1" applyAlignment="1" applyProtection="1">
      <alignment horizontal="left"/>
      <protection hidden="1"/>
    </xf>
    <xf numFmtId="14" fontId="71" fillId="53" borderId="21" xfId="0" applyNumberFormat="1" applyFont="1" applyFill="1" applyBorder="1" applyAlignment="1" applyProtection="1">
      <alignment horizontal="left"/>
      <protection locked="0"/>
    </xf>
    <xf numFmtId="14" fontId="71" fillId="53" borderId="22" xfId="0" applyNumberFormat="1" applyFont="1" applyFill="1" applyBorder="1" applyAlignment="1" applyProtection="1">
      <alignment horizontal="left"/>
      <protection locked="0"/>
    </xf>
    <xf numFmtId="14" fontId="71" fillId="53" borderId="23" xfId="0" applyNumberFormat="1" applyFont="1" applyFill="1" applyBorder="1" applyAlignment="1" applyProtection="1">
      <alignment horizontal="left"/>
      <protection locked="0"/>
    </xf>
    <xf numFmtId="0" fontId="71" fillId="52" borderId="32" xfId="0" applyFont="1" applyFill="1" applyBorder="1" applyAlignment="1" applyProtection="1">
      <alignment horizontal="left" vertical="center"/>
      <protection hidden="1"/>
    </xf>
    <xf numFmtId="0" fontId="71" fillId="52" borderId="33" xfId="0" applyFont="1" applyFill="1" applyBorder="1" applyAlignment="1" applyProtection="1">
      <alignment horizontal="left" vertical="center"/>
      <protection hidden="1"/>
    </xf>
    <xf numFmtId="0" fontId="71" fillId="52" borderId="20" xfId="0" applyFont="1" applyFill="1" applyBorder="1" applyAlignment="1" applyProtection="1">
      <alignment horizontal="left" vertical="center"/>
      <protection hidden="1"/>
    </xf>
    <xf numFmtId="0" fontId="71" fillId="52" borderId="31" xfId="0" applyFont="1" applyFill="1" applyBorder="1" applyAlignment="1" applyProtection="1">
      <alignment horizontal="left" vertical="center"/>
      <protection hidden="1"/>
    </xf>
    <xf numFmtId="0" fontId="66" fillId="55" borderId="36" xfId="0" applyFont="1" applyFill="1" applyBorder="1" applyAlignment="1" applyProtection="1">
      <alignment horizontal="center" vertical="center"/>
      <protection hidden="1"/>
    </xf>
    <xf numFmtId="0" fontId="66" fillId="55" borderId="34" xfId="0" applyFont="1" applyFill="1" applyBorder="1" applyAlignment="1" applyProtection="1">
      <alignment horizontal="center" vertical="center"/>
      <protection hidden="1"/>
    </xf>
    <xf numFmtId="0" fontId="66" fillId="55" borderId="35" xfId="0" applyFont="1" applyFill="1" applyBorder="1" applyAlignment="1" applyProtection="1">
      <alignment horizontal="center" vertical="center"/>
      <protection hidden="1"/>
    </xf>
    <xf numFmtId="0" fontId="71" fillId="52" borderId="15" xfId="0" applyFont="1" applyFill="1" applyBorder="1" applyAlignment="1" applyProtection="1">
      <alignment horizontal="left" vertical="center"/>
      <protection hidden="1"/>
    </xf>
    <xf numFmtId="0" fontId="71" fillId="52" borderId="29" xfId="0" applyFont="1" applyFill="1" applyBorder="1" applyAlignment="1" applyProtection="1">
      <alignment horizontal="left" vertical="center"/>
      <protection hidden="1"/>
    </xf>
    <xf numFmtId="49" fontId="58" fillId="70" borderId="67" xfId="364" applyNumberFormat="1" applyFill="1" applyBorder="1" applyAlignment="1" applyProtection="1">
      <alignment vertical="center" wrapText="1"/>
      <protection hidden="1"/>
    </xf>
    <xf numFmtId="49" fontId="58" fillId="70" borderId="49" xfId="364" applyNumberFormat="1" applyFill="1" applyBorder="1" applyAlignment="1" applyProtection="1">
      <alignment vertical="center" wrapText="1"/>
      <protection hidden="1"/>
    </xf>
    <xf numFmtId="0" fontId="71" fillId="53" borderId="44" xfId="0" applyFont="1" applyFill="1" applyBorder="1" applyAlignment="1" applyProtection="1">
      <alignment horizontal="left" vertical="center" wrapText="1"/>
      <protection locked="0"/>
    </xf>
    <xf numFmtId="0" fontId="71" fillId="53" borderId="67" xfId="0" applyFont="1" applyFill="1" applyBorder="1" applyAlignment="1" applyProtection="1">
      <alignment horizontal="left" vertical="center" wrapText="1"/>
      <protection locked="0"/>
    </xf>
    <xf numFmtId="49" fontId="59" fillId="70" borderId="16" xfId="364" applyNumberFormat="1" applyFont="1" applyFill="1" applyBorder="1" applyAlignment="1" applyProtection="1">
      <alignment horizontal="left" vertical="center" wrapText="1"/>
      <protection hidden="1"/>
    </xf>
    <xf numFmtId="49" fontId="59" fillId="70" borderId="46" xfId="364" applyNumberFormat="1" applyFont="1" applyFill="1" applyBorder="1" applyAlignment="1" applyProtection="1">
      <alignment horizontal="left" vertical="center" wrapText="1"/>
      <protection hidden="1"/>
    </xf>
    <xf numFmtId="49" fontId="59" fillId="70" borderId="72" xfId="364" applyNumberFormat="1" applyFont="1" applyFill="1" applyBorder="1" applyAlignment="1" applyProtection="1">
      <alignment horizontal="left" vertical="center" wrapText="1"/>
      <protection hidden="1"/>
    </xf>
    <xf numFmtId="0" fontId="71" fillId="53" borderId="46" xfId="0" applyFont="1" applyFill="1" applyBorder="1" applyAlignment="1" applyProtection="1">
      <alignment horizontal="left" vertical="center" wrapText="1"/>
      <protection locked="0"/>
    </xf>
    <xf numFmtId="49" fontId="59" fillId="52" borderId="52" xfId="174" applyNumberFormat="1" applyFont="1" applyFill="1" applyBorder="1" applyAlignment="1" applyProtection="1">
      <alignment horizontal="center" vertical="center"/>
      <protection hidden="1"/>
    </xf>
    <xf numFmtId="49" fontId="59" fillId="52" borderId="30" xfId="174" applyNumberFormat="1" applyFont="1" applyFill="1" applyBorder="1" applyAlignment="1" applyProtection="1">
      <alignment horizontal="center" vertical="center"/>
      <protection hidden="1"/>
    </xf>
    <xf numFmtId="49" fontId="59" fillId="70" borderId="52" xfId="174" applyNumberFormat="1" applyFont="1" applyFill="1" applyBorder="1" applyAlignment="1" applyProtection="1">
      <alignment horizontal="center" vertical="center"/>
      <protection hidden="1"/>
    </xf>
    <xf numFmtId="49" fontId="59" fillId="70" borderId="32" xfId="174" applyNumberFormat="1" applyFont="1" applyFill="1" applyBorder="1" applyAlignment="1" applyProtection="1">
      <alignment horizontal="center" vertical="center"/>
      <protection hidden="1"/>
    </xf>
    <xf numFmtId="0" fontId="66" fillId="55" borderId="21" xfId="0" applyFont="1" applyFill="1" applyBorder="1" applyAlignment="1" applyProtection="1">
      <alignment horizontal="center" vertical="center"/>
      <protection hidden="1"/>
    </xf>
    <xf numFmtId="0" fontId="66" fillId="55" borderId="23" xfId="0" applyFont="1" applyFill="1" applyBorder="1" applyAlignment="1" applyProtection="1">
      <alignment horizontal="center" vertical="center"/>
      <protection hidden="1"/>
    </xf>
    <xf numFmtId="49" fontId="59" fillId="70" borderId="30" xfId="174" applyNumberFormat="1" applyFont="1" applyFill="1" applyBorder="1" applyAlignment="1" applyProtection="1">
      <alignment horizontal="center" vertical="center"/>
      <protection hidden="1"/>
    </xf>
    <xf numFmtId="49" fontId="59" fillId="70" borderId="20" xfId="174" applyNumberFormat="1" applyFont="1" applyFill="1" applyBorder="1" applyAlignment="1" applyProtection="1">
      <alignment horizontal="center" vertical="center"/>
      <protection hidden="1"/>
    </xf>
    <xf numFmtId="0" fontId="58" fillId="44" borderId="52" xfId="364" applyFill="1" applyBorder="1" applyAlignment="1" applyProtection="1">
      <alignment horizontal="center" vertical="center" wrapText="1"/>
      <protection hidden="1"/>
    </xf>
    <xf numFmtId="0" fontId="58" fillId="44" borderId="32" xfId="364" applyFill="1" applyBorder="1" applyAlignment="1" applyProtection="1">
      <alignment horizontal="center" vertical="center" wrapText="1"/>
      <protection hidden="1"/>
    </xf>
    <xf numFmtId="0" fontId="66" fillId="55" borderId="42" xfId="0" applyFont="1" applyFill="1" applyBorder="1" applyAlignment="1" applyProtection="1">
      <alignment horizontal="center" vertical="center"/>
      <protection hidden="1"/>
    </xf>
    <xf numFmtId="0" fontId="66" fillId="55" borderId="54" xfId="0" applyFont="1" applyFill="1" applyBorder="1" applyAlignment="1" applyProtection="1">
      <alignment horizontal="center" vertical="center"/>
      <protection hidden="1"/>
    </xf>
    <xf numFmtId="49" fontId="59" fillId="44" borderId="36" xfId="174" applyNumberFormat="1" applyFont="1" applyBorder="1" applyAlignment="1" applyProtection="1">
      <alignment horizontal="center" vertical="center"/>
      <protection hidden="1"/>
    </xf>
    <xf numFmtId="0" fontId="98" fillId="0" borderId="41" xfId="0" applyFont="1" applyBorder="1" applyAlignment="1" applyProtection="1">
      <alignment horizontal="center" vertical="center"/>
      <protection hidden="1"/>
    </xf>
    <xf numFmtId="0" fontId="98" fillId="0" borderId="42" xfId="0" applyFont="1" applyBorder="1" applyAlignment="1" applyProtection="1">
      <alignment horizontal="center" vertical="center"/>
      <protection hidden="1"/>
    </xf>
    <xf numFmtId="49" fontId="59" fillId="44" borderId="77" xfId="174" applyNumberFormat="1" applyFont="1" applyBorder="1" applyAlignment="1" applyProtection="1">
      <alignment horizontal="center" vertical="center" wrapText="1"/>
      <protection hidden="1"/>
    </xf>
    <xf numFmtId="0" fontId="98" fillId="0" borderId="24" xfId="0" applyFont="1" applyBorder="1" applyAlignment="1" applyProtection="1">
      <alignment horizontal="center" vertical="center" wrapText="1"/>
      <protection hidden="1"/>
    </xf>
    <xf numFmtId="0" fontId="98" fillId="0" borderId="38" xfId="0" applyFont="1" applyBorder="1" applyAlignment="1" applyProtection="1">
      <alignment horizontal="center" vertical="center" wrapText="1"/>
      <protection hidden="1"/>
    </xf>
    <xf numFmtId="49" fontId="59" fillId="44" borderId="34" xfId="174" applyNumberFormat="1" applyFont="1" applyBorder="1" applyAlignment="1" applyProtection="1">
      <alignment horizontal="center" vertical="center"/>
      <protection hidden="1"/>
    </xf>
    <xf numFmtId="49" fontId="59" fillId="44" borderId="0" xfId="174" applyNumberFormat="1" applyFont="1" applyBorder="1" applyAlignment="1" applyProtection="1">
      <alignment horizontal="center" vertical="center"/>
      <protection hidden="1"/>
    </xf>
    <xf numFmtId="0" fontId="98" fillId="0" borderId="55" xfId="0" applyFont="1" applyBorder="1" applyAlignment="1" applyProtection="1">
      <alignment horizontal="center" vertical="center"/>
      <protection hidden="1"/>
    </xf>
    <xf numFmtId="49" fontId="59" fillId="70" borderId="27" xfId="174" applyNumberFormat="1" applyFont="1" applyFill="1" applyBorder="1" applyAlignment="1" applyProtection="1">
      <alignment horizontal="center" vertical="center"/>
      <protection hidden="1"/>
    </xf>
    <xf numFmtId="0" fontId="98" fillId="0" borderId="20" xfId="0" applyFont="1" applyBorder="1" applyAlignment="1" applyProtection="1">
      <alignment horizontal="center" vertical="center"/>
      <protection hidden="1"/>
    </xf>
    <xf numFmtId="0" fontId="98" fillId="0" borderId="25" xfId="0" applyFont="1" applyBorder="1" applyAlignment="1" applyProtection="1">
      <alignment horizontal="center" vertical="center"/>
      <protection hidden="1"/>
    </xf>
    <xf numFmtId="49" fontId="59" fillId="70" borderId="20" xfId="174" applyNumberFormat="1" applyFont="1" applyFill="1" applyBorder="1" applyAlignment="1" applyProtection="1">
      <alignment horizontal="left" vertical="center" wrapText="1"/>
      <protection hidden="1"/>
    </xf>
    <xf numFmtId="49" fontId="59" fillId="70" borderId="31" xfId="174" applyNumberFormat="1" applyFont="1" applyFill="1" applyBorder="1" applyAlignment="1" applyProtection="1">
      <alignment horizontal="left" vertical="center" wrapText="1"/>
      <protection hidden="1"/>
    </xf>
    <xf numFmtId="0" fontId="71" fillId="53" borderId="26" xfId="0" applyFont="1" applyFill="1" applyBorder="1" applyAlignment="1" applyProtection="1">
      <alignment horizontal="left" vertical="center" wrapText="1"/>
      <protection locked="0"/>
    </xf>
    <xf numFmtId="0" fontId="71" fillId="53" borderId="20" xfId="0" applyFont="1" applyFill="1" applyBorder="1" applyAlignment="1" applyProtection="1">
      <alignment horizontal="left" vertical="center" wrapText="1"/>
      <protection locked="0"/>
    </xf>
    <xf numFmtId="49" fontId="59" fillId="70" borderId="67" xfId="174" applyNumberFormat="1" applyFont="1" applyFill="1" applyBorder="1" applyAlignment="1" applyProtection="1">
      <alignment horizontal="left" vertical="center" wrapText="1"/>
      <protection hidden="1"/>
    </xf>
    <xf numFmtId="49" fontId="59" fillId="70" borderId="49" xfId="174" applyNumberFormat="1" applyFont="1" applyFill="1" applyBorder="1" applyAlignment="1" applyProtection="1">
      <alignment horizontal="left" vertical="center" wrapText="1"/>
      <protection hidden="1"/>
    </xf>
    <xf numFmtId="49" fontId="59" fillId="52" borderId="33" xfId="174" applyNumberFormat="1" applyFont="1" applyFill="1" applyBorder="1" applyAlignment="1" applyProtection="1">
      <alignment horizontal="center" vertical="center"/>
      <protection hidden="1"/>
    </xf>
    <xf numFmtId="49" fontId="59" fillId="52" borderId="43" xfId="174" applyNumberFormat="1" applyFont="1" applyFill="1" applyBorder="1" applyAlignment="1" applyProtection="1">
      <alignment horizontal="center" vertical="center"/>
      <protection hidden="1"/>
    </xf>
    <xf numFmtId="49" fontId="59" fillId="52" borderId="21" xfId="0" applyNumberFormat="1" applyFont="1" applyFill="1" applyBorder="1" applyAlignment="1" applyProtection="1">
      <alignment horizontal="center" vertical="center" wrapText="1"/>
      <protection hidden="1"/>
    </xf>
    <xf numFmtId="0" fontId="98" fillId="52" borderId="22" xfId="0" applyFont="1" applyFill="1" applyBorder="1" applyAlignment="1" applyProtection="1">
      <alignment horizontal="center"/>
      <protection hidden="1"/>
    </xf>
    <xf numFmtId="0" fontId="98" fillId="52" borderId="23" xfId="0" applyFont="1" applyFill="1" applyBorder="1" applyAlignment="1" applyProtection="1">
      <alignment horizontal="center"/>
      <protection hidden="1"/>
    </xf>
    <xf numFmtId="49" fontId="59" fillId="44" borderId="21" xfId="174" applyNumberFormat="1" applyFont="1" applyBorder="1" applyAlignment="1" applyProtection="1">
      <alignment horizontal="center" vertical="center"/>
      <protection hidden="1"/>
    </xf>
    <xf numFmtId="49" fontId="59" fillId="44" borderId="22" xfId="174" applyNumberFormat="1" applyFont="1" applyBorder="1" applyAlignment="1" applyProtection="1">
      <alignment horizontal="center" vertical="center"/>
      <protection hidden="1"/>
    </xf>
    <xf numFmtId="49" fontId="59" fillId="44" borderId="23" xfId="174" applyNumberFormat="1" applyFont="1" applyBorder="1" applyAlignment="1" applyProtection="1">
      <alignment horizontal="center" vertical="center"/>
      <protection hidden="1"/>
    </xf>
    <xf numFmtId="0" fontId="59" fillId="52" borderId="32" xfId="0" applyFont="1" applyFill="1" applyBorder="1" applyAlignment="1" applyProtection="1">
      <alignment horizontal="center" vertical="center"/>
      <protection hidden="1"/>
    </xf>
    <xf numFmtId="0" fontId="59" fillId="52" borderId="20" xfId="0" applyFont="1" applyFill="1" applyBorder="1" applyAlignment="1" applyProtection="1">
      <alignment horizontal="center" vertical="center"/>
      <protection hidden="1"/>
    </xf>
    <xf numFmtId="49" fontId="59" fillId="44" borderId="63" xfId="174" applyNumberFormat="1" applyFont="1" applyBorder="1" applyAlignment="1" applyProtection="1">
      <alignment horizontal="center" vertical="center"/>
      <protection hidden="1"/>
    </xf>
    <xf numFmtId="49" fontId="59" fillId="44" borderId="32" xfId="174" applyNumberFormat="1" applyFont="1" applyBorder="1" applyAlignment="1" applyProtection="1">
      <alignment horizontal="center" vertical="center"/>
      <protection hidden="1"/>
    </xf>
    <xf numFmtId="49" fontId="59" fillId="44" borderId="33" xfId="174" applyNumberFormat="1" applyFont="1" applyBorder="1" applyAlignment="1" applyProtection="1">
      <alignment horizontal="center" vertical="center"/>
      <protection hidden="1"/>
    </xf>
    <xf numFmtId="49" fontId="59" fillId="44" borderId="33" xfId="174" applyNumberFormat="1" applyFont="1" applyBorder="1" applyAlignment="1" applyProtection="1">
      <alignment horizontal="center" vertical="center" wrapText="1"/>
      <protection hidden="1"/>
    </xf>
    <xf numFmtId="0" fontId="98" fillId="0" borderId="29" xfId="0" applyFont="1" applyBorder="1" applyAlignment="1" applyProtection="1">
      <alignment horizontal="center" vertical="center"/>
      <protection hidden="1"/>
    </xf>
    <xf numFmtId="0" fontId="58" fillId="52" borderId="21" xfId="364" applyFill="1" applyBorder="1" applyAlignment="1" applyProtection="1">
      <alignment horizontal="center" vertical="center"/>
      <protection hidden="1"/>
    </xf>
    <xf numFmtId="0" fontId="58" fillId="52" borderId="22" xfId="364" applyFill="1" applyBorder="1" applyAlignment="1" applyProtection="1">
      <alignment horizontal="center" vertical="center"/>
      <protection hidden="1"/>
    </xf>
    <xf numFmtId="0" fontId="0" fillId="0" borderId="23" xfId="0" applyBorder="1" applyAlignment="1" applyProtection="1">
      <alignment horizontal="center" vertical="center"/>
      <protection hidden="1"/>
    </xf>
    <xf numFmtId="0" fontId="59" fillId="52" borderId="33" xfId="174" applyFont="1" applyFill="1" applyBorder="1" applyAlignment="1" applyProtection="1">
      <alignment horizontal="center" vertical="center" wrapText="1"/>
      <protection hidden="1"/>
    </xf>
    <xf numFmtId="0" fontId="59" fillId="52" borderId="31" xfId="174" applyFont="1" applyFill="1" applyBorder="1" applyAlignment="1" applyProtection="1">
      <alignment horizontal="center" vertical="center" wrapText="1"/>
      <protection hidden="1"/>
    </xf>
    <xf numFmtId="0" fontId="66" fillId="55" borderId="22" xfId="0" applyFont="1" applyFill="1" applyBorder="1" applyAlignment="1" applyProtection="1">
      <alignment horizontal="center" vertical="center"/>
      <protection hidden="1"/>
    </xf>
    <xf numFmtId="0" fontId="59" fillId="52" borderId="52" xfId="174" applyFont="1" applyFill="1" applyBorder="1" applyAlignment="1" applyProtection="1">
      <alignment horizontal="center" vertical="center" wrapText="1"/>
      <protection hidden="1"/>
    </xf>
    <xf numFmtId="0" fontId="59" fillId="52" borderId="30" xfId="174" applyFont="1" applyFill="1" applyBorder="1" applyAlignment="1" applyProtection="1">
      <alignment horizontal="center" vertical="center" wrapText="1"/>
      <protection hidden="1"/>
    </xf>
    <xf numFmtId="0" fontId="59" fillId="52" borderId="58" xfId="0" applyFont="1" applyFill="1" applyBorder="1" applyAlignment="1" applyProtection="1">
      <alignment horizontal="center" vertical="center"/>
      <protection hidden="1"/>
    </xf>
    <xf numFmtId="0" fontId="98" fillId="0" borderId="74" xfId="0" applyFont="1" applyBorder="1" applyAlignment="1" applyProtection="1">
      <alignment horizontal="center" vertical="center"/>
      <protection hidden="1"/>
    </xf>
    <xf numFmtId="0" fontId="98" fillId="0" borderId="85" xfId="0" applyFont="1" applyBorder="1" applyAlignment="1" applyProtection="1">
      <alignment horizontal="center" vertical="center"/>
      <protection hidden="1"/>
    </xf>
    <xf numFmtId="0" fontId="59" fillId="52" borderId="52" xfId="0" applyFont="1" applyFill="1" applyBorder="1" applyAlignment="1" applyProtection="1">
      <alignment horizontal="center" vertical="center"/>
      <protection hidden="1"/>
    </xf>
    <xf numFmtId="0" fontId="98" fillId="0" borderId="32" xfId="0" applyFont="1" applyBorder="1" applyAlignment="1" applyProtection="1">
      <alignment horizontal="center" vertical="center"/>
      <protection hidden="1"/>
    </xf>
    <xf numFmtId="0" fontId="98" fillId="0" borderId="33" xfId="0" applyFont="1" applyBorder="1" applyAlignment="1" applyProtection="1">
      <alignment horizontal="center" vertical="center"/>
      <protection hidden="1"/>
    </xf>
    <xf numFmtId="0" fontId="0" fillId="0" borderId="55" xfId="0" applyBorder="1" applyAlignment="1" applyProtection="1">
      <alignment horizontal="left"/>
      <protection hidden="1"/>
    </xf>
    <xf numFmtId="0" fontId="0" fillId="0" borderId="0" xfId="0" applyAlignment="1" applyProtection="1">
      <alignment horizontal="left"/>
      <protection hidden="1"/>
    </xf>
    <xf numFmtId="0" fontId="59" fillId="44" borderId="63" xfId="174" applyFont="1" applyBorder="1" applyAlignment="1" applyProtection="1">
      <alignment horizontal="center" vertical="center" wrapText="1"/>
      <protection hidden="1"/>
    </xf>
    <xf numFmtId="0" fontId="59" fillId="44" borderId="32" xfId="174" applyFont="1" applyBorder="1" applyAlignment="1" applyProtection="1">
      <alignment horizontal="center" vertical="center" wrapText="1"/>
      <protection hidden="1"/>
    </xf>
    <xf numFmtId="0" fontId="59" fillId="44" borderId="27" xfId="174" applyFont="1" applyBorder="1" applyAlignment="1" applyProtection="1">
      <alignment horizontal="center" vertical="center" wrapText="1"/>
      <protection hidden="1"/>
    </xf>
    <xf numFmtId="0" fontId="59" fillId="44" borderId="45" xfId="174" applyFont="1" applyBorder="1" applyAlignment="1" applyProtection="1">
      <alignment horizontal="center" vertical="center" wrapText="1"/>
      <protection hidden="1"/>
    </xf>
    <xf numFmtId="0" fontId="59" fillId="44" borderId="15" xfId="174" applyFont="1" applyBorder="1" applyAlignment="1" applyProtection="1">
      <alignment horizontal="center" vertical="center" wrapText="1"/>
      <protection hidden="1"/>
    </xf>
    <xf numFmtId="0" fontId="59" fillId="44" borderId="16" xfId="174" applyFont="1" applyBorder="1" applyAlignment="1" applyProtection="1">
      <alignment horizontal="center" vertical="center" wrapText="1"/>
      <protection hidden="1"/>
    </xf>
    <xf numFmtId="0" fontId="59" fillId="44" borderId="52" xfId="174" applyFont="1" applyBorder="1" applyAlignment="1" applyProtection="1">
      <alignment horizontal="center" vertical="center" wrapText="1"/>
      <protection hidden="1"/>
    </xf>
    <xf numFmtId="0" fontId="59" fillId="44" borderId="28" xfId="174" applyFont="1" applyBorder="1" applyAlignment="1" applyProtection="1">
      <alignment horizontal="center" vertical="center" wrapText="1"/>
      <protection hidden="1"/>
    </xf>
    <xf numFmtId="0" fontId="98" fillId="0" borderId="28" xfId="0" applyFont="1" applyBorder="1" applyAlignment="1" applyProtection="1">
      <alignment horizontal="center" vertical="center"/>
      <protection hidden="1"/>
    </xf>
    <xf numFmtId="0" fontId="59" fillId="44" borderId="29" xfId="174" applyFont="1" applyBorder="1" applyAlignment="1" applyProtection="1">
      <alignment horizontal="center" vertical="center" wrapText="1"/>
      <protection hidden="1"/>
    </xf>
    <xf numFmtId="0" fontId="59" fillId="52" borderId="30" xfId="0" applyFont="1" applyFill="1" applyBorder="1" applyAlignment="1" applyProtection="1">
      <alignment horizontal="center" vertical="center"/>
      <protection hidden="1"/>
    </xf>
    <xf numFmtId="0" fontId="59" fillId="52" borderId="33" xfId="0" applyFont="1" applyFill="1" applyBorder="1" applyAlignment="1" applyProtection="1">
      <alignment horizontal="center" vertical="center"/>
      <protection hidden="1"/>
    </xf>
    <xf numFmtId="0" fontId="59" fillId="52" borderId="31" xfId="0" applyFont="1" applyFill="1" applyBorder="1" applyAlignment="1" applyProtection="1">
      <alignment horizontal="center" vertical="center"/>
      <protection hidden="1"/>
    </xf>
    <xf numFmtId="0" fontId="59" fillId="52" borderId="36" xfId="0" applyFont="1" applyFill="1" applyBorder="1" applyAlignment="1" applyProtection="1">
      <alignment horizontal="center" vertical="center"/>
      <protection hidden="1"/>
    </xf>
    <xf numFmtId="0" fontId="98" fillId="52" borderId="34" xfId="0" applyFont="1" applyFill="1" applyBorder="1" applyAlignment="1" applyProtection="1">
      <alignment horizontal="center" vertical="center"/>
      <protection hidden="1"/>
    </xf>
    <xf numFmtId="0" fontId="98" fillId="52" borderId="41" xfId="0" applyFont="1" applyFill="1" applyBorder="1" applyAlignment="1" applyProtection="1">
      <alignment horizontal="center" vertical="center"/>
      <protection hidden="1"/>
    </xf>
    <xf numFmtId="0" fontId="98" fillId="52" borderId="0" xfId="0" applyFont="1" applyFill="1" applyAlignment="1" applyProtection="1">
      <alignment horizontal="center" vertical="center"/>
      <protection hidden="1"/>
    </xf>
    <xf numFmtId="0" fontId="98" fillId="52" borderId="42" xfId="0" applyFont="1" applyFill="1" applyBorder="1" applyAlignment="1" applyProtection="1">
      <alignment horizontal="center" vertical="center"/>
      <protection hidden="1"/>
    </xf>
    <xf numFmtId="0" fontId="98" fillId="52" borderId="55" xfId="0" applyFont="1" applyFill="1" applyBorder="1" applyAlignment="1" applyProtection="1">
      <alignment horizontal="center" vertical="center"/>
      <protection hidden="1"/>
    </xf>
    <xf numFmtId="49" fontId="59" fillId="44" borderId="52" xfId="174" applyNumberFormat="1" applyFont="1" applyBorder="1" applyAlignment="1" applyProtection="1">
      <alignment horizontal="center" vertical="center" wrapText="1"/>
      <protection hidden="1"/>
    </xf>
    <xf numFmtId="49" fontId="58" fillId="44" borderId="32" xfId="364" applyNumberFormat="1" applyFill="1" applyBorder="1" applyAlignment="1" applyProtection="1">
      <alignment horizontal="center" vertical="center" wrapText="1"/>
      <protection hidden="1"/>
    </xf>
    <xf numFmtId="0" fontId="58" fillId="0" borderId="15" xfId="364" applyBorder="1" applyAlignment="1" applyProtection="1">
      <alignment horizontal="center" vertical="center"/>
      <protection hidden="1"/>
    </xf>
    <xf numFmtId="49" fontId="59" fillId="44" borderId="32" xfId="174" applyNumberFormat="1" applyFont="1" applyBorder="1" applyAlignment="1" applyProtection="1">
      <alignment horizontal="center" vertical="center" wrapText="1"/>
      <protection hidden="1"/>
    </xf>
    <xf numFmtId="0" fontId="98" fillId="0" borderId="15" xfId="0" applyFont="1" applyBorder="1" applyAlignment="1" applyProtection="1">
      <alignment horizontal="center" vertical="center"/>
      <protection hidden="1"/>
    </xf>
    <xf numFmtId="0" fontId="58" fillId="52" borderId="23" xfId="364" applyFill="1" applyBorder="1" applyAlignment="1" applyProtection="1">
      <alignment horizontal="center" vertical="center"/>
      <protection hidden="1"/>
    </xf>
    <xf numFmtId="0" fontId="57" fillId="0" borderId="34" xfId="0" applyFont="1" applyBorder="1" applyAlignment="1" applyProtection="1">
      <alignment horizontal="center" vertical="center" wrapText="1"/>
      <protection hidden="1"/>
    </xf>
    <xf numFmtId="0" fontId="56" fillId="0" borderId="34" xfId="0" applyFont="1" applyBorder="1" applyProtection="1">
      <protection hidden="1"/>
    </xf>
    <xf numFmtId="0" fontId="71" fillId="0" borderId="74" xfId="0" applyFont="1" applyBorder="1" applyAlignment="1" applyProtection="1">
      <alignment horizontal="center" vertical="center"/>
      <protection hidden="1"/>
    </xf>
    <xf numFmtId="0" fontId="71" fillId="0" borderId="85" xfId="0" applyFont="1" applyBorder="1" applyAlignment="1" applyProtection="1">
      <alignment horizontal="center" vertical="center"/>
      <protection hidden="1"/>
    </xf>
    <xf numFmtId="0" fontId="71" fillId="0" borderId="32" xfId="0" applyFont="1" applyBorder="1" applyAlignment="1" applyProtection="1">
      <alignment horizontal="center" vertical="center"/>
      <protection hidden="1"/>
    </xf>
    <xf numFmtId="0" fontId="71" fillId="0" borderId="33" xfId="0" applyFont="1" applyBorder="1" applyAlignment="1" applyProtection="1">
      <alignment horizontal="center" vertical="center"/>
      <protection hidden="1"/>
    </xf>
    <xf numFmtId="0" fontId="59" fillId="52" borderId="80" xfId="174" applyFont="1" applyFill="1" applyBorder="1" applyAlignment="1" applyProtection="1">
      <alignment horizontal="center" vertical="center" wrapText="1"/>
      <protection hidden="1"/>
    </xf>
    <xf numFmtId="0" fontId="71" fillId="0" borderId="39" xfId="0" applyFont="1" applyBorder="1" applyAlignment="1" applyProtection="1">
      <alignment horizontal="center" vertical="center" wrapText="1"/>
      <protection hidden="1"/>
    </xf>
    <xf numFmtId="0" fontId="59" fillId="52" borderId="92" xfId="174" applyFont="1" applyFill="1" applyBorder="1" applyAlignment="1" applyProtection="1">
      <alignment horizontal="center" vertical="center" wrapText="1"/>
      <protection hidden="1"/>
    </xf>
    <xf numFmtId="0" fontId="71" fillId="0" borderId="93" xfId="0" applyFont="1" applyBorder="1" applyAlignment="1" applyProtection="1">
      <alignment horizontal="center" vertical="center" wrapText="1"/>
      <protection hidden="1"/>
    </xf>
    <xf numFmtId="0" fontId="56" fillId="0" borderId="22" xfId="0" applyFont="1" applyBorder="1" applyProtection="1">
      <protection hidden="1"/>
    </xf>
    <xf numFmtId="0" fontId="56" fillId="0" borderId="23" xfId="0" applyFont="1" applyBorder="1" applyProtection="1">
      <protection hidden="1"/>
    </xf>
    <xf numFmtId="0" fontId="66" fillId="55" borderId="21" xfId="0" applyFont="1" applyFill="1" applyBorder="1" applyAlignment="1" applyProtection="1">
      <alignment horizontal="center"/>
      <protection hidden="1"/>
    </xf>
    <xf numFmtId="0" fontId="66" fillId="55" borderId="23" xfId="0" applyFont="1" applyFill="1" applyBorder="1" applyAlignment="1" applyProtection="1">
      <alignment horizontal="center"/>
      <protection hidden="1"/>
    </xf>
    <xf numFmtId="49" fontId="59" fillId="44" borderId="41" xfId="174" applyNumberFormat="1" applyFont="1" applyBorder="1" applyAlignment="1" applyProtection="1">
      <alignment horizontal="center" vertical="center"/>
      <protection hidden="1"/>
    </xf>
    <xf numFmtId="49" fontId="59" fillId="44" borderId="42" xfId="174" applyNumberFormat="1" applyFont="1" applyBorder="1" applyAlignment="1" applyProtection="1">
      <alignment horizontal="center" vertical="center"/>
      <protection hidden="1"/>
    </xf>
    <xf numFmtId="49" fontId="59" fillId="44" borderId="55" xfId="174" applyNumberFormat="1" applyFont="1" applyBorder="1" applyAlignment="1" applyProtection="1">
      <alignment horizontal="center" vertical="center"/>
      <protection hidden="1"/>
    </xf>
    <xf numFmtId="49" fontId="59" fillId="44" borderId="28" xfId="174" applyNumberFormat="1" applyFont="1" applyBorder="1" applyAlignment="1" applyProtection="1">
      <alignment horizontal="center" vertical="center" wrapText="1"/>
      <protection hidden="1"/>
    </xf>
    <xf numFmtId="0" fontId="58" fillId="44" borderId="15" xfId="364" applyFill="1" applyBorder="1" applyAlignment="1" applyProtection="1">
      <alignment horizontal="center" vertical="center" wrapText="1"/>
      <protection hidden="1"/>
    </xf>
    <xf numFmtId="0" fontId="59" fillId="44" borderId="33" xfId="174" applyFont="1" applyBorder="1" applyAlignment="1" applyProtection="1">
      <alignment horizontal="center" vertical="center" wrapText="1"/>
      <protection hidden="1"/>
    </xf>
    <xf numFmtId="0" fontId="57" fillId="0" borderId="0" xfId="0" applyFont="1" applyAlignment="1" applyProtection="1">
      <alignment horizontal="center" vertical="center"/>
      <protection hidden="1"/>
    </xf>
    <xf numFmtId="0" fontId="71" fillId="0" borderId="20" xfId="0" applyFont="1" applyBorder="1" applyAlignment="1" applyProtection="1">
      <alignment horizontal="center" vertical="center"/>
      <protection hidden="1"/>
    </xf>
    <xf numFmtId="0" fontId="59" fillId="52" borderId="83" xfId="0" applyFont="1" applyFill="1" applyBorder="1" applyAlignment="1" applyProtection="1">
      <alignment horizontal="center" vertical="center"/>
      <protection hidden="1"/>
    </xf>
    <xf numFmtId="0" fontId="59" fillId="52" borderId="50" xfId="0" applyFont="1" applyFill="1" applyBorder="1" applyAlignment="1" applyProtection="1">
      <alignment horizontal="center" vertical="center"/>
      <protection hidden="1"/>
    </xf>
    <xf numFmtId="0" fontId="59" fillId="52" borderId="77" xfId="0" applyFont="1" applyFill="1" applyBorder="1" applyAlignment="1" applyProtection="1">
      <alignment horizontal="center" vertical="center"/>
      <protection hidden="1"/>
    </xf>
    <xf numFmtId="0" fontId="59" fillId="52" borderId="38" xfId="0" applyFont="1" applyFill="1" applyBorder="1" applyAlignment="1" applyProtection="1">
      <alignment horizontal="center" vertical="center"/>
      <protection hidden="1"/>
    </xf>
    <xf numFmtId="0" fontId="59" fillId="52" borderId="77" xfId="174" applyFont="1" applyFill="1" applyBorder="1" applyAlignment="1" applyProtection="1">
      <alignment horizontal="center" vertical="center" wrapText="1"/>
      <protection hidden="1"/>
    </xf>
    <xf numFmtId="0" fontId="59" fillId="52" borderId="38" xfId="174" applyFont="1" applyFill="1" applyBorder="1" applyAlignment="1" applyProtection="1">
      <alignment horizontal="center" vertical="center" wrapText="1"/>
      <protection hidden="1"/>
    </xf>
    <xf numFmtId="0" fontId="59" fillId="52" borderId="94" xfId="174" applyFont="1" applyFill="1" applyBorder="1" applyAlignment="1" applyProtection="1">
      <alignment horizontal="center" vertical="center" wrapText="1"/>
      <protection hidden="1"/>
    </xf>
    <xf numFmtId="0" fontId="59" fillId="52" borderId="69" xfId="174" applyFont="1" applyFill="1" applyBorder="1" applyAlignment="1" applyProtection="1">
      <alignment horizontal="center" vertical="center" wrapText="1"/>
      <protection hidden="1"/>
    </xf>
    <xf numFmtId="0" fontId="59" fillId="52" borderId="93" xfId="174" applyFont="1" applyFill="1" applyBorder="1" applyAlignment="1" applyProtection="1">
      <alignment horizontal="center" vertical="center" wrapText="1"/>
      <protection hidden="1"/>
    </xf>
    <xf numFmtId="49" fontId="59" fillId="44" borderId="80" xfId="174" applyNumberFormat="1" applyFont="1" applyBorder="1" applyAlignment="1" applyProtection="1">
      <alignment horizontal="center" vertical="center"/>
      <protection hidden="1"/>
    </xf>
    <xf numFmtId="49" fontId="59" fillId="44" borderId="39" xfId="174" applyNumberFormat="1" applyFont="1" applyBorder="1" applyAlignment="1" applyProtection="1">
      <alignment horizontal="center" vertical="center"/>
      <protection hidden="1"/>
    </xf>
    <xf numFmtId="0" fontId="66" fillId="55" borderId="64" xfId="0" applyFont="1" applyFill="1" applyBorder="1" applyAlignment="1" applyProtection="1">
      <alignment horizontal="center" vertical="center" wrapText="1"/>
      <protection hidden="1"/>
    </xf>
    <xf numFmtId="0" fontId="66" fillId="55" borderId="65" xfId="0" applyFont="1" applyFill="1" applyBorder="1" applyAlignment="1" applyProtection="1">
      <alignment horizontal="center" vertical="center" wrapText="1"/>
      <protection hidden="1"/>
    </xf>
    <xf numFmtId="0" fontId="66" fillId="55" borderId="66" xfId="0" applyFont="1" applyFill="1" applyBorder="1" applyAlignment="1" applyProtection="1">
      <alignment horizontal="center" vertical="center" wrapText="1"/>
      <protection hidden="1"/>
    </xf>
    <xf numFmtId="0" fontId="58" fillId="44" borderId="52" xfId="364" applyFill="1" applyBorder="1" applyAlignment="1" applyProtection="1">
      <alignment horizontal="center" vertical="center"/>
      <protection hidden="1"/>
    </xf>
    <xf numFmtId="0" fontId="58" fillId="44" borderId="32" xfId="364" applyFill="1" applyBorder="1" applyAlignment="1" applyProtection="1">
      <alignment horizontal="center" vertical="center"/>
      <protection hidden="1"/>
    </xf>
    <xf numFmtId="0" fontId="58" fillId="44" borderId="33" xfId="364" applyFill="1" applyBorder="1" applyAlignment="1" applyProtection="1">
      <alignment horizontal="center" vertical="center"/>
      <protection hidden="1"/>
    </xf>
    <xf numFmtId="0" fontId="58" fillId="52" borderId="52" xfId="364" applyFill="1" applyBorder="1" applyAlignment="1" applyProtection="1">
      <alignment horizontal="center" vertical="center"/>
      <protection hidden="1"/>
    </xf>
    <xf numFmtId="0" fontId="58" fillId="52" borderId="28" xfId="364" applyFill="1" applyBorder="1" applyAlignment="1" applyProtection="1">
      <alignment horizontal="center" vertical="center"/>
      <protection hidden="1"/>
    </xf>
    <xf numFmtId="0" fontId="59" fillId="52" borderId="29" xfId="0" applyFont="1" applyFill="1" applyBorder="1" applyAlignment="1" applyProtection="1">
      <alignment horizontal="center" vertical="center"/>
      <protection hidden="1"/>
    </xf>
    <xf numFmtId="49" fontId="59" fillId="44" borderId="27" xfId="174" applyNumberFormat="1" applyFont="1" applyBorder="1" applyAlignment="1" applyProtection="1">
      <alignment horizontal="center" vertical="center"/>
      <protection hidden="1"/>
    </xf>
    <xf numFmtId="169" fontId="56" fillId="52" borderId="25" xfId="0" applyNumberFormat="1" applyFont="1" applyFill="1" applyBorder="1" applyAlignment="1" applyProtection="1">
      <alignment horizontal="left" vertical="center"/>
      <protection hidden="1"/>
    </xf>
    <xf numFmtId="0" fontId="56" fillId="52" borderId="90" xfId="0" applyFont="1" applyFill="1" applyBorder="1" applyAlignment="1" applyProtection="1">
      <alignment horizontal="left" vertical="center"/>
      <protection hidden="1"/>
    </xf>
    <xf numFmtId="0" fontId="56" fillId="52" borderId="84" xfId="0" applyFont="1" applyFill="1" applyBorder="1" applyAlignment="1" applyProtection="1">
      <alignment horizontal="left" vertical="center"/>
      <protection hidden="1"/>
    </xf>
    <xf numFmtId="0" fontId="57" fillId="52" borderId="32" xfId="0" applyFont="1" applyFill="1" applyBorder="1" applyAlignment="1" applyProtection="1">
      <alignment horizontal="center"/>
      <protection hidden="1"/>
    </xf>
    <xf numFmtId="0" fontId="56" fillId="0" borderId="32" xfId="0" applyFont="1" applyBorder="1" applyAlignment="1" applyProtection="1">
      <alignment horizontal="center"/>
      <protection hidden="1"/>
    </xf>
    <xf numFmtId="0" fontId="56" fillId="0" borderId="33" xfId="0" applyFont="1" applyBorder="1" applyProtection="1">
      <protection hidden="1"/>
    </xf>
    <xf numFmtId="0" fontId="0" fillId="0" borderId="42" xfId="0" applyBorder="1" applyAlignment="1" applyProtection="1">
      <alignment horizontal="center" vertical="center"/>
      <protection hidden="1"/>
    </xf>
    <xf numFmtId="0" fontId="58" fillId="44" borderId="21" xfId="364" applyFill="1" applyBorder="1" applyAlignment="1" applyProtection="1">
      <alignment horizontal="center" vertical="center"/>
      <protection hidden="1"/>
    </xf>
    <xf numFmtId="0" fontId="58" fillId="44" borderId="22" xfId="364" applyFill="1" applyBorder="1" applyAlignment="1" applyProtection="1">
      <alignment horizontal="center" vertical="center"/>
      <protection hidden="1"/>
    </xf>
    <xf numFmtId="0" fontId="58" fillId="0" borderId="22" xfId="364" applyBorder="1" applyAlignment="1" applyProtection="1">
      <alignment horizontal="center" vertical="center"/>
      <protection hidden="1"/>
    </xf>
    <xf numFmtId="0" fontId="58" fillId="0" borderId="23" xfId="364" applyBorder="1" applyAlignment="1" applyProtection="1">
      <alignment horizontal="center" vertical="center"/>
      <protection hidden="1"/>
    </xf>
    <xf numFmtId="49" fontId="55" fillId="44" borderId="36" xfId="174" applyNumberFormat="1" applyFont="1" applyBorder="1" applyAlignment="1" applyProtection="1">
      <alignment horizontal="center" vertical="center"/>
      <protection hidden="1"/>
    </xf>
    <xf numFmtId="0" fontId="0" fillId="0" borderId="41" xfId="0" applyBorder="1" applyAlignment="1" applyProtection="1">
      <alignment horizontal="center" vertical="center"/>
      <protection hidden="1"/>
    </xf>
    <xf numFmtId="49" fontId="59" fillId="44" borderId="35" xfId="174" applyNumberFormat="1" applyFont="1" applyBorder="1" applyAlignment="1" applyProtection="1">
      <alignment horizontal="center" vertical="center" wrapText="1"/>
      <protection hidden="1"/>
    </xf>
    <xf numFmtId="0" fontId="98" fillId="0" borderId="59" xfId="0" applyFont="1" applyBorder="1" applyAlignment="1" applyProtection="1">
      <alignment horizontal="center" vertical="center" wrapText="1"/>
      <protection hidden="1"/>
    </xf>
    <xf numFmtId="0" fontId="98" fillId="0" borderId="54" xfId="0" applyFont="1" applyBorder="1" applyAlignment="1" applyProtection="1">
      <alignment horizontal="center" vertical="center" wrapText="1"/>
      <protection hidden="1"/>
    </xf>
    <xf numFmtId="49" fontId="57" fillId="52" borderId="36" xfId="0" applyNumberFormat="1" applyFont="1" applyFill="1" applyBorder="1" applyAlignment="1" applyProtection="1">
      <alignment horizontal="center" vertical="center"/>
      <protection hidden="1"/>
    </xf>
    <xf numFmtId="49" fontId="57" fillId="52" borderId="34" xfId="0" applyNumberFormat="1" applyFont="1" applyFill="1" applyBorder="1" applyAlignment="1" applyProtection="1">
      <alignment horizontal="center" vertical="center"/>
      <protection hidden="1"/>
    </xf>
    <xf numFmtId="49" fontId="57" fillId="52" borderId="42" xfId="0" applyNumberFormat="1" applyFont="1" applyFill="1" applyBorder="1" applyAlignment="1" applyProtection="1">
      <alignment horizontal="center" vertical="center"/>
      <protection hidden="1"/>
    </xf>
    <xf numFmtId="49" fontId="57" fillId="52" borderId="55" xfId="0" applyNumberFormat="1" applyFont="1" applyFill="1" applyBorder="1" applyAlignment="1" applyProtection="1">
      <alignment horizontal="center" vertical="center"/>
      <protection hidden="1"/>
    </xf>
    <xf numFmtId="0" fontId="66" fillId="0" borderId="0" xfId="0" applyFont="1" applyAlignment="1" applyProtection="1">
      <alignment horizontal="center" vertical="center"/>
      <protection hidden="1"/>
    </xf>
    <xf numFmtId="0" fontId="59" fillId="0" borderId="0" xfId="174" applyFont="1" applyFill="1" applyBorder="1" applyAlignment="1" applyProtection="1">
      <alignment horizontal="center" vertical="center" wrapText="1"/>
      <protection hidden="1"/>
    </xf>
    <xf numFmtId="49" fontId="59" fillId="52" borderId="22" xfId="0" applyNumberFormat="1" applyFont="1" applyFill="1" applyBorder="1" applyAlignment="1" applyProtection="1">
      <alignment horizontal="center" vertical="center"/>
      <protection hidden="1"/>
    </xf>
    <xf numFmtId="49" fontId="59" fillId="52" borderId="23" xfId="0" applyNumberFormat="1" applyFont="1" applyFill="1" applyBorder="1" applyAlignment="1" applyProtection="1">
      <alignment horizontal="center" vertical="center"/>
      <protection hidden="1"/>
    </xf>
    <xf numFmtId="49" fontId="59" fillId="52" borderId="21" xfId="0" applyNumberFormat="1" applyFont="1" applyFill="1" applyBorder="1" applyAlignment="1" applyProtection="1">
      <alignment horizontal="center" vertical="center"/>
      <protection hidden="1"/>
    </xf>
    <xf numFmtId="0" fontId="59" fillId="52" borderId="36" xfId="174" applyFont="1" applyFill="1" applyBorder="1" applyAlignment="1" applyProtection="1">
      <alignment horizontal="center" vertical="center" wrapText="1"/>
      <protection hidden="1"/>
    </xf>
    <xf numFmtId="0" fontId="59" fillId="52" borderId="34" xfId="174" applyFont="1" applyFill="1" applyBorder="1" applyAlignment="1" applyProtection="1">
      <alignment horizontal="center" vertical="center" wrapText="1"/>
      <protection hidden="1"/>
    </xf>
    <xf numFmtId="0" fontId="59" fillId="52" borderId="23" xfId="174" applyFont="1" applyFill="1" applyBorder="1" applyAlignment="1" applyProtection="1">
      <alignment horizontal="center" vertical="center" wrapText="1"/>
      <protection hidden="1"/>
    </xf>
    <xf numFmtId="0" fontId="66" fillId="55" borderId="41" xfId="0" applyFont="1" applyFill="1" applyBorder="1" applyAlignment="1" applyProtection="1">
      <alignment horizontal="center" vertical="center"/>
      <protection hidden="1"/>
    </xf>
    <xf numFmtId="0" fontId="66" fillId="55" borderId="59" xfId="0" applyFont="1" applyFill="1" applyBorder="1" applyAlignment="1" applyProtection="1">
      <alignment horizontal="center" vertical="center"/>
      <protection hidden="1"/>
    </xf>
    <xf numFmtId="49" fontId="59" fillId="44" borderId="52" xfId="174" applyNumberFormat="1" applyFont="1" applyBorder="1" applyAlignment="1" applyProtection="1">
      <alignment horizontal="center" vertical="center"/>
      <protection hidden="1"/>
    </xf>
    <xf numFmtId="49" fontId="59" fillId="44" borderId="30" xfId="174" applyNumberFormat="1" applyFont="1" applyBorder="1" applyAlignment="1" applyProtection="1">
      <alignment horizontal="center" vertical="center"/>
      <protection hidden="1"/>
    </xf>
    <xf numFmtId="0" fontId="98" fillId="0" borderId="22" xfId="0" applyFont="1" applyBorder="1" applyProtection="1">
      <protection hidden="1"/>
    </xf>
    <xf numFmtId="0" fontId="98" fillId="0" borderId="23" xfId="0" applyFont="1" applyBorder="1" applyProtection="1">
      <protection hidden="1"/>
    </xf>
    <xf numFmtId="49" fontId="57" fillId="52" borderId="21" xfId="0" applyNumberFormat="1" applyFont="1" applyFill="1" applyBorder="1" applyAlignment="1" applyProtection="1">
      <alignment horizontal="center" vertical="center" wrapText="1"/>
      <protection hidden="1"/>
    </xf>
    <xf numFmtId="49" fontId="57" fillId="52" borderId="22" xfId="0" applyNumberFormat="1" applyFont="1" applyFill="1" applyBorder="1" applyAlignment="1" applyProtection="1">
      <alignment horizontal="center" vertical="center" wrapText="1"/>
      <protection hidden="1"/>
    </xf>
    <xf numFmtId="49" fontId="57" fillId="52" borderId="23" xfId="0" applyNumberFormat="1" applyFont="1" applyFill="1" applyBorder="1" applyAlignment="1" applyProtection="1">
      <alignment horizontal="center" vertical="center" wrapText="1"/>
      <protection hidden="1"/>
    </xf>
    <xf numFmtId="49" fontId="59" fillId="44" borderId="31" xfId="174" applyNumberFormat="1" applyFont="1" applyBorder="1" applyAlignment="1" applyProtection="1">
      <alignment horizontal="center" vertical="center"/>
      <protection hidden="1"/>
    </xf>
    <xf numFmtId="0" fontId="56" fillId="0" borderId="0" xfId="0" applyFont="1" applyAlignment="1" applyProtection="1">
      <alignment horizontal="left" vertical="top" wrapText="1"/>
      <protection hidden="1"/>
    </xf>
    <xf numFmtId="0" fontId="56" fillId="0" borderId="0" xfId="0" applyFont="1" applyAlignment="1" applyProtection="1">
      <alignment horizontal="left" wrapText="1"/>
      <protection hidden="1"/>
    </xf>
    <xf numFmtId="0" fontId="71" fillId="0" borderId="0" xfId="0" applyFont="1" applyAlignment="1" applyProtection="1">
      <alignment horizontal="left" wrapText="1"/>
      <protection hidden="1"/>
    </xf>
    <xf numFmtId="0" fontId="61" fillId="0" borderId="0" xfId="0" applyFont="1" applyAlignment="1" applyProtection="1">
      <alignment horizontal="left" vertical="center" wrapText="1"/>
      <protection hidden="1"/>
    </xf>
  </cellXfs>
  <cellStyles count="11833">
    <cellStyle name="=D:\WINNT\SYSTEM32\COMMAND.COM" xfId="1571" xr:uid="{00000000-0005-0000-0000-000000000000}"/>
    <cellStyle name="20% - 1. jelölőszín" xfId="1" xr:uid="{00000000-0005-0000-0000-000001000000}"/>
    <cellStyle name="20% - 1. jelölőszín 2" xfId="2" xr:uid="{00000000-0005-0000-0000-000002000000}"/>
    <cellStyle name="20% - 1. jelölőszín_20130128_ITS on reporting_Annex I_CA" xfId="3" xr:uid="{00000000-0005-0000-0000-000003000000}"/>
    <cellStyle name="20% - 2. jelölőszín" xfId="4" xr:uid="{00000000-0005-0000-0000-000004000000}"/>
    <cellStyle name="20% - 2. jelölőszín 2" xfId="5" xr:uid="{00000000-0005-0000-0000-000005000000}"/>
    <cellStyle name="20% - 2. jelölőszín_20130128_ITS on reporting_Annex I_CA" xfId="6" xr:uid="{00000000-0005-0000-0000-000006000000}"/>
    <cellStyle name="20% - 3. jelölőszín" xfId="7" xr:uid="{00000000-0005-0000-0000-000007000000}"/>
    <cellStyle name="20% - 3. jelölőszín 2" xfId="8" xr:uid="{00000000-0005-0000-0000-000008000000}"/>
    <cellStyle name="20% - 3. jelölőszín_20130128_ITS on reporting_Annex I_CA" xfId="9" xr:uid="{00000000-0005-0000-0000-000009000000}"/>
    <cellStyle name="20% - 4. jelölőszín" xfId="10" xr:uid="{00000000-0005-0000-0000-00000A000000}"/>
    <cellStyle name="20% - 4. jelölőszín 2" xfId="11" xr:uid="{00000000-0005-0000-0000-00000B000000}"/>
    <cellStyle name="20% - 4. jelölőszín_20130128_ITS on reporting_Annex I_CA" xfId="12" xr:uid="{00000000-0005-0000-0000-00000C000000}"/>
    <cellStyle name="20% - 5. jelölőszín" xfId="13" xr:uid="{00000000-0005-0000-0000-00000D000000}"/>
    <cellStyle name="20% - 5. jelölőszín 2" xfId="14" xr:uid="{00000000-0005-0000-0000-00000E000000}"/>
    <cellStyle name="20% - 5. jelölőszín_20130128_ITS on reporting_Annex I_CA" xfId="15" xr:uid="{00000000-0005-0000-0000-00000F000000}"/>
    <cellStyle name="20% - 6. jelölőszín" xfId="16" xr:uid="{00000000-0005-0000-0000-000010000000}"/>
    <cellStyle name="20% - 6. jelölőszín 2" xfId="17" xr:uid="{00000000-0005-0000-0000-000011000000}"/>
    <cellStyle name="20% - 6. jelölőszín_20130128_ITS on reporting_Annex I_CA" xfId="18" xr:uid="{00000000-0005-0000-0000-000012000000}"/>
    <cellStyle name="20% - Accent1 2" xfId="19" xr:uid="{00000000-0005-0000-0000-000013000000}"/>
    <cellStyle name="20% - Accent1 2 2" xfId="1572" xr:uid="{00000000-0005-0000-0000-000014000000}"/>
    <cellStyle name="20% - Accent1 2 3" xfId="2710" xr:uid="{00000000-0005-0000-0000-000015000000}"/>
    <cellStyle name="20% - Accent1 3" xfId="214" hidden="1" xr:uid="{00000000-0005-0000-0000-000016000000}"/>
    <cellStyle name="20% - Accent1 3" xfId="249" hidden="1" xr:uid="{00000000-0005-0000-0000-000017000000}"/>
    <cellStyle name="20% - Accent1 3" xfId="282" hidden="1" xr:uid="{00000000-0005-0000-0000-000018000000}"/>
    <cellStyle name="20% - Accent1 3" xfId="315" hidden="1" xr:uid="{00000000-0005-0000-0000-000019000000}"/>
    <cellStyle name="20% - Accent1 3" xfId="348" hidden="1" xr:uid="{00000000-0005-0000-0000-00001A000000}"/>
    <cellStyle name="20% - Accent1 3" xfId="382" hidden="1" xr:uid="{00000000-0005-0000-0000-00001B000000}"/>
    <cellStyle name="20% - Accent1 3" xfId="415" hidden="1" xr:uid="{00000000-0005-0000-0000-00001C000000}"/>
    <cellStyle name="20% - Accent1 3" xfId="448" hidden="1" xr:uid="{00000000-0005-0000-0000-00001D000000}"/>
    <cellStyle name="20% - Accent1 3" xfId="481" hidden="1" xr:uid="{00000000-0005-0000-0000-00001E000000}"/>
    <cellStyle name="20% - Accent1 3" xfId="514" hidden="1" xr:uid="{00000000-0005-0000-0000-00001F000000}"/>
    <cellStyle name="20% - Accent1 3" xfId="547" hidden="1" xr:uid="{00000000-0005-0000-0000-000020000000}"/>
    <cellStyle name="20% - Accent1 3" xfId="580" hidden="1" xr:uid="{00000000-0005-0000-0000-000021000000}"/>
    <cellStyle name="20% - Accent1 3" xfId="617" hidden="1" xr:uid="{00000000-0005-0000-0000-000022000000}"/>
    <cellStyle name="20% - Accent1 3" xfId="650" hidden="1" xr:uid="{00000000-0005-0000-0000-000023000000}"/>
    <cellStyle name="20% - Accent1 3" xfId="682" hidden="1" xr:uid="{00000000-0005-0000-0000-000024000000}"/>
    <cellStyle name="20% - Accent1 3" xfId="714" hidden="1" xr:uid="{00000000-0005-0000-0000-000025000000}"/>
    <cellStyle name="20% - Accent1 3" xfId="747" hidden="1" xr:uid="{00000000-0005-0000-0000-000026000000}"/>
    <cellStyle name="20% - Accent1 3" xfId="779" hidden="1" xr:uid="{00000000-0005-0000-0000-000027000000}"/>
    <cellStyle name="20% - Accent1 3" xfId="812" hidden="1" xr:uid="{00000000-0005-0000-0000-000028000000}"/>
    <cellStyle name="20% - Accent1 3" xfId="844" hidden="1" xr:uid="{00000000-0005-0000-0000-000029000000}"/>
    <cellStyle name="20% - Accent1 3" xfId="877" hidden="1" xr:uid="{00000000-0005-0000-0000-00002A000000}"/>
    <cellStyle name="20% - Accent1 3" xfId="910" hidden="1" xr:uid="{00000000-0005-0000-0000-00002B000000}"/>
    <cellStyle name="20% - Accent1 3" xfId="943" hidden="1" xr:uid="{00000000-0005-0000-0000-00002C000000}"/>
    <cellStyle name="20% - Accent1 3" xfId="976" hidden="1" xr:uid="{00000000-0005-0000-0000-00002D000000}"/>
    <cellStyle name="20% - Accent1 3" xfId="1009" hidden="1" xr:uid="{00000000-0005-0000-0000-00002E000000}"/>
    <cellStyle name="20% - Accent1 3" xfId="1042" hidden="1" xr:uid="{00000000-0005-0000-0000-00002F000000}"/>
    <cellStyle name="20% - Accent1 3" xfId="1085" hidden="1" xr:uid="{00000000-0005-0000-0000-000030000000}"/>
    <cellStyle name="20% - Accent1 3" xfId="1123" hidden="1" xr:uid="{00000000-0005-0000-0000-000031000000}"/>
    <cellStyle name="20% - Accent1 3" xfId="1156" hidden="1" xr:uid="{00000000-0005-0000-0000-000032000000}"/>
    <cellStyle name="20% - Accent1 3" xfId="1188" hidden="1" xr:uid="{00000000-0005-0000-0000-000033000000}"/>
    <cellStyle name="20% - Accent1 3" xfId="1220" hidden="1" xr:uid="{00000000-0005-0000-0000-000034000000}"/>
    <cellStyle name="20% - Accent1 3" xfId="1253" hidden="1" xr:uid="{00000000-0005-0000-0000-000035000000}"/>
    <cellStyle name="20% - Accent1 3" xfId="1285" hidden="1" xr:uid="{00000000-0005-0000-0000-000036000000}"/>
    <cellStyle name="20% - Accent1 3" xfId="1318" hidden="1" xr:uid="{00000000-0005-0000-0000-000037000000}"/>
    <cellStyle name="20% - Accent1 3" xfId="1350" hidden="1" xr:uid="{00000000-0005-0000-0000-000038000000}"/>
    <cellStyle name="20% - Accent1 3" xfId="1383" hidden="1" xr:uid="{00000000-0005-0000-0000-000039000000}"/>
    <cellStyle name="20% - Accent1 3" xfId="1416" hidden="1" xr:uid="{00000000-0005-0000-0000-00003A000000}"/>
    <cellStyle name="20% - Accent1 3" xfId="1449" hidden="1" xr:uid="{00000000-0005-0000-0000-00003B000000}"/>
    <cellStyle name="20% - Accent1 3" xfId="1482" hidden="1" xr:uid="{00000000-0005-0000-0000-00003C000000}"/>
    <cellStyle name="20% - Accent1 3" xfId="1515" hidden="1" xr:uid="{00000000-0005-0000-0000-00003D000000}"/>
    <cellStyle name="20% - Accent1 3" xfId="1548" hidden="1" xr:uid="{00000000-0005-0000-0000-00003E000000}"/>
    <cellStyle name="20% - Accent1 3" xfId="1762" hidden="1" xr:uid="{00000000-0005-0000-0000-00003F000000}"/>
    <cellStyle name="20% - Accent1 3" xfId="1799" hidden="1" xr:uid="{00000000-0005-0000-0000-000040000000}"/>
    <cellStyle name="20% - Accent1 3" xfId="1832" hidden="1" xr:uid="{00000000-0005-0000-0000-000041000000}"/>
    <cellStyle name="20% - Accent1 3" xfId="1864" hidden="1" xr:uid="{00000000-0005-0000-0000-000042000000}"/>
    <cellStyle name="20% - Accent1 3" xfId="1896" hidden="1" xr:uid="{00000000-0005-0000-0000-000043000000}"/>
    <cellStyle name="20% - Accent1 3" xfId="1929" hidden="1" xr:uid="{00000000-0005-0000-0000-000044000000}"/>
    <cellStyle name="20% - Accent1 3" xfId="1961" hidden="1" xr:uid="{00000000-0005-0000-0000-000045000000}"/>
    <cellStyle name="20% - Accent1 3" xfId="1994" hidden="1" xr:uid="{00000000-0005-0000-0000-000046000000}"/>
    <cellStyle name="20% - Accent1 3" xfId="2026" hidden="1" xr:uid="{00000000-0005-0000-0000-000047000000}"/>
    <cellStyle name="20% - Accent1 3" xfId="2059" hidden="1" xr:uid="{00000000-0005-0000-0000-000048000000}"/>
    <cellStyle name="20% - Accent1 3" xfId="2092" hidden="1" xr:uid="{00000000-0005-0000-0000-000049000000}"/>
    <cellStyle name="20% - Accent1 3" xfId="2125" hidden="1" xr:uid="{00000000-0005-0000-0000-00004A000000}"/>
    <cellStyle name="20% - Accent1 3" xfId="2158" hidden="1" xr:uid="{00000000-0005-0000-0000-00004B000000}"/>
    <cellStyle name="20% - Accent1 3" xfId="2191" hidden="1" xr:uid="{00000000-0005-0000-0000-00004C000000}"/>
    <cellStyle name="20% - Accent1 3" xfId="1738" hidden="1" xr:uid="{00000000-0005-0000-0000-00004D000000}"/>
    <cellStyle name="20% - Accent1 3" xfId="2239" hidden="1" xr:uid="{00000000-0005-0000-0000-00004E000000}"/>
    <cellStyle name="20% - Accent1 3" xfId="2276" hidden="1" xr:uid="{00000000-0005-0000-0000-00004F000000}"/>
    <cellStyle name="20% - Accent1 3" xfId="2309" hidden="1" xr:uid="{00000000-0005-0000-0000-000050000000}"/>
    <cellStyle name="20% - Accent1 3" xfId="2341" hidden="1" xr:uid="{00000000-0005-0000-0000-000051000000}"/>
    <cellStyle name="20% - Accent1 3" xfId="2373" hidden="1" xr:uid="{00000000-0005-0000-0000-000052000000}"/>
    <cellStyle name="20% - Accent1 3" xfId="2406" hidden="1" xr:uid="{00000000-0005-0000-0000-000053000000}"/>
    <cellStyle name="20% - Accent1 3" xfId="2438" hidden="1" xr:uid="{00000000-0005-0000-0000-000054000000}"/>
    <cellStyle name="20% - Accent1 3" xfId="2471" hidden="1" xr:uid="{00000000-0005-0000-0000-000055000000}"/>
    <cellStyle name="20% - Accent1 3" xfId="2503" hidden="1" xr:uid="{00000000-0005-0000-0000-000056000000}"/>
    <cellStyle name="20% - Accent1 3" xfId="2536" hidden="1" xr:uid="{00000000-0005-0000-0000-000057000000}"/>
    <cellStyle name="20% - Accent1 3" xfId="2569" hidden="1" xr:uid="{00000000-0005-0000-0000-000058000000}"/>
    <cellStyle name="20% - Accent1 3" xfId="2602" hidden="1" xr:uid="{00000000-0005-0000-0000-000059000000}"/>
    <cellStyle name="20% - Accent1 3" xfId="2635" hidden="1" xr:uid="{00000000-0005-0000-0000-00005A000000}"/>
    <cellStyle name="20% - Accent1 3" xfId="2668" hidden="1" xr:uid="{00000000-0005-0000-0000-00005B000000}"/>
    <cellStyle name="20% - Accent1 3" xfId="1061" hidden="1" xr:uid="{00000000-0005-0000-0000-00005C000000}"/>
    <cellStyle name="20% - Accent1 3" xfId="2782" hidden="1" xr:uid="{00000000-0005-0000-0000-00005D000000}"/>
    <cellStyle name="20% - Accent1 3" xfId="2819" hidden="1" xr:uid="{00000000-0005-0000-0000-00005E000000}"/>
    <cellStyle name="20% - Accent1 3" xfId="2852" hidden="1" xr:uid="{00000000-0005-0000-0000-00005F000000}"/>
    <cellStyle name="20% - Accent1 3" xfId="2884" hidden="1" xr:uid="{00000000-0005-0000-0000-000060000000}"/>
    <cellStyle name="20% - Accent1 3" xfId="2916" hidden="1" xr:uid="{00000000-0005-0000-0000-000061000000}"/>
    <cellStyle name="20% - Accent1 3" xfId="2949" hidden="1" xr:uid="{00000000-0005-0000-0000-000062000000}"/>
    <cellStyle name="20% - Accent1 3" xfId="2981" hidden="1" xr:uid="{00000000-0005-0000-0000-000063000000}"/>
    <cellStyle name="20% - Accent1 3" xfId="3014" hidden="1" xr:uid="{00000000-0005-0000-0000-000064000000}"/>
    <cellStyle name="20% - Accent1 3" xfId="3046" hidden="1" xr:uid="{00000000-0005-0000-0000-000065000000}"/>
    <cellStyle name="20% - Accent1 3" xfId="3079" hidden="1" xr:uid="{00000000-0005-0000-0000-000066000000}"/>
    <cellStyle name="20% - Accent1 3" xfId="3112" hidden="1" xr:uid="{00000000-0005-0000-0000-000067000000}"/>
    <cellStyle name="20% - Accent1 3" xfId="3145" hidden="1" xr:uid="{00000000-0005-0000-0000-000068000000}"/>
    <cellStyle name="20% - Accent1 3" xfId="3178" hidden="1" xr:uid="{00000000-0005-0000-0000-000069000000}"/>
    <cellStyle name="20% - Accent1 3" xfId="3211" hidden="1" xr:uid="{00000000-0005-0000-0000-00006A000000}"/>
    <cellStyle name="20% - Accent1 3" xfId="3244" hidden="1" xr:uid="{00000000-0005-0000-0000-00006B000000}"/>
    <cellStyle name="20% - Accent1 3" xfId="3295" hidden="1" xr:uid="{00000000-0005-0000-0000-00006C000000}"/>
    <cellStyle name="20% - Accent1 3" xfId="3332" hidden="1" xr:uid="{00000000-0005-0000-0000-00006D000000}"/>
    <cellStyle name="20% - Accent1 3" xfId="3365" hidden="1" xr:uid="{00000000-0005-0000-0000-00006E000000}"/>
    <cellStyle name="20% - Accent1 3" xfId="3397" hidden="1" xr:uid="{00000000-0005-0000-0000-00006F000000}"/>
    <cellStyle name="20% - Accent1 3" xfId="3429" hidden="1" xr:uid="{00000000-0005-0000-0000-000070000000}"/>
    <cellStyle name="20% - Accent1 3" xfId="3462" hidden="1" xr:uid="{00000000-0005-0000-0000-000071000000}"/>
    <cellStyle name="20% - Accent1 3" xfId="3494" hidden="1" xr:uid="{00000000-0005-0000-0000-000072000000}"/>
    <cellStyle name="20% - Accent1 3" xfId="3527" hidden="1" xr:uid="{00000000-0005-0000-0000-000073000000}"/>
    <cellStyle name="20% - Accent1 3" xfId="3559" hidden="1" xr:uid="{00000000-0005-0000-0000-000074000000}"/>
    <cellStyle name="20% - Accent1 3" xfId="3592" hidden="1" xr:uid="{00000000-0005-0000-0000-000075000000}"/>
    <cellStyle name="20% - Accent1 3" xfId="3625" hidden="1" xr:uid="{00000000-0005-0000-0000-000076000000}"/>
    <cellStyle name="20% - Accent1 3" xfId="3658" hidden="1" xr:uid="{00000000-0005-0000-0000-000077000000}"/>
    <cellStyle name="20% - Accent1 3" xfId="3691" hidden="1" xr:uid="{00000000-0005-0000-0000-000078000000}"/>
    <cellStyle name="20% - Accent1 3" xfId="3724" hidden="1" xr:uid="{00000000-0005-0000-0000-000079000000}"/>
    <cellStyle name="20% - Accent1 3" xfId="3271" hidden="1" xr:uid="{00000000-0005-0000-0000-00007A000000}"/>
    <cellStyle name="20% - Accent1 3" xfId="3772" hidden="1" xr:uid="{00000000-0005-0000-0000-00007B000000}"/>
    <cellStyle name="20% - Accent1 3" xfId="3809" hidden="1" xr:uid="{00000000-0005-0000-0000-00007C000000}"/>
    <cellStyle name="20% - Accent1 3" xfId="3842" hidden="1" xr:uid="{00000000-0005-0000-0000-00007D000000}"/>
    <cellStyle name="20% - Accent1 3" xfId="3874" hidden="1" xr:uid="{00000000-0005-0000-0000-00007E000000}"/>
    <cellStyle name="20% - Accent1 3" xfId="3906" hidden="1" xr:uid="{00000000-0005-0000-0000-00007F000000}"/>
    <cellStyle name="20% - Accent1 3" xfId="3939" hidden="1" xr:uid="{00000000-0005-0000-0000-000080000000}"/>
    <cellStyle name="20% - Accent1 3" xfId="3971" hidden="1" xr:uid="{00000000-0005-0000-0000-000081000000}"/>
    <cellStyle name="20% - Accent1 3" xfId="4004" hidden="1" xr:uid="{00000000-0005-0000-0000-000082000000}"/>
    <cellStyle name="20% - Accent1 3" xfId="4036" hidden="1" xr:uid="{00000000-0005-0000-0000-000083000000}"/>
    <cellStyle name="20% - Accent1 3" xfId="4069" hidden="1" xr:uid="{00000000-0005-0000-0000-000084000000}"/>
    <cellStyle name="20% - Accent1 3" xfId="4102" hidden="1" xr:uid="{00000000-0005-0000-0000-000085000000}"/>
    <cellStyle name="20% - Accent1 3" xfId="4135" hidden="1" xr:uid="{00000000-0005-0000-0000-000086000000}"/>
    <cellStyle name="20% - Accent1 3" xfId="4168" hidden="1" xr:uid="{00000000-0005-0000-0000-000087000000}"/>
    <cellStyle name="20% - Accent1 3" xfId="4201" hidden="1" xr:uid="{00000000-0005-0000-0000-000088000000}"/>
    <cellStyle name="20% - Accent1 3" xfId="4366" hidden="1" xr:uid="{00000000-0005-0000-0000-000089000000}"/>
    <cellStyle name="20% - Accent1 3" xfId="4401" hidden="1" xr:uid="{00000000-0005-0000-0000-00008A000000}"/>
    <cellStyle name="20% - Accent1 3" xfId="4434" hidden="1" xr:uid="{00000000-0005-0000-0000-00008B000000}"/>
    <cellStyle name="20% - Accent1 3" xfId="4467" hidden="1" xr:uid="{00000000-0005-0000-0000-00008C000000}"/>
    <cellStyle name="20% - Accent1 3" xfId="4500" hidden="1" xr:uid="{00000000-0005-0000-0000-00008D000000}"/>
    <cellStyle name="20% - Accent1 3" xfId="4533" hidden="1" xr:uid="{00000000-0005-0000-0000-00008E000000}"/>
    <cellStyle name="20% - Accent1 3" xfId="4566" hidden="1" xr:uid="{00000000-0005-0000-0000-00008F000000}"/>
    <cellStyle name="20% - Accent1 3" xfId="4599" hidden="1" xr:uid="{00000000-0005-0000-0000-000090000000}"/>
    <cellStyle name="20% - Accent1 3" xfId="4632" hidden="1" xr:uid="{00000000-0005-0000-0000-000091000000}"/>
    <cellStyle name="20% - Accent1 3" xfId="4665" hidden="1" xr:uid="{00000000-0005-0000-0000-000092000000}"/>
    <cellStyle name="20% - Accent1 3" xfId="4698" hidden="1" xr:uid="{00000000-0005-0000-0000-000093000000}"/>
    <cellStyle name="20% - Accent1 3" xfId="4731" hidden="1" xr:uid="{00000000-0005-0000-0000-000094000000}"/>
    <cellStyle name="20% - Accent1 3" xfId="4768" hidden="1" xr:uid="{00000000-0005-0000-0000-000095000000}"/>
    <cellStyle name="20% - Accent1 3" xfId="4801" hidden="1" xr:uid="{00000000-0005-0000-0000-000096000000}"/>
    <cellStyle name="20% - Accent1 3" xfId="4833" hidden="1" xr:uid="{00000000-0005-0000-0000-000097000000}"/>
    <cellStyle name="20% - Accent1 3" xfId="4865" hidden="1" xr:uid="{00000000-0005-0000-0000-000098000000}"/>
    <cellStyle name="20% - Accent1 3" xfId="4898" hidden="1" xr:uid="{00000000-0005-0000-0000-000099000000}"/>
    <cellStyle name="20% - Accent1 3" xfId="4930" hidden="1" xr:uid="{00000000-0005-0000-0000-00009A000000}"/>
    <cellStyle name="20% - Accent1 3" xfId="4963" hidden="1" xr:uid="{00000000-0005-0000-0000-00009B000000}"/>
    <cellStyle name="20% - Accent1 3" xfId="4995" hidden="1" xr:uid="{00000000-0005-0000-0000-00009C000000}"/>
    <cellStyle name="20% - Accent1 3" xfId="5028" hidden="1" xr:uid="{00000000-0005-0000-0000-00009D000000}"/>
    <cellStyle name="20% - Accent1 3" xfId="5061" hidden="1" xr:uid="{00000000-0005-0000-0000-00009E000000}"/>
    <cellStyle name="20% - Accent1 3" xfId="5094" hidden="1" xr:uid="{00000000-0005-0000-0000-00009F000000}"/>
    <cellStyle name="20% - Accent1 3" xfId="5127" hidden="1" xr:uid="{00000000-0005-0000-0000-0000A0000000}"/>
    <cellStyle name="20% - Accent1 3" xfId="5160" hidden="1" xr:uid="{00000000-0005-0000-0000-0000A1000000}"/>
    <cellStyle name="20% - Accent1 3" xfId="5193" hidden="1" xr:uid="{00000000-0005-0000-0000-0000A2000000}"/>
    <cellStyle name="20% - Accent1 3" xfId="5234" hidden="1" xr:uid="{00000000-0005-0000-0000-0000A3000000}"/>
    <cellStyle name="20% - Accent1 3" xfId="5271" hidden="1" xr:uid="{00000000-0005-0000-0000-0000A4000000}"/>
    <cellStyle name="20% - Accent1 3" xfId="5304" hidden="1" xr:uid="{00000000-0005-0000-0000-0000A5000000}"/>
    <cellStyle name="20% - Accent1 3" xfId="5336" hidden="1" xr:uid="{00000000-0005-0000-0000-0000A6000000}"/>
    <cellStyle name="20% - Accent1 3" xfId="5368" hidden="1" xr:uid="{00000000-0005-0000-0000-0000A7000000}"/>
    <cellStyle name="20% - Accent1 3" xfId="5401" hidden="1" xr:uid="{00000000-0005-0000-0000-0000A8000000}"/>
    <cellStyle name="20% - Accent1 3" xfId="5433" hidden="1" xr:uid="{00000000-0005-0000-0000-0000A9000000}"/>
    <cellStyle name="20% - Accent1 3" xfId="5466" hidden="1" xr:uid="{00000000-0005-0000-0000-0000AA000000}"/>
    <cellStyle name="20% - Accent1 3" xfId="5498" hidden="1" xr:uid="{00000000-0005-0000-0000-0000AB000000}"/>
    <cellStyle name="20% - Accent1 3" xfId="5531" hidden="1" xr:uid="{00000000-0005-0000-0000-0000AC000000}"/>
    <cellStyle name="20% - Accent1 3" xfId="5564" hidden="1" xr:uid="{00000000-0005-0000-0000-0000AD000000}"/>
    <cellStyle name="20% - Accent1 3" xfId="5597" hidden="1" xr:uid="{00000000-0005-0000-0000-0000AE000000}"/>
    <cellStyle name="20% - Accent1 3" xfId="5630" hidden="1" xr:uid="{00000000-0005-0000-0000-0000AF000000}"/>
    <cellStyle name="20% - Accent1 3" xfId="5663" hidden="1" xr:uid="{00000000-0005-0000-0000-0000B0000000}"/>
    <cellStyle name="20% - Accent1 3" xfId="5696" hidden="1" xr:uid="{00000000-0005-0000-0000-0000B1000000}"/>
    <cellStyle name="20% - Accent1 3" xfId="5800" hidden="1" xr:uid="{00000000-0005-0000-0000-0000B2000000}"/>
    <cellStyle name="20% - Accent1 3" xfId="5837" hidden="1" xr:uid="{00000000-0005-0000-0000-0000B3000000}"/>
    <cellStyle name="20% - Accent1 3" xfId="5870" hidden="1" xr:uid="{00000000-0005-0000-0000-0000B4000000}"/>
    <cellStyle name="20% - Accent1 3" xfId="5902" hidden="1" xr:uid="{00000000-0005-0000-0000-0000B5000000}"/>
    <cellStyle name="20% - Accent1 3" xfId="5934" hidden="1" xr:uid="{00000000-0005-0000-0000-0000B6000000}"/>
    <cellStyle name="20% - Accent1 3" xfId="5967" hidden="1" xr:uid="{00000000-0005-0000-0000-0000B7000000}"/>
    <cellStyle name="20% - Accent1 3" xfId="5999" hidden="1" xr:uid="{00000000-0005-0000-0000-0000B8000000}"/>
    <cellStyle name="20% - Accent1 3" xfId="6032" hidden="1" xr:uid="{00000000-0005-0000-0000-0000B9000000}"/>
    <cellStyle name="20% - Accent1 3" xfId="6064" hidden="1" xr:uid="{00000000-0005-0000-0000-0000BA000000}"/>
    <cellStyle name="20% - Accent1 3" xfId="6097" hidden="1" xr:uid="{00000000-0005-0000-0000-0000BB000000}"/>
    <cellStyle name="20% - Accent1 3" xfId="6130" hidden="1" xr:uid="{00000000-0005-0000-0000-0000BC000000}"/>
    <cellStyle name="20% - Accent1 3" xfId="6163" hidden="1" xr:uid="{00000000-0005-0000-0000-0000BD000000}"/>
    <cellStyle name="20% - Accent1 3" xfId="6196" hidden="1" xr:uid="{00000000-0005-0000-0000-0000BE000000}"/>
    <cellStyle name="20% - Accent1 3" xfId="6229" hidden="1" xr:uid="{00000000-0005-0000-0000-0000BF000000}"/>
    <cellStyle name="20% - Accent1 3" xfId="5776" hidden="1" xr:uid="{00000000-0005-0000-0000-0000C0000000}"/>
    <cellStyle name="20% - Accent1 3" xfId="6277" hidden="1" xr:uid="{00000000-0005-0000-0000-0000C1000000}"/>
    <cellStyle name="20% - Accent1 3" xfId="6314" hidden="1" xr:uid="{00000000-0005-0000-0000-0000C2000000}"/>
    <cellStyle name="20% - Accent1 3" xfId="6347" hidden="1" xr:uid="{00000000-0005-0000-0000-0000C3000000}"/>
    <cellStyle name="20% - Accent1 3" xfId="6379" hidden="1" xr:uid="{00000000-0005-0000-0000-0000C4000000}"/>
    <cellStyle name="20% - Accent1 3" xfId="6411" hidden="1" xr:uid="{00000000-0005-0000-0000-0000C5000000}"/>
    <cellStyle name="20% - Accent1 3" xfId="6444" hidden="1" xr:uid="{00000000-0005-0000-0000-0000C6000000}"/>
    <cellStyle name="20% - Accent1 3" xfId="6476" hidden="1" xr:uid="{00000000-0005-0000-0000-0000C7000000}"/>
    <cellStyle name="20% - Accent1 3" xfId="6509" hidden="1" xr:uid="{00000000-0005-0000-0000-0000C8000000}"/>
    <cellStyle name="20% - Accent1 3" xfId="6541" hidden="1" xr:uid="{00000000-0005-0000-0000-0000C9000000}"/>
    <cellStyle name="20% - Accent1 3" xfId="6574" hidden="1" xr:uid="{00000000-0005-0000-0000-0000CA000000}"/>
    <cellStyle name="20% - Accent1 3" xfId="6607" hidden="1" xr:uid="{00000000-0005-0000-0000-0000CB000000}"/>
    <cellStyle name="20% - Accent1 3" xfId="6640" hidden="1" xr:uid="{00000000-0005-0000-0000-0000CC000000}"/>
    <cellStyle name="20% - Accent1 3" xfId="6673" hidden="1" xr:uid="{00000000-0005-0000-0000-0000CD000000}"/>
    <cellStyle name="20% - Accent1 3" xfId="6706" hidden="1" xr:uid="{00000000-0005-0000-0000-0000CE000000}"/>
    <cellStyle name="20% - Accent1 3" xfId="5210" hidden="1" xr:uid="{00000000-0005-0000-0000-0000CF000000}"/>
    <cellStyle name="20% - Accent1 3" xfId="6796" hidden="1" xr:uid="{00000000-0005-0000-0000-0000D0000000}"/>
    <cellStyle name="20% - Accent1 3" xfId="6833" hidden="1" xr:uid="{00000000-0005-0000-0000-0000D1000000}"/>
    <cellStyle name="20% - Accent1 3" xfId="6866" hidden="1" xr:uid="{00000000-0005-0000-0000-0000D2000000}"/>
    <cellStyle name="20% - Accent1 3" xfId="6898" hidden="1" xr:uid="{00000000-0005-0000-0000-0000D3000000}"/>
    <cellStyle name="20% - Accent1 3" xfId="6930" hidden="1" xr:uid="{00000000-0005-0000-0000-0000D4000000}"/>
    <cellStyle name="20% - Accent1 3" xfId="6963" hidden="1" xr:uid="{00000000-0005-0000-0000-0000D5000000}"/>
    <cellStyle name="20% - Accent1 3" xfId="6995" hidden="1" xr:uid="{00000000-0005-0000-0000-0000D6000000}"/>
    <cellStyle name="20% - Accent1 3" xfId="7028" hidden="1" xr:uid="{00000000-0005-0000-0000-0000D7000000}"/>
    <cellStyle name="20% - Accent1 3" xfId="7060" hidden="1" xr:uid="{00000000-0005-0000-0000-0000D8000000}"/>
    <cellStyle name="20% - Accent1 3" xfId="7093" hidden="1" xr:uid="{00000000-0005-0000-0000-0000D9000000}"/>
    <cellStyle name="20% - Accent1 3" xfId="7126" hidden="1" xr:uid="{00000000-0005-0000-0000-0000DA000000}"/>
    <cellStyle name="20% - Accent1 3" xfId="7159" hidden="1" xr:uid="{00000000-0005-0000-0000-0000DB000000}"/>
    <cellStyle name="20% - Accent1 3" xfId="7192" hidden="1" xr:uid="{00000000-0005-0000-0000-0000DC000000}"/>
    <cellStyle name="20% - Accent1 3" xfId="7225" hidden="1" xr:uid="{00000000-0005-0000-0000-0000DD000000}"/>
    <cellStyle name="20% - Accent1 3" xfId="7258" hidden="1" xr:uid="{00000000-0005-0000-0000-0000DE000000}"/>
    <cellStyle name="20% - Accent1 3" xfId="7309" hidden="1" xr:uid="{00000000-0005-0000-0000-0000DF000000}"/>
    <cellStyle name="20% - Accent1 3" xfId="7346" hidden="1" xr:uid="{00000000-0005-0000-0000-0000E0000000}"/>
    <cellStyle name="20% - Accent1 3" xfId="7379" hidden="1" xr:uid="{00000000-0005-0000-0000-0000E1000000}"/>
    <cellStyle name="20% - Accent1 3" xfId="7411" hidden="1" xr:uid="{00000000-0005-0000-0000-0000E2000000}"/>
    <cellStyle name="20% - Accent1 3" xfId="7443" hidden="1" xr:uid="{00000000-0005-0000-0000-0000E3000000}"/>
    <cellStyle name="20% - Accent1 3" xfId="7476" hidden="1" xr:uid="{00000000-0005-0000-0000-0000E4000000}"/>
    <cellStyle name="20% - Accent1 3" xfId="7508" hidden="1" xr:uid="{00000000-0005-0000-0000-0000E5000000}"/>
    <cellStyle name="20% - Accent1 3" xfId="7541" hidden="1" xr:uid="{00000000-0005-0000-0000-0000E6000000}"/>
    <cellStyle name="20% - Accent1 3" xfId="7573" hidden="1" xr:uid="{00000000-0005-0000-0000-0000E7000000}"/>
    <cellStyle name="20% - Accent1 3" xfId="7606" hidden="1" xr:uid="{00000000-0005-0000-0000-0000E8000000}"/>
    <cellStyle name="20% - Accent1 3" xfId="7639" hidden="1" xr:uid="{00000000-0005-0000-0000-0000E9000000}"/>
    <cellStyle name="20% - Accent1 3" xfId="7672" hidden="1" xr:uid="{00000000-0005-0000-0000-0000EA000000}"/>
    <cellStyle name="20% - Accent1 3" xfId="7705" hidden="1" xr:uid="{00000000-0005-0000-0000-0000EB000000}"/>
    <cellStyle name="20% - Accent1 3" xfId="7738" hidden="1" xr:uid="{00000000-0005-0000-0000-0000EC000000}"/>
    <cellStyle name="20% - Accent1 3" xfId="7285" hidden="1" xr:uid="{00000000-0005-0000-0000-0000ED000000}"/>
    <cellStyle name="20% - Accent1 3" xfId="7786" hidden="1" xr:uid="{00000000-0005-0000-0000-0000EE000000}"/>
    <cellStyle name="20% - Accent1 3" xfId="7823" hidden="1" xr:uid="{00000000-0005-0000-0000-0000EF000000}"/>
    <cellStyle name="20% - Accent1 3" xfId="7856" hidden="1" xr:uid="{00000000-0005-0000-0000-0000F0000000}"/>
    <cellStyle name="20% - Accent1 3" xfId="7888" hidden="1" xr:uid="{00000000-0005-0000-0000-0000F1000000}"/>
    <cellStyle name="20% - Accent1 3" xfId="7920" hidden="1" xr:uid="{00000000-0005-0000-0000-0000F2000000}"/>
    <cellStyle name="20% - Accent1 3" xfId="7953" hidden="1" xr:uid="{00000000-0005-0000-0000-0000F3000000}"/>
    <cellStyle name="20% - Accent1 3" xfId="7985" hidden="1" xr:uid="{00000000-0005-0000-0000-0000F4000000}"/>
    <cellStyle name="20% - Accent1 3" xfId="8018" hidden="1" xr:uid="{00000000-0005-0000-0000-0000F5000000}"/>
    <cellStyle name="20% - Accent1 3" xfId="8050" hidden="1" xr:uid="{00000000-0005-0000-0000-0000F6000000}"/>
    <cellStyle name="20% - Accent1 3" xfId="8083" hidden="1" xr:uid="{00000000-0005-0000-0000-0000F7000000}"/>
    <cellStyle name="20% - Accent1 3" xfId="8116" hidden="1" xr:uid="{00000000-0005-0000-0000-0000F8000000}"/>
    <cellStyle name="20% - Accent1 3" xfId="8149" hidden="1" xr:uid="{00000000-0005-0000-0000-0000F9000000}"/>
    <cellStyle name="20% - Accent1 3" xfId="8182" hidden="1" xr:uid="{00000000-0005-0000-0000-0000FA000000}"/>
    <cellStyle name="20% - Accent1 3" xfId="8215" hidden="1" xr:uid="{00000000-0005-0000-0000-0000FB000000}"/>
    <cellStyle name="20% - Accent1 3" xfId="5757" hidden="1" xr:uid="{00000000-0005-0000-0000-0000FC000000}"/>
    <cellStyle name="20% - Accent1 3" xfId="4345" hidden="1" xr:uid="{00000000-0005-0000-0000-0000FD000000}"/>
    <cellStyle name="20% - Accent1 3" xfId="4329" hidden="1" xr:uid="{00000000-0005-0000-0000-0000FE000000}"/>
    <cellStyle name="20% - Accent1 3" xfId="4315" hidden="1" xr:uid="{00000000-0005-0000-0000-0000FF000000}"/>
    <cellStyle name="20% - Accent1 3" xfId="4300" hidden="1" xr:uid="{00000000-0005-0000-0000-000000010000}"/>
    <cellStyle name="20% - Accent1 3" xfId="4285" hidden="1" xr:uid="{00000000-0005-0000-0000-000001010000}"/>
    <cellStyle name="20% - Accent1 3" xfId="5718" hidden="1" xr:uid="{00000000-0005-0000-0000-000002010000}"/>
    <cellStyle name="20% - Accent1 3" xfId="8260" hidden="1" xr:uid="{00000000-0005-0000-0000-000003010000}"/>
    <cellStyle name="20% - Accent1 3" xfId="8293" hidden="1" xr:uid="{00000000-0005-0000-0000-000004010000}"/>
    <cellStyle name="20% - Accent1 3" xfId="8326" hidden="1" xr:uid="{00000000-0005-0000-0000-000005010000}"/>
    <cellStyle name="20% - Accent1 3" xfId="8359" hidden="1" xr:uid="{00000000-0005-0000-0000-000006010000}"/>
    <cellStyle name="20% - Accent1 3" xfId="8392" hidden="1" xr:uid="{00000000-0005-0000-0000-000007010000}"/>
    <cellStyle name="20% - Accent1 3" xfId="8429" hidden="1" xr:uid="{00000000-0005-0000-0000-000008010000}"/>
    <cellStyle name="20% - Accent1 3" xfId="8462" hidden="1" xr:uid="{00000000-0005-0000-0000-000009010000}"/>
    <cellStyle name="20% - Accent1 3" xfId="8494" hidden="1" xr:uid="{00000000-0005-0000-0000-00000A010000}"/>
    <cellStyle name="20% - Accent1 3" xfId="8526" hidden="1" xr:uid="{00000000-0005-0000-0000-00000B010000}"/>
    <cellStyle name="20% - Accent1 3" xfId="8559" hidden="1" xr:uid="{00000000-0005-0000-0000-00000C010000}"/>
    <cellStyle name="20% - Accent1 3" xfId="8591" hidden="1" xr:uid="{00000000-0005-0000-0000-00000D010000}"/>
    <cellStyle name="20% - Accent1 3" xfId="8624" hidden="1" xr:uid="{00000000-0005-0000-0000-00000E010000}"/>
    <cellStyle name="20% - Accent1 3" xfId="8656" hidden="1" xr:uid="{00000000-0005-0000-0000-00000F010000}"/>
    <cellStyle name="20% - Accent1 3" xfId="8689" hidden="1" xr:uid="{00000000-0005-0000-0000-000010010000}"/>
    <cellStyle name="20% - Accent1 3" xfId="8722" hidden="1" xr:uid="{00000000-0005-0000-0000-000011010000}"/>
    <cellStyle name="20% - Accent1 3" xfId="8755" hidden="1" xr:uid="{00000000-0005-0000-0000-000012010000}"/>
    <cellStyle name="20% - Accent1 3" xfId="8788" hidden="1" xr:uid="{00000000-0005-0000-0000-000013010000}"/>
    <cellStyle name="20% - Accent1 3" xfId="8821" hidden="1" xr:uid="{00000000-0005-0000-0000-000014010000}"/>
    <cellStyle name="20% - Accent1 3" xfId="8854" hidden="1" xr:uid="{00000000-0005-0000-0000-000015010000}"/>
    <cellStyle name="20% - Accent1 3" xfId="8894" hidden="1" xr:uid="{00000000-0005-0000-0000-000016010000}"/>
    <cellStyle name="20% - Accent1 3" xfId="8931" hidden="1" xr:uid="{00000000-0005-0000-0000-000017010000}"/>
    <cellStyle name="20% - Accent1 3" xfId="8964" hidden="1" xr:uid="{00000000-0005-0000-0000-000018010000}"/>
    <cellStyle name="20% - Accent1 3" xfId="8996" hidden="1" xr:uid="{00000000-0005-0000-0000-000019010000}"/>
    <cellStyle name="20% - Accent1 3" xfId="9028" hidden="1" xr:uid="{00000000-0005-0000-0000-00001A010000}"/>
    <cellStyle name="20% - Accent1 3" xfId="9061" hidden="1" xr:uid="{00000000-0005-0000-0000-00001B010000}"/>
    <cellStyle name="20% - Accent1 3" xfId="9093" hidden="1" xr:uid="{00000000-0005-0000-0000-00001C010000}"/>
    <cellStyle name="20% - Accent1 3" xfId="9126" hidden="1" xr:uid="{00000000-0005-0000-0000-00001D010000}"/>
    <cellStyle name="20% - Accent1 3" xfId="9158" hidden="1" xr:uid="{00000000-0005-0000-0000-00001E010000}"/>
    <cellStyle name="20% - Accent1 3" xfId="9191" hidden="1" xr:uid="{00000000-0005-0000-0000-00001F010000}"/>
    <cellStyle name="20% - Accent1 3" xfId="9224" hidden="1" xr:uid="{00000000-0005-0000-0000-000020010000}"/>
    <cellStyle name="20% - Accent1 3" xfId="9257" hidden="1" xr:uid="{00000000-0005-0000-0000-000021010000}"/>
    <cellStyle name="20% - Accent1 3" xfId="9290" hidden="1" xr:uid="{00000000-0005-0000-0000-000022010000}"/>
    <cellStyle name="20% - Accent1 3" xfId="9323" hidden="1" xr:uid="{00000000-0005-0000-0000-000023010000}"/>
    <cellStyle name="20% - Accent1 3" xfId="9356" hidden="1" xr:uid="{00000000-0005-0000-0000-000024010000}"/>
    <cellStyle name="20% - Accent1 3" xfId="9407" hidden="1" xr:uid="{00000000-0005-0000-0000-000025010000}"/>
    <cellStyle name="20% - Accent1 3" xfId="9444" hidden="1" xr:uid="{00000000-0005-0000-0000-000026010000}"/>
    <cellStyle name="20% - Accent1 3" xfId="9477" hidden="1" xr:uid="{00000000-0005-0000-0000-000027010000}"/>
    <cellStyle name="20% - Accent1 3" xfId="9509" hidden="1" xr:uid="{00000000-0005-0000-0000-000028010000}"/>
    <cellStyle name="20% - Accent1 3" xfId="9541" hidden="1" xr:uid="{00000000-0005-0000-0000-000029010000}"/>
    <cellStyle name="20% - Accent1 3" xfId="9574" hidden="1" xr:uid="{00000000-0005-0000-0000-00002A010000}"/>
    <cellStyle name="20% - Accent1 3" xfId="9606" hidden="1" xr:uid="{00000000-0005-0000-0000-00002B010000}"/>
    <cellStyle name="20% - Accent1 3" xfId="9639" hidden="1" xr:uid="{00000000-0005-0000-0000-00002C010000}"/>
    <cellStyle name="20% - Accent1 3" xfId="9671" hidden="1" xr:uid="{00000000-0005-0000-0000-00002D010000}"/>
    <cellStyle name="20% - Accent1 3" xfId="9704" hidden="1" xr:uid="{00000000-0005-0000-0000-00002E010000}"/>
    <cellStyle name="20% - Accent1 3" xfId="9737" hidden="1" xr:uid="{00000000-0005-0000-0000-00002F010000}"/>
    <cellStyle name="20% - Accent1 3" xfId="9770" hidden="1" xr:uid="{00000000-0005-0000-0000-000030010000}"/>
    <cellStyle name="20% - Accent1 3" xfId="9803" hidden="1" xr:uid="{00000000-0005-0000-0000-000031010000}"/>
    <cellStyle name="20% - Accent1 3" xfId="9836" hidden="1" xr:uid="{00000000-0005-0000-0000-000032010000}"/>
    <cellStyle name="20% - Accent1 3" xfId="9383" hidden="1" xr:uid="{00000000-0005-0000-0000-000033010000}"/>
    <cellStyle name="20% - Accent1 3" xfId="9884" hidden="1" xr:uid="{00000000-0005-0000-0000-000034010000}"/>
    <cellStyle name="20% - Accent1 3" xfId="9921" hidden="1" xr:uid="{00000000-0005-0000-0000-000035010000}"/>
    <cellStyle name="20% - Accent1 3" xfId="9954" hidden="1" xr:uid="{00000000-0005-0000-0000-000036010000}"/>
    <cellStyle name="20% - Accent1 3" xfId="9986" hidden="1" xr:uid="{00000000-0005-0000-0000-000037010000}"/>
    <cellStyle name="20% - Accent1 3" xfId="10018" hidden="1" xr:uid="{00000000-0005-0000-0000-000038010000}"/>
    <cellStyle name="20% - Accent1 3" xfId="10051" hidden="1" xr:uid="{00000000-0005-0000-0000-000039010000}"/>
    <cellStyle name="20% - Accent1 3" xfId="10083" hidden="1" xr:uid="{00000000-0005-0000-0000-00003A010000}"/>
    <cellStyle name="20% - Accent1 3" xfId="10116" hidden="1" xr:uid="{00000000-0005-0000-0000-00003B010000}"/>
    <cellStyle name="20% - Accent1 3" xfId="10148" hidden="1" xr:uid="{00000000-0005-0000-0000-00003C010000}"/>
    <cellStyle name="20% - Accent1 3" xfId="10181" hidden="1" xr:uid="{00000000-0005-0000-0000-00003D010000}"/>
    <cellStyle name="20% - Accent1 3" xfId="10214" hidden="1" xr:uid="{00000000-0005-0000-0000-00003E010000}"/>
    <cellStyle name="20% - Accent1 3" xfId="10247" hidden="1" xr:uid="{00000000-0005-0000-0000-00003F010000}"/>
    <cellStyle name="20% - Accent1 3" xfId="10280" hidden="1" xr:uid="{00000000-0005-0000-0000-000040010000}"/>
    <cellStyle name="20% - Accent1 3" xfId="10313" hidden="1" xr:uid="{00000000-0005-0000-0000-000041010000}"/>
    <cellStyle name="20% - Accent1 3" xfId="8870" hidden="1" xr:uid="{00000000-0005-0000-0000-000042010000}"/>
    <cellStyle name="20% - Accent1 3" xfId="10372" hidden="1" xr:uid="{00000000-0005-0000-0000-000043010000}"/>
    <cellStyle name="20% - Accent1 3" xfId="10409" hidden="1" xr:uid="{00000000-0005-0000-0000-000044010000}"/>
    <cellStyle name="20% - Accent1 3" xfId="10442" hidden="1" xr:uid="{00000000-0005-0000-0000-000045010000}"/>
    <cellStyle name="20% - Accent1 3" xfId="10474" hidden="1" xr:uid="{00000000-0005-0000-0000-000046010000}"/>
    <cellStyle name="20% - Accent1 3" xfId="10506" hidden="1" xr:uid="{00000000-0005-0000-0000-000047010000}"/>
    <cellStyle name="20% - Accent1 3" xfId="10539" hidden="1" xr:uid="{00000000-0005-0000-0000-000048010000}"/>
    <cellStyle name="20% - Accent1 3" xfId="10571" hidden="1" xr:uid="{00000000-0005-0000-0000-000049010000}"/>
    <cellStyle name="20% - Accent1 3" xfId="10604" hidden="1" xr:uid="{00000000-0005-0000-0000-00004A010000}"/>
    <cellStyle name="20% - Accent1 3" xfId="10636" hidden="1" xr:uid="{00000000-0005-0000-0000-00004B010000}"/>
    <cellStyle name="20% - Accent1 3" xfId="10669" hidden="1" xr:uid="{00000000-0005-0000-0000-00004C010000}"/>
    <cellStyle name="20% - Accent1 3" xfId="10702" hidden="1" xr:uid="{00000000-0005-0000-0000-00004D010000}"/>
    <cellStyle name="20% - Accent1 3" xfId="10735" hidden="1" xr:uid="{00000000-0005-0000-0000-00004E010000}"/>
    <cellStyle name="20% - Accent1 3" xfId="10768" hidden="1" xr:uid="{00000000-0005-0000-0000-00004F010000}"/>
    <cellStyle name="20% - Accent1 3" xfId="10801" hidden="1" xr:uid="{00000000-0005-0000-0000-000050010000}"/>
    <cellStyle name="20% - Accent1 3" xfId="10834" hidden="1" xr:uid="{00000000-0005-0000-0000-000051010000}"/>
    <cellStyle name="20% - Accent1 3" xfId="10885" hidden="1" xr:uid="{00000000-0005-0000-0000-000052010000}"/>
    <cellStyle name="20% - Accent1 3" xfId="10922" hidden="1" xr:uid="{00000000-0005-0000-0000-000053010000}"/>
    <cellStyle name="20% - Accent1 3" xfId="10955" hidden="1" xr:uid="{00000000-0005-0000-0000-000054010000}"/>
    <cellStyle name="20% - Accent1 3" xfId="10987" hidden="1" xr:uid="{00000000-0005-0000-0000-000055010000}"/>
    <cellStyle name="20% - Accent1 3" xfId="11019" hidden="1" xr:uid="{00000000-0005-0000-0000-000056010000}"/>
    <cellStyle name="20% - Accent1 3" xfId="11052" hidden="1" xr:uid="{00000000-0005-0000-0000-000057010000}"/>
    <cellStyle name="20% - Accent1 3" xfId="11084" hidden="1" xr:uid="{00000000-0005-0000-0000-000058010000}"/>
    <cellStyle name="20% - Accent1 3" xfId="11117" hidden="1" xr:uid="{00000000-0005-0000-0000-000059010000}"/>
    <cellStyle name="20% - Accent1 3" xfId="11149" hidden="1" xr:uid="{00000000-0005-0000-0000-00005A010000}"/>
    <cellStyle name="20% - Accent1 3" xfId="11182" hidden="1" xr:uid="{00000000-0005-0000-0000-00005B010000}"/>
    <cellStyle name="20% - Accent1 3" xfId="11215" hidden="1" xr:uid="{00000000-0005-0000-0000-00005C010000}"/>
    <cellStyle name="20% - Accent1 3" xfId="11248" hidden="1" xr:uid="{00000000-0005-0000-0000-00005D010000}"/>
    <cellStyle name="20% - Accent1 3" xfId="11281" hidden="1" xr:uid="{00000000-0005-0000-0000-00005E010000}"/>
    <cellStyle name="20% - Accent1 3" xfId="11314" hidden="1" xr:uid="{00000000-0005-0000-0000-00005F010000}"/>
    <cellStyle name="20% - Accent1 3" xfId="10861" hidden="1" xr:uid="{00000000-0005-0000-0000-000060010000}"/>
    <cellStyle name="20% - Accent1 3" xfId="11362" hidden="1" xr:uid="{00000000-0005-0000-0000-000061010000}"/>
    <cellStyle name="20% - Accent1 3" xfId="11399" hidden="1" xr:uid="{00000000-0005-0000-0000-000062010000}"/>
    <cellStyle name="20% - Accent1 3" xfId="11432" hidden="1" xr:uid="{00000000-0005-0000-0000-000063010000}"/>
    <cellStyle name="20% - Accent1 3" xfId="11464" hidden="1" xr:uid="{00000000-0005-0000-0000-000064010000}"/>
    <cellStyle name="20% - Accent1 3" xfId="11496" hidden="1" xr:uid="{00000000-0005-0000-0000-000065010000}"/>
    <cellStyle name="20% - Accent1 3" xfId="11529" hidden="1" xr:uid="{00000000-0005-0000-0000-000066010000}"/>
    <cellStyle name="20% - Accent1 3" xfId="11561" hidden="1" xr:uid="{00000000-0005-0000-0000-000067010000}"/>
    <cellStyle name="20% - Accent1 3" xfId="11594" hidden="1" xr:uid="{00000000-0005-0000-0000-000068010000}"/>
    <cellStyle name="20% - Accent1 3" xfId="11626" hidden="1" xr:uid="{00000000-0005-0000-0000-000069010000}"/>
    <cellStyle name="20% - Accent1 3" xfId="11659" hidden="1" xr:uid="{00000000-0005-0000-0000-00006A010000}"/>
    <cellStyle name="20% - Accent1 3" xfId="11692" hidden="1" xr:uid="{00000000-0005-0000-0000-00006B010000}"/>
    <cellStyle name="20% - Accent1 3" xfId="11725" hidden="1" xr:uid="{00000000-0005-0000-0000-00006C010000}"/>
    <cellStyle name="20% - Accent1 3" xfId="11758" hidden="1" xr:uid="{00000000-0005-0000-0000-00006D010000}"/>
    <cellStyle name="20% - Accent1 3" xfId="11791" hidden="1" xr:uid="{00000000-0005-0000-0000-00006E010000}"/>
    <cellStyle name="20% - Accent1 3" xfId="1720" xr:uid="{00000000-0005-0000-0000-00006F010000}"/>
    <cellStyle name="20% - Accent1 3 2" xfId="1573" xr:uid="{00000000-0005-0000-0000-000070010000}"/>
    <cellStyle name="20% - Accent2 2" xfId="20" xr:uid="{00000000-0005-0000-0000-000071010000}"/>
    <cellStyle name="20% - Accent2 2 2" xfId="1574" xr:uid="{00000000-0005-0000-0000-000072010000}"/>
    <cellStyle name="20% - Accent2 2 3" xfId="2711" xr:uid="{00000000-0005-0000-0000-000073010000}"/>
    <cellStyle name="20% - Accent2 3" xfId="217" hidden="1" xr:uid="{00000000-0005-0000-0000-000074010000}"/>
    <cellStyle name="20% - Accent2 3" xfId="246" hidden="1" xr:uid="{00000000-0005-0000-0000-000075010000}"/>
    <cellStyle name="20% - Accent2 3" xfId="279" hidden="1" xr:uid="{00000000-0005-0000-0000-000076010000}"/>
    <cellStyle name="20% - Accent2 3" xfId="312" hidden="1" xr:uid="{00000000-0005-0000-0000-000077010000}"/>
    <cellStyle name="20% - Accent2 3" xfId="345" hidden="1" xr:uid="{00000000-0005-0000-0000-000078010000}"/>
    <cellStyle name="20% - Accent2 3" xfId="379" hidden="1" xr:uid="{00000000-0005-0000-0000-000079010000}"/>
    <cellStyle name="20% - Accent2 3" xfId="412" hidden="1" xr:uid="{00000000-0005-0000-0000-00007A010000}"/>
    <cellStyle name="20% - Accent2 3" xfId="445" hidden="1" xr:uid="{00000000-0005-0000-0000-00007B010000}"/>
    <cellStyle name="20% - Accent2 3" xfId="478" hidden="1" xr:uid="{00000000-0005-0000-0000-00007C010000}"/>
    <cellStyle name="20% - Accent2 3" xfId="511" hidden="1" xr:uid="{00000000-0005-0000-0000-00007D010000}"/>
    <cellStyle name="20% - Accent2 3" xfId="544" hidden="1" xr:uid="{00000000-0005-0000-0000-00007E010000}"/>
    <cellStyle name="20% - Accent2 3" xfId="577" hidden="1" xr:uid="{00000000-0005-0000-0000-00007F010000}"/>
    <cellStyle name="20% - Accent2 3" xfId="614" hidden="1" xr:uid="{00000000-0005-0000-0000-000080010000}"/>
    <cellStyle name="20% - Accent2 3" xfId="647" hidden="1" xr:uid="{00000000-0005-0000-0000-000081010000}"/>
    <cellStyle name="20% - Accent2 3" xfId="679" hidden="1" xr:uid="{00000000-0005-0000-0000-000082010000}"/>
    <cellStyle name="20% - Accent2 3" xfId="711" hidden="1" xr:uid="{00000000-0005-0000-0000-000083010000}"/>
    <cellStyle name="20% - Accent2 3" xfId="744" hidden="1" xr:uid="{00000000-0005-0000-0000-000084010000}"/>
    <cellStyle name="20% - Accent2 3" xfId="776" hidden="1" xr:uid="{00000000-0005-0000-0000-000085010000}"/>
    <cellStyle name="20% - Accent2 3" xfId="809" hidden="1" xr:uid="{00000000-0005-0000-0000-000086010000}"/>
    <cellStyle name="20% - Accent2 3" xfId="841" hidden="1" xr:uid="{00000000-0005-0000-0000-000087010000}"/>
    <cellStyle name="20% - Accent2 3" xfId="874" hidden="1" xr:uid="{00000000-0005-0000-0000-000088010000}"/>
    <cellStyle name="20% - Accent2 3" xfId="907" hidden="1" xr:uid="{00000000-0005-0000-0000-000089010000}"/>
    <cellStyle name="20% - Accent2 3" xfId="940" hidden="1" xr:uid="{00000000-0005-0000-0000-00008A010000}"/>
    <cellStyle name="20% - Accent2 3" xfId="973" hidden="1" xr:uid="{00000000-0005-0000-0000-00008B010000}"/>
    <cellStyle name="20% - Accent2 3" xfId="1006" hidden="1" xr:uid="{00000000-0005-0000-0000-00008C010000}"/>
    <cellStyle name="20% - Accent2 3" xfId="1039" hidden="1" xr:uid="{00000000-0005-0000-0000-00008D010000}"/>
    <cellStyle name="20% - Accent2 3" xfId="1082" hidden="1" xr:uid="{00000000-0005-0000-0000-00008E010000}"/>
    <cellStyle name="20% - Accent2 3" xfId="1120" hidden="1" xr:uid="{00000000-0005-0000-0000-00008F010000}"/>
    <cellStyle name="20% - Accent2 3" xfId="1153" hidden="1" xr:uid="{00000000-0005-0000-0000-000090010000}"/>
    <cellStyle name="20% - Accent2 3" xfId="1185" hidden="1" xr:uid="{00000000-0005-0000-0000-000091010000}"/>
    <cellStyle name="20% - Accent2 3" xfId="1217" hidden="1" xr:uid="{00000000-0005-0000-0000-000092010000}"/>
    <cellStyle name="20% - Accent2 3" xfId="1250" hidden="1" xr:uid="{00000000-0005-0000-0000-000093010000}"/>
    <cellStyle name="20% - Accent2 3" xfId="1282" hidden="1" xr:uid="{00000000-0005-0000-0000-000094010000}"/>
    <cellStyle name="20% - Accent2 3" xfId="1315" hidden="1" xr:uid="{00000000-0005-0000-0000-000095010000}"/>
    <cellStyle name="20% - Accent2 3" xfId="1347" hidden="1" xr:uid="{00000000-0005-0000-0000-000096010000}"/>
    <cellStyle name="20% - Accent2 3" xfId="1380" hidden="1" xr:uid="{00000000-0005-0000-0000-000097010000}"/>
    <cellStyle name="20% - Accent2 3" xfId="1413" hidden="1" xr:uid="{00000000-0005-0000-0000-000098010000}"/>
    <cellStyle name="20% - Accent2 3" xfId="1446" hidden="1" xr:uid="{00000000-0005-0000-0000-000099010000}"/>
    <cellStyle name="20% - Accent2 3" xfId="1479" hidden="1" xr:uid="{00000000-0005-0000-0000-00009A010000}"/>
    <cellStyle name="20% - Accent2 3" xfId="1512" hidden="1" xr:uid="{00000000-0005-0000-0000-00009B010000}"/>
    <cellStyle name="20% - Accent2 3" xfId="1545" hidden="1" xr:uid="{00000000-0005-0000-0000-00009C010000}"/>
    <cellStyle name="20% - Accent2 3" xfId="1759" hidden="1" xr:uid="{00000000-0005-0000-0000-00009D010000}"/>
    <cellStyle name="20% - Accent2 3" xfId="1796" hidden="1" xr:uid="{00000000-0005-0000-0000-00009E010000}"/>
    <cellStyle name="20% - Accent2 3" xfId="1829" hidden="1" xr:uid="{00000000-0005-0000-0000-00009F010000}"/>
    <cellStyle name="20% - Accent2 3" xfId="1861" hidden="1" xr:uid="{00000000-0005-0000-0000-0000A0010000}"/>
    <cellStyle name="20% - Accent2 3" xfId="1893" hidden="1" xr:uid="{00000000-0005-0000-0000-0000A1010000}"/>
    <cellStyle name="20% - Accent2 3" xfId="1926" hidden="1" xr:uid="{00000000-0005-0000-0000-0000A2010000}"/>
    <cellStyle name="20% - Accent2 3" xfId="1958" hidden="1" xr:uid="{00000000-0005-0000-0000-0000A3010000}"/>
    <cellStyle name="20% - Accent2 3" xfId="1991" hidden="1" xr:uid="{00000000-0005-0000-0000-0000A4010000}"/>
    <cellStyle name="20% - Accent2 3" xfId="2023" hidden="1" xr:uid="{00000000-0005-0000-0000-0000A5010000}"/>
    <cellStyle name="20% - Accent2 3" xfId="2056" hidden="1" xr:uid="{00000000-0005-0000-0000-0000A6010000}"/>
    <cellStyle name="20% - Accent2 3" xfId="2089" hidden="1" xr:uid="{00000000-0005-0000-0000-0000A7010000}"/>
    <cellStyle name="20% - Accent2 3" xfId="2122" hidden="1" xr:uid="{00000000-0005-0000-0000-0000A8010000}"/>
    <cellStyle name="20% - Accent2 3" xfId="2155" hidden="1" xr:uid="{00000000-0005-0000-0000-0000A9010000}"/>
    <cellStyle name="20% - Accent2 3" xfId="2188" hidden="1" xr:uid="{00000000-0005-0000-0000-0000AA010000}"/>
    <cellStyle name="20% - Accent2 3" xfId="2221" hidden="1" xr:uid="{00000000-0005-0000-0000-0000AB010000}"/>
    <cellStyle name="20% - Accent2 3" xfId="2236" hidden="1" xr:uid="{00000000-0005-0000-0000-0000AC010000}"/>
    <cellStyle name="20% - Accent2 3" xfId="2273" hidden="1" xr:uid="{00000000-0005-0000-0000-0000AD010000}"/>
    <cellStyle name="20% - Accent2 3" xfId="2306" hidden="1" xr:uid="{00000000-0005-0000-0000-0000AE010000}"/>
    <cellStyle name="20% - Accent2 3" xfId="2338" hidden="1" xr:uid="{00000000-0005-0000-0000-0000AF010000}"/>
    <cellStyle name="20% - Accent2 3" xfId="2370" hidden="1" xr:uid="{00000000-0005-0000-0000-0000B0010000}"/>
    <cellStyle name="20% - Accent2 3" xfId="2403" hidden="1" xr:uid="{00000000-0005-0000-0000-0000B1010000}"/>
    <cellStyle name="20% - Accent2 3" xfId="2435" hidden="1" xr:uid="{00000000-0005-0000-0000-0000B2010000}"/>
    <cellStyle name="20% - Accent2 3" xfId="2468" hidden="1" xr:uid="{00000000-0005-0000-0000-0000B3010000}"/>
    <cellStyle name="20% - Accent2 3" xfId="2500" hidden="1" xr:uid="{00000000-0005-0000-0000-0000B4010000}"/>
    <cellStyle name="20% - Accent2 3" xfId="2533" hidden="1" xr:uid="{00000000-0005-0000-0000-0000B5010000}"/>
    <cellStyle name="20% - Accent2 3" xfId="2566" hidden="1" xr:uid="{00000000-0005-0000-0000-0000B6010000}"/>
    <cellStyle name="20% - Accent2 3" xfId="2599" hidden="1" xr:uid="{00000000-0005-0000-0000-0000B7010000}"/>
    <cellStyle name="20% - Accent2 3" xfId="2632" hidden="1" xr:uid="{00000000-0005-0000-0000-0000B8010000}"/>
    <cellStyle name="20% - Accent2 3" xfId="2665" hidden="1" xr:uid="{00000000-0005-0000-0000-0000B9010000}"/>
    <cellStyle name="20% - Accent2 3" xfId="2698" hidden="1" xr:uid="{00000000-0005-0000-0000-0000BA010000}"/>
    <cellStyle name="20% - Accent2 3" xfId="2779" hidden="1" xr:uid="{00000000-0005-0000-0000-0000BB010000}"/>
    <cellStyle name="20% - Accent2 3" xfId="2816" hidden="1" xr:uid="{00000000-0005-0000-0000-0000BC010000}"/>
    <cellStyle name="20% - Accent2 3" xfId="2849" hidden="1" xr:uid="{00000000-0005-0000-0000-0000BD010000}"/>
    <cellStyle name="20% - Accent2 3" xfId="2881" hidden="1" xr:uid="{00000000-0005-0000-0000-0000BE010000}"/>
    <cellStyle name="20% - Accent2 3" xfId="2913" hidden="1" xr:uid="{00000000-0005-0000-0000-0000BF010000}"/>
    <cellStyle name="20% - Accent2 3" xfId="2946" hidden="1" xr:uid="{00000000-0005-0000-0000-0000C0010000}"/>
    <cellStyle name="20% - Accent2 3" xfId="2978" hidden="1" xr:uid="{00000000-0005-0000-0000-0000C1010000}"/>
    <cellStyle name="20% - Accent2 3" xfId="3011" hidden="1" xr:uid="{00000000-0005-0000-0000-0000C2010000}"/>
    <cellStyle name="20% - Accent2 3" xfId="3043" hidden="1" xr:uid="{00000000-0005-0000-0000-0000C3010000}"/>
    <cellStyle name="20% - Accent2 3" xfId="3076" hidden="1" xr:uid="{00000000-0005-0000-0000-0000C4010000}"/>
    <cellStyle name="20% - Accent2 3" xfId="3109" hidden="1" xr:uid="{00000000-0005-0000-0000-0000C5010000}"/>
    <cellStyle name="20% - Accent2 3" xfId="3142" hidden="1" xr:uid="{00000000-0005-0000-0000-0000C6010000}"/>
    <cellStyle name="20% - Accent2 3" xfId="3175" hidden="1" xr:uid="{00000000-0005-0000-0000-0000C7010000}"/>
    <cellStyle name="20% - Accent2 3" xfId="3208" hidden="1" xr:uid="{00000000-0005-0000-0000-0000C8010000}"/>
    <cellStyle name="20% - Accent2 3" xfId="3241" hidden="1" xr:uid="{00000000-0005-0000-0000-0000C9010000}"/>
    <cellStyle name="20% - Accent2 3" xfId="3292" hidden="1" xr:uid="{00000000-0005-0000-0000-0000CA010000}"/>
    <cellStyle name="20% - Accent2 3" xfId="3329" hidden="1" xr:uid="{00000000-0005-0000-0000-0000CB010000}"/>
    <cellStyle name="20% - Accent2 3" xfId="3362" hidden="1" xr:uid="{00000000-0005-0000-0000-0000CC010000}"/>
    <cellStyle name="20% - Accent2 3" xfId="3394" hidden="1" xr:uid="{00000000-0005-0000-0000-0000CD010000}"/>
    <cellStyle name="20% - Accent2 3" xfId="3426" hidden="1" xr:uid="{00000000-0005-0000-0000-0000CE010000}"/>
    <cellStyle name="20% - Accent2 3" xfId="3459" hidden="1" xr:uid="{00000000-0005-0000-0000-0000CF010000}"/>
    <cellStyle name="20% - Accent2 3" xfId="3491" hidden="1" xr:uid="{00000000-0005-0000-0000-0000D0010000}"/>
    <cellStyle name="20% - Accent2 3" xfId="3524" hidden="1" xr:uid="{00000000-0005-0000-0000-0000D1010000}"/>
    <cellStyle name="20% - Accent2 3" xfId="3556" hidden="1" xr:uid="{00000000-0005-0000-0000-0000D2010000}"/>
    <cellStyle name="20% - Accent2 3" xfId="3589" hidden="1" xr:uid="{00000000-0005-0000-0000-0000D3010000}"/>
    <cellStyle name="20% - Accent2 3" xfId="3622" hidden="1" xr:uid="{00000000-0005-0000-0000-0000D4010000}"/>
    <cellStyle name="20% - Accent2 3" xfId="3655" hidden="1" xr:uid="{00000000-0005-0000-0000-0000D5010000}"/>
    <cellStyle name="20% - Accent2 3" xfId="3688" hidden="1" xr:uid="{00000000-0005-0000-0000-0000D6010000}"/>
    <cellStyle name="20% - Accent2 3" xfId="3721" hidden="1" xr:uid="{00000000-0005-0000-0000-0000D7010000}"/>
    <cellStyle name="20% - Accent2 3" xfId="3754" hidden="1" xr:uid="{00000000-0005-0000-0000-0000D8010000}"/>
    <cellStyle name="20% - Accent2 3" xfId="3769" hidden="1" xr:uid="{00000000-0005-0000-0000-0000D9010000}"/>
    <cellStyle name="20% - Accent2 3" xfId="3806" hidden="1" xr:uid="{00000000-0005-0000-0000-0000DA010000}"/>
    <cellStyle name="20% - Accent2 3" xfId="3839" hidden="1" xr:uid="{00000000-0005-0000-0000-0000DB010000}"/>
    <cellStyle name="20% - Accent2 3" xfId="3871" hidden="1" xr:uid="{00000000-0005-0000-0000-0000DC010000}"/>
    <cellStyle name="20% - Accent2 3" xfId="3903" hidden="1" xr:uid="{00000000-0005-0000-0000-0000DD010000}"/>
    <cellStyle name="20% - Accent2 3" xfId="3936" hidden="1" xr:uid="{00000000-0005-0000-0000-0000DE010000}"/>
    <cellStyle name="20% - Accent2 3" xfId="3968" hidden="1" xr:uid="{00000000-0005-0000-0000-0000DF010000}"/>
    <cellStyle name="20% - Accent2 3" xfId="4001" hidden="1" xr:uid="{00000000-0005-0000-0000-0000E0010000}"/>
    <cellStyle name="20% - Accent2 3" xfId="4033" hidden="1" xr:uid="{00000000-0005-0000-0000-0000E1010000}"/>
    <cellStyle name="20% - Accent2 3" xfId="4066" hidden="1" xr:uid="{00000000-0005-0000-0000-0000E2010000}"/>
    <cellStyle name="20% - Accent2 3" xfId="4099" hidden="1" xr:uid="{00000000-0005-0000-0000-0000E3010000}"/>
    <cellStyle name="20% - Accent2 3" xfId="4132" hidden="1" xr:uid="{00000000-0005-0000-0000-0000E4010000}"/>
    <cellStyle name="20% - Accent2 3" xfId="4165" hidden="1" xr:uid="{00000000-0005-0000-0000-0000E5010000}"/>
    <cellStyle name="20% - Accent2 3" xfId="4198" hidden="1" xr:uid="{00000000-0005-0000-0000-0000E6010000}"/>
    <cellStyle name="20% - Accent2 3" xfId="4231" hidden="1" xr:uid="{00000000-0005-0000-0000-0000E7010000}"/>
    <cellStyle name="20% - Accent2 3" xfId="4398" hidden="1" xr:uid="{00000000-0005-0000-0000-0000E8010000}"/>
    <cellStyle name="20% - Accent2 3" xfId="4431" hidden="1" xr:uid="{00000000-0005-0000-0000-0000E9010000}"/>
    <cellStyle name="20% - Accent2 3" xfId="4464" hidden="1" xr:uid="{00000000-0005-0000-0000-0000EA010000}"/>
    <cellStyle name="20% - Accent2 3" xfId="4497" hidden="1" xr:uid="{00000000-0005-0000-0000-0000EB010000}"/>
    <cellStyle name="20% - Accent2 3" xfId="4530" hidden="1" xr:uid="{00000000-0005-0000-0000-0000EC010000}"/>
    <cellStyle name="20% - Accent2 3" xfId="4563" hidden="1" xr:uid="{00000000-0005-0000-0000-0000ED010000}"/>
    <cellStyle name="20% - Accent2 3" xfId="4596" hidden="1" xr:uid="{00000000-0005-0000-0000-0000EE010000}"/>
    <cellStyle name="20% - Accent2 3" xfId="4629" hidden="1" xr:uid="{00000000-0005-0000-0000-0000EF010000}"/>
    <cellStyle name="20% - Accent2 3" xfId="4662" hidden="1" xr:uid="{00000000-0005-0000-0000-0000F0010000}"/>
    <cellStyle name="20% - Accent2 3" xfId="4695" hidden="1" xr:uid="{00000000-0005-0000-0000-0000F1010000}"/>
    <cellStyle name="20% - Accent2 3" xfId="4728" hidden="1" xr:uid="{00000000-0005-0000-0000-0000F2010000}"/>
    <cellStyle name="20% - Accent2 3" xfId="4765" hidden="1" xr:uid="{00000000-0005-0000-0000-0000F3010000}"/>
    <cellStyle name="20% - Accent2 3" xfId="4798" hidden="1" xr:uid="{00000000-0005-0000-0000-0000F4010000}"/>
    <cellStyle name="20% - Accent2 3" xfId="4830" hidden="1" xr:uid="{00000000-0005-0000-0000-0000F5010000}"/>
    <cellStyle name="20% - Accent2 3" xfId="4862" hidden="1" xr:uid="{00000000-0005-0000-0000-0000F6010000}"/>
    <cellStyle name="20% - Accent2 3" xfId="4895" hidden="1" xr:uid="{00000000-0005-0000-0000-0000F7010000}"/>
    <cellStyle name="20% - Accent2 3" xfId="4927" hidden="1" xr:uid="{00000000-0005-0000-0000-0000F8010000}"/>
    <cellStyle name="20% - Accent2 3" xfId="4960" hidden="1" xr:uid="{00000000-0005-0000-0000-0000F9010000}"/>
    <cellStyle name="20% - Accent2 3" xfId="4992" hidden="1" xr:uid="{00000000-0005-0000-0000-0000FA010000}"/>
    <cellStyle name="20% - Accent2 3" xfId="5025" hidden="1" xr:uid="{00000000-0005-0000-0000-0000FB010000}"/>
    <cellStyle name="20% - Accent2 3" xfId="5058" hidden="1" xr:uid="{00000000-0005-0000-0000-0000FC010000}"/>
    <cellStyle name="20% - Accent2 3" xfId="5091" hidden="1" xr:uid="{00000000-0005-0000-0000-0000FD010000}"/>
    <cellStyle name="20% - Accent2 3" xfId="5124" hidden="1" xr:uid="{00000000-0005-0000-0000-0000FE010000}"/>
    <cellStyle name="20% - Accent2 3" xfId="5157" hidden="1" xr:uid="{00000000-0005-0000-0000-0000FF010000}"/>
    <cellStyle name="20% - Accent2 3" xfId="5190" hidden="1" xr:uid="{00000000-0005-0000-0000-000000020000}"/>
    <cellStyle name="20% - Accent2 3" xfId="5231" hidden="1" xr:uid="{00000000-0005-0000-0000-000001020000}"/>
    <cellStyle name="20% - Accent2 3" xfId="5268" hidden="1" xr:uid="{00000000-0005-0000-0000-000002020000}"/>
    <cellStyle name="20% - Accent2 3" xfId="5301" hidden="1" xr:uid="{00000000-0005-0000-0000-000003020000}"/>
    <cellStyle name="20% - Accent2 3" xfId="5333" hidden="1" xr:uid="{00000000-0005-0000-0000-000004020000}"/>
    <cellStyle name="20% - Accent2 3" xfId="5365" hidden="1" xr:uid="{00000000-0005-0000-0000-000005020000}"/>
    <cellStyle name="20% - Accent2 3" xfId="5398" hidden="1" xr:uid="{00000000-0005-0000-0000-000006020000}"/>
    <cellStyle name="20% - Accent2 3" xfId="5430" hidden="1" xr:uid="{00000000-0005-0000-0000-000007020000}"/>
    <cellStyle name="20% - Accent2 3" xfId="5463" hidden="1" xr:uid="{00000000-0005-0000-0000-000008020000}"/>
    <cellStyle name="20% - Accent2 3" xfId="5495" hidden="1" xr:uid="{00000000-0005-0000-0000-000009020000}"/>
    <cellStyle name="20% - Accent2 3" xfId="5528" hidden="1" xr:uid="{00000000-0005-0000-0000-00000A020000}"/>
    <cellStyle name="20% - Accent2 3" xfId="5561" hidden="1" xr:uid="{00000000-0005-0000-0000-00000B020000}"/>
    <cellStyle name="20% - Accent2 3" xfId="5594" hidden="1" xr:uid="{00000000-0005-0000-0000-00000C020000}"/>
    <cellStyle name="20% - Accent2 3" xfId="5627" hidden="1" xr:uid="{00000000-0005-0000-0000-00000D020000}"/>
    <cellStyle name="20% - Accent2 3" xfId="5660" hidden="1" xr:uid="{00000000-0005-0000-0000-00000E020000}"/>
    <cellStyle name="20% - Accent2 3" xfId="5693" hidden="1" xr:uid="{00000000-0005-0000-0000-00000F020000}"/>
    <cellStyle name="20% - Accent2 3" xfId="5797" hidden="1" xr:uid="{00000000-0005-0000-0000-000010020000}"/>
    <cellStyle name="20% - Accent2 3" xfId="5834" hidden="1" xr:uid="{00000000-0005-0000-0000-000011020000}"/>
    <cellStyle name="20% - Accent2 3" xfId="5867" hidden="1" xr:uid="{00000000-0005-0000-0000-000012020000}"/>
    <cellStyle name="20% - Accent2 3" xfId="5899" hidden="1" xr:uid="{00000000-0005-0000-0000-000013020000}"/>
    <cellStyle name="20% - Accent2 3" xfId="5931" hidden="1" xr:uid="{00000000-0005-0000-0000-000014020000}"/>
    <cellStyle name="20% - Accent2 3" xfId="5964" hidden="1" xr:uid="{00000000-0005-0000-0000-000015020000}"/>
    <cellStyle name="20% - Accent2 3" xfId="5996" hidden="1" xr:uid="{00000000-0005-0000-0000-000016020000}"/>
    <cellStyle name="20% - Accent2 3" xfId="6029" hidden="1" xr:uid="{00000000-0005-0000-0000-000017020000}"/>
    <cellStyle name="20% - Accent2 3" xfId="6061" hidden="1" xr:uid="{00000000-0005-0000-0000-000018020000}"/>
    <cellStyle name="20% - Accent2 3" xfId="6094" hidden="1" xr:uid="{00000000-0005-0000-0000-000019020000}"/>
    <cellStyle name="20% - Accent2 3" xfId="6127" hidden="1" xr:uid="{00000000-0005-0000-0000-00001A020000}"/>
    <cellStyle name="20% - Accent2 3" xfId="6160" hidden="1" xr:uid="{00000000-0005-0000-0000-00001B020000}"/>
    <cellStyle name="20% - Accent2 3" xfId="6193" hidden="1" xr:uid="{00000000-0005-0000-0000-00001C020000}"/>
    <cellStyle name="20% - Accent2 3" xfId="6226" hidden="1" xr:uid="{00000000-0005-0000-0000-00001D020000}"/>
    <cellStyle name="20% - Accent2 3" xfId="6259" hidden="1" xr:uid="{00000000-0005-0000-0000-00001E020000}"/>
    <cellStyle name="20% - Accent2 3" xfId="6274" hidden="1" xr:uid="{00000000-0005-0000-0000-00001F020000}"/>
    <cellStyle name="20% - Accent2 3" xfId="6311" hidden="1" xr:uid="{00000000-0005-0000-0000-000020020000}"/>
    <cellStyle name="20% - Accent2 3" xfId="6344" hidden="1" xr:uid="{00000000-0005-0000-0000-000021020000}"/>
    <cellStyle name="20% - Accent2 3" xfId="6376" hidden="1" xr:uid="{00000000-0005-0000-0000-000022020000}"/>
    <cellStyle name="20% - Accent2 3" xfId="6408" hidden="1" xr:uid="{00000000-0005-0000-0000-000023020000}"/>
    <cellStyle name="20% - Accent2 3" xfId="6441" hidden="1" xr:uid="{00000000-0005-0000-0000-000024020000}"/>
    <cellStyle name="20% - Accent2 3" xfId="6473" hidden="1" xr:uid="{00000000-0005-0000-0000-000025020000}"/>
    <cellStyle name="20% - Accent2 3" xfId="6506" hidden="1" xr:uid="{00000000-0005-0000-0000-000026020000}"/>
    <cellStyle name="20% - Accent2 3" xfId="6538" hidden="1" xr:uid="{00000000-0005-0000-0000-000027020000}"/>
    <cellStyle name="20% - Accent2 3" xfId="6571" hidden="1" xr:uid="{00000000-0005-0000-0000-000028020000}"/>
    <cellStyle name="20% - Accent2 3" xfId="6604" hidden="1" xr:uid="{00000000-0005-0000-0000-000029020000}"/>
    <cellStyle name="20% - Accent2 3" xfId="6637" hidden="1" xr:uid="{00000000-0005-0000-0000-00002A020000}"/>
    <cellStyle name="20% - Accent2 3" xfId="6670" hidden="1" xr:uid="{00000000-0005-0000-0000-00002B020000}"/>
    <cellStyle name="20% - Accent2 3" xfId="6703" hidden="1" xr:uid="{00000000-0005-0000-0000-00002C020000}"/>
    <cellStyle name="20% - Accent2 3" xfId="6736" hidden="1" xr:uid="{00000000-0005-0000-0000-00002D020000}"/>
    <cellStyle name="20% - Accent2 3" xfId="6793" hidden="1" xr:uid="{00000000-0005-0000-0000-00002E020000}"/>
    <cellStyle name="20% - Accent2 3" xfId="6830" hidden="1" xr:uid="{00000000-0005-0000-0000-00002F020000}"/>
    <cellStyle name="20% - Accent2 3" xfId="6863" hidden="1" xr:uid="{00000000-0005-0000-0000-000030020000}"/>
    <cellStyle name="20% - Accent2 3" xfId="6895" hidden="1" xr:uid="{00000000-0005-0000-0000-000031020000}"/>
    <cellStyle name="20% - Accent2 3" xfId="6927" hidden="1" xr:uid="{00000000-0005-0000-0000-000032020000}"/>
    <cellStyle name="20% - Accent2 3" xfId="6960" hidden="1" xr:uid="{00000000-0005-0000-0000-000033020000}"/>
    <cellStyle name="20% - Accent2 3" xfId="6992" hidden="1" xr:uid="{00000000-0005-0000-0000-000034020000}"/>
    <cellStyle name="20% - Accent2 3" xfId="7025" hidden="1" xr:uid="{00000000-0005-0000-0000-000035020000}"/>
    <cellStyle name="20% - Accent2 3" xfId="7057" hidden="1" xr:uid="{00000000-0005-0000-0000-000036020000}"/>
    <cellStyle name="20% - Accent2 3" xfId="7090" hidden="1" xr:uid="{00000000-0005-0000-0000-000037020000}"/>
    <cellStyle name="20% - Accent2 3" xfId="7123" hidden="1" xr:uid="{00000000-0005-0000-0000-000038020000}"/>
    <cellStyle name="20% - Accent2 3" xfId="7156" hidden="1" xr:uid="{00000000-0005-0000-0000-000039020000}"/>
    <cellStyle name="20% - Accent2 3" xfId="7189" hidden="1" xr:uid="{00000000-0005-0000-0000-00003A020000}"/>
    <cellStyle name="20% - Accent2 3" xfId="7222" hidden="1" xr:uid="{00000000-0005-0000-0000-00003B020000}"/>
    <cellStyle name="20% - Accent2 3" xfId="7255" hidden="1" xr:uid="{00000000-0005-0000-0000-00003C020000}"/>
    <cellStyle name="20% - Accent2 3" xfId="7306" hidden="1" xr:uid="{00000000-0005-0000-0000-00003D020000}"/>
    <cellStyle name="20% - Accent2 3" xfId="7343" hidden="1" xr:uid="{00000000-0005-0000-0000-00003E020000}"/>
    <cellStyle name="20% - Accent2 3" xfId="7376" hidden="1" xr:uid="{00000000-0005-0000-0000-00003F020000}"/>
    <cellStyle name="20% - Accent2 3" xfId="7408" hidden="1" xr:uid="{00000000-0005-0000-0000-000040020000}"/>
    <cellStyle name="20% - Accent2 3" xfId="7440" hidden="1" xr:uid="{00000000-0005-0000-0000-000041020000}"/>
    <cellStyle name="20% - Accent2 3" xfId="7473" hidden="1" xr:uid="{00000000-0005-0000-0000-000042020000}"/>
    <cellStyle name="20% - Accent2 3" xfId="7505" hidden="1" xr:uid="{00000000-0005-0000-0000-000043020000}"/>
    <cellStyle name="20% - Accent2 3" xfId="7538" hidden="1" xr:uid="{00000000-0005-0000-0000-000044020000}"/>
    <cellStyle name="20% - Accent2 3" xfId="7570" hidden="1" xr:uid="{00000000-0005-0000-0000-000045020000}"/>
    <cellStyle name="20% - Accent2 3" xfId="7603" hidden="1" xr:uid="{00000000-0005-0000-0000-000046020000}"/>
    <cellStyle name="20% - Accent2 3" xfId="7636" hidden="1" xr:uid="{00000000-0005-0000-0000-000047020000}"/>
    <cellStyle name="20% - Accent2 3" xfId="7669" hidden="1" xr:uid="{00000000-0005-0000-0000-000048020000}"/>
    <cellStyle name="20% - Accent2 3" xfId="7702" hidden="1" xr:uid="{00000000-0005-0000-0000-000049020000}"/>
    <cellStyle name="20% - Accent2 3" xfId="7735" hidden="1" xr:uid="{00000000-0005-0000-0000-00004A020000}"/>
    <cellStyle name="20% - Accent2 3" xfId="7768" hidden="1" xr:uid="{00000000-0005-0000-0000-00004B020000}"/>
    <cellStyle name="20% - Accent2 3" xfId="7783" hidden="1" xr:uid="{00000000-0005-0000-0000-00004C020000}"/>
    <cellStyle name="20% - Accent2 3" xfId="7820" hidden="1" xr:uid="{00000000-0005-0000-0000-00004D020000}"/>
    <cellStyle name="20% - Accent2 3" xfId="7853" hidden="1" xr:uid="{00000000-0005-0000-0000-00004E020000}"/>
    <cellStyle name="20% - Accent2 3" xfId="7885" hidden="1" xr:uid="{00000000-0005-0000-0000-00004F020000}"/>
    <cellStyle name="20% - Accent2 3" xfId="7917" hidden="1" xr:uid="{00000000-0005-0000-0000-000050020000}"/>
    <cellStyle name="20% - Accent2 3" xfId="7950" hidden="1" xr:uid="{00000000-0005-0000-0000-000051020000}"/>
    <cellStyle name="20% - Accent2 3" xfId="7982" hidden="1" xr:uid="{00000000-0005-0000-0000-000052020000}"/>
    <cellStyle name="20% - Accent2 3" xfId="8015" hidden="1" xr:uid="{00000000-0005-0000-0000-000053020000}"/>
    <cellStyle name="20% - Accent2 3" xfId="8047" hidden="1" xr:uid="{00000000-0005-0000-0000-000054020000}"/>
    <cellStyle name="20% - Accent2 3" xfId="8080" hidden="1" xr:uid="{00000000-0005-0000-0000-000055020000}"/>
    <cellStyle name="20% - Accent2 3" xfId="8113" hidden="1" xr:uid="{00000000-0005-0000-0000-000056020000}"/>
    <cellStyle name="20% - Accent2 3" xfId="8146" hidden="1" xr:uid="{00000000-0005-0000-0000-000057020000}"/>
    <cellStyle name="20% - Accent2 3" xfId="8179" hidden="1" xr:uid="{00000000-0005-0000-0000-000058020000}"/>
    <cellStyle name="20% - Accent2 3" xfId="8212" hidden="1" xr:uid="{00000000-0005-0000-0000-000059020000}"/>
    <cellStyle name="20% - Accent2 3" xfId="8245" hidden="1" xr:uid="{00000000-0005-0000-0000-00005A020000}"/>
    <cellStyle name="20% - Accent2 3" xfId="4348" hidden="1" xr:uid="{00000000-0005-0000-0000-00005B020000}"/>
    <cellStyle name="20% - Accent2 3" xfId="4333" hidden="1" xr:uid="{00000000-0005-0000-0000-00005C020000}"/>
    <cellStyle name="20% - Accent2 3" xfId="4318" hidden="1" xr:uid="{00000000-0005-0000-0000-00005D020000}"/>
    <cellStyle name="20% - Accent2 3" xfId="4303" hidden="1" xr:uid="{00000000-0005-0000-0000-00005E020000}"/>
    <cellStyle name="20% - Accent2 3" xfId="4288" hidden="1" xr:uid="{00000000-0005-0000-0000-00005F020000}"/>
    <cellStyle name="20% - Accent2 3" xfId="4264" hidden="1" xr:uid="{00000000-0005-0000-0000-000060020000}"/>
    <cellStyle name="20% - Accent2 3" xfId="8257" hidden="1" xr:uid="{00000000-0005-0000-0000-000061020000}"/>
    <cellStyle name="20% - Accent2 3" xfId="8290" hidden="1" xr:uid="{00000000-0005-0000-0000-000062020000}"/>
    <cellStyle name="20% - Accent2 3" xfId="8323" hidden="1" xr:uid="{00000000-0005-0000-0000-000063020000}"/>
    <cellStyle name="20% - Accent2 3" xfId="8356" hidden="1" xr:uid="{00000000-0005-0000-0000-000064020000}"/>
    <cellStyle name="20% - Accent2 3" xfId="8389" hidden="1" xr:uid="{00000000-0005-0000-0000-000065020000}"/>
    <cellStyle name="20% - Accent2 3" xfId="8426" hidden="1" xr:uid="{00000000-0005-0000-0000-000066020000}"/>
    <cellStyle name="20% - Accent2 3" xfId="8459" hidden="1" xr:uid="{00000000-0005-0000-0000-000067020000}"/>
    <cellStyle name="20% - Accent2 3" xfId="8491" hidden="1" xr:uid="{00000000-0005-0000-0000-000068020000}"/>
    <cellStyle name="20% - Accent2 3" xfId="8523" hidden="1" xr:uid="{00000000-0005-0000-0000-000069020000}"/>
    <cellStyle name="20% - Accent2 3" xfId="8556" hidden="1" xr:uid="{00000000-0005-0000-0000-00006A020000}"/>
    <cellStyle name="20% - Accent2 3" xfId="8588" hidden="1" xr:uid="{00000000-0005-0000-0000-00006B020000}"/>
    <cellStyle name="20% - Accent2 3" xfId="8621" hidden="1" xr:uid="{00000000-0005-0000-0000-00006C020000}"/>
    <cellStyle name="20% - Accent2 3" xfId="8653" hidden="1" xr:uid="{00000000-0005-0000-0000-00006D020000}"/>
    <cellStyle name="20% - Accent2 3" xfId="8686" hidden="1" xr:uid="{00000000-0005-0000-0000-00006E020000}"/>
    <cellStyle name="20% - Accent2 3" xfId="8719" hidden="1" xr:uid="{00000000-0005-0000-0000-00006F020000}"/>
    <cellStyle name="20% - Accent2 3" xfId="8752" hidden="1" xr:uid="{00000000-0005-0000-0000-000070020000}"/>
    <cellStyle name="20% - Accent2 3" xfId="8785" hidden="1" xr:uid="{00000000-0005-0000-0000-000071020000}"/>
    <cellStyle name="20% - Accent2 3" xfId="8818" hidden="1" xr:uid="{00000000-0005-0000-0000-000072020000}"/>
    <cellStyle name="20% - Accent2 3" xfId="8851" hidden="1" xr:uid="{00000000-0005-0000-0000-000073020000}"/>
    <cellStyle name="20% - Accent2 3" xfId="8891" hidden="1" xr:uid="{00000000-0005-0000-0000-000074020000}"/>
    <cellStyle name="20% - Accent2 3" xfId="8928" hidden="1" xr:uid="{00000000-0005-0000-0000-000075020000}"/>
    <cellStyle name="20% - Accent2 3" xfId="8961" hidden="1" xr:uid="{00000000-0005-0000-0000-000076020000}"/>
    <cellStyle name="20% - Accent2 3" xfId="8993" hidden="1" xr:uid="{00000000-0005-0000-0000-000077020000}"/>
    <cellStyle name="20% - Accent2 3" xfId="9025" hidden="1" xr:uid="{00000000-0005-0000-0000-000078020000}"/>
    <cellStyle name="20% - Accent2 3" xfId="9058" hidden="1" xr:uid="{00000000-0005-0000-0000-000079020000}"/>
    <cellStyle name="20% - Accent2 3" xfId="9090" hidden="1" xr:uid="{00000000-0005-0000-0000-00007A020000}"/>
    <cellStyle name="20% - Accent2 3" xfId="9123" hidden="1" xr:uid="{00000000-0005-0000-0000-00007B020000}"/>
    <cellStyle name="20% - Accent2 3" xfId="9155" hidden="1" xr:uid="{00000000-0005-0000-0000-00007C020000}"/>
    <cellStyle name="20% - Accent2 3" xfId="9188" hidden="1" xr:uid="{00000000-0005-0000-0000-00007D020000}"/>
    <cellStyle name="20% - Accent2 3" xfId="9221" hidden="1" xr:uid="{00000000-0005-0000-0000-00007E020000}"/>
    <cellStyle name="20% - Accent2 3" xfId="9254" hidden="1" xr:uid="{00000000-0005-0000-0000-00007F020000}"/>
    <cellStyle name="20% - Accent2 3" xfId="9287" hidden="1" xr:uid="{00000000-0005-0000-0000-000080020000}"/>
    <cellStyle name="20% - Accent2 3" xfId="9320" hidden="1" xr:uid="{00000000-0005-0000-0000-000081020000}"/>
    <cellStyle name="20% - Accent2 3" xfId="9353" hidden="1" xr:uid="{00000000-0005-0000-0000-000082020000}"/>
    <cellStyle name="20% - Accent2 3" xfId="9404" hidden="1" xr:uid="{00000000-0005-0000-0000-000083020000}"/>
    <cellStyle name="20% - Accent2 3" xfId="9441" hidden="1" xr:uid="{00000000-0005-0000-0000-000084020000}"/>
    <cellStyle name="20% - Accent2 3" xfId="9474" hidden="1" xr:uid="{00000000-0005-0000-0000-000085020000}"/>
    <cellStyle name="20% - Accent2 3" xfId="9506" hidden="1" xr:uid="{00000000-0005-0000-0000-000086020000}"/>
    <cellStyle name="20% - Accent2 3" xfId="9538" hidden="1" xr:uid="{00000000-0005-0000-0000-000087020000}"/>
    <cellStyle name="20% - Accent2 3" xfId="9571" hidden="1" xr:uid="{00000000-0005-0000-0000-000088020000}"/>
    <cellStyle name="20% - Accent2 3" xfId="9603" hidden="1" xr:uid="{00000000-0005-0000-0000-000089020000}"/>
    <cellStyle name="20% - Accent2 3" xfId="9636" hidden="1" xr:uid="{00000000-0005-0000-0000-00008A020000}"/>
    <cellStyle name="20% - Accent2 3" xfId="9668" hidden="1" xr:uid="{00000000-0005-0000-0000-00008B020000}"/>
    <cellStyle name="20% - Accent2 3" xfId="9701" hidden="1" xr:uid="{00000000-0005-0000-0000-00008C020000}"/>
    <cellStyle name="20% - Accent2 3" xfId="9734" hidden="1" xr:uid="{00000000-0005-0000-0000-00008D020000}"/>
    <cellStyle name="20% - Accent2 3" xfId="9767" hidden="1" xr:uid="{00000000-0005-0000-0000-00008E020000}"/>
    <cellStyle name="20% - Accent2 3" xfId="9800" hidden="1" xr:uid="{00000000-0005-0000-0000-00008F020000}"/>
    <cellStyle name="20% - Accent2 3" xfId="9833" hidden="1" xr:uid="{00000000-0005-0000-0000-000090020000}"/>
    <cellStyle name="20% - Accent2 3" xfId="9866" hidden="1" xr:uid="{00000000-0005-0000-0000-000091020000}"/>
    <cellStyle name="20% - Accent2 3" xfId="9881" hidden="1" xr:uid="{00000000-0005-0000-0000-000092020000}"/>
    <cellStyle name="20% - Accent2 3" xfId="9918" hidden="1" xr:uid="{00000000-0005-0000-0000-000093020000}"/>
    <cellStyle name="20% - Accent2 3" xfId="9951" hidden="1" xr:uid="{00000000-0005-0000-0000-000094020000}"/>
    <cellStyle name="20% - Accent2 3" xfId="9983" hidden="1" xr:uid="{00000000-0005-0000-0000-000095020000}"/>
    <cellStyle name="20% - Accent2 3" xfId="10015" hidden="1" xr:uid="{00000000-0005-0000-0000-000096020000}"/>
    <cellStyle name="20% - Accent2 3" xfId="10048" hidden="1" xr:uid="{00000000-0005-0000-0000-000097020000}"/>
    <cellStyle name="20% - Accent2 3" xfId="10080" hidden="1" xr:uid="{00000000-0005-0000-0000-000098020000}"/>
    <cellStyle name="20% - Accent2 3" xfId="10113" hidden="1" xr:uid="{00000000-0005-0000-0000-000099020000}"/>
    <cellStyle name="20% - Accent2 3" xfId="10145" hidden="1" xr:uid="{00000000-0005-0000-0000-00009A020000}"/>
    <cellStyle name="20% - Accent2 3" xfId="10178" hidden="1" xr:uid="{00000000-0005-0000-0000-00009B020000}"/>
    <cellStyle name="20% - Accent2 3" xfId="10211" hidden="1" xr:uid="{00000000-0005-0000-0000-00009C020000}"/>
    <cellStyle name="20% - Accent2 3" xfId="10244" hidden="1" xr:uid="{00000000-0005-0000-0000-00009D020000}"/>
    <cellStyle name="20% - Accent2 3" xfId="10277" hidden="1" xr:uid="{00000000-0005-0000-0000-00009E020000}"/>
    <cellStyle name="20% - Accent2 3" xfId="10310" hidden="1" xr:uid="{00000000-0005-0000-0000-00009F020000}"/>
    <cellStyle name="20% - Accent2 3" xfId="10343" hidden="1" xr:uid="{00000000-0005-0000-0000-0000A0020000}"/>
    <cellStyle name="20% - Accent2 3" xfId="10369" hidden="1" xr:uid="{00000000-0005-0000-0000-0000A1020000}"/>
    <cellStyle name="20% - Accent2 3" xfId="10406" hidden="1" xr:uid="{00000000-0005-0000-0000-0000A2020000}"/>
    <cellStyle name="20% - Accent2 3" xfId="10439" hidden="1" xr:uid="{00000000-0005-0000-0000-0000A3020000}"/>
    <cellStyle name="20% - Accent2 3" xfId="10471" hidden="1" xr:uid="{00000000-0005-0000-0000-0000A4020000}"/>
    <cellStyle name="20% - Accent2 3" xfId="10503" hidden="1" xr:uid="{00000000-0005-0000-0000-0000A5020000}"/>
    <cellStyle name="20% - Accent2 3" xfId="10536" hidden="1" xr:uid="{00000000-0005-0000-0000-0000A6020000}"/>
    <cellStyle name="20% - Accent2 3" xfId="10568" hidden="1" xr:uid="{00000000-0005-0000-0000-0000A7020000}"/>
    <cellStyle name="20% - Accent2 3" xfId="10601" hidden="1" xr:uid="{00000000-0005-0000-0000-0000A8020000}"/>
    <cellStyle name="20% - Accent2 3" xfId="10633" hidden="1" xr:uid="{00000000-0005-0000-0000-0000A9020000}"/>
    <cellStyle name="20% - Accent2 3" xfId="10666" hidden="1" xr:uid="{00000000-0005-0000-0000-0000AA020000}"/>
    <cellStyle name="20% - Accent2 3" xfId="10699" hidden="1" xr:uid="{00000000-0005-0000-0000-0000AB020000}"/>
    <cellStyle name="20% - Accent2 3" xfId="10732" hidden="1" xr:uid="{00000000-0005-0000-0000-0000AC020000}"/>
    <cellStyle name="20% - Accent2 3" xfId="10765" hidden="1" xr:uid="{00000000-0005-0000-0000-0000AD020000}"/>
    <cellStyle name="20% - Accent2 3" xfId="10798" hidden="1" xr:uid="{00000000-0005-0000-0000-0000AE020000}"/>
    <cellStyle name="20% - Accent2 3" xfId="10831" hidden="1" xr:uid="{00000000-0005-0000-0000-0000AF020000}"/>
    <cellStyle name="20% - Accent2 3" xfId="10882" hidden="1" xr:uid="{00000000-0005-0000-0000-0000B0020000}"/>
    <cellStyle name="20% - Accent2 3" xfId="10919" hidden="1" xr:uid="{00000000-0005-0000-0000-0000B1020000}"/>
    <cellStyle name="20% - Accent2 3" xfId="10952" hidden="1" xr:uid="{00000000-0005-0000-0000-0000B2020000}"/>
    <cellStyle name="20% - Accent2 3" xfId="10984" hidden="1" xr:uid="{00000000-0005-0000-0000-0000B3020000}"/>
    <cellStyle name="20% - Accent2 3" xfId="11016" hidden="1" xr:uid="{00000000-0005-0000-0000-0000B4020000}"/>
    <cellStyle name="20% - Accent2 3" xfId="11049" hidden="1" xr:uid="{00000000-0005-0000-0000-0000B5020000}"/>
    <cellStyle name="20% - Accent2 3" xfId="11081" hidden="1" xr:uid="{00000000-0005-0000-0000-0000B6020000}"/>
    <cellStyle name="20% - Accent2 3" xfId="11114" hidden="1" xr:uid="{00000000-0005-0000-0000-0000B7020000}"/>
    <cellStyle name="20% - Accent2 3" xfId="11146" hidden="1" xr:uid="{00000000-0005-0000-0000-0000B8020000}"/>
    <cellStyle name="20% - Accent2 3" xfId="11179" hidden="1" xr:uid="{00000000-0005-0000-0000-0000B9020000}"/>
    <cellStyle name="20% - Accent2 3" xfId="11212" hidden="1" xr:uid="{00000000-0005-0000-0000-0000BA020000}"/>
    <cellStyle name="20% - Accent2 3" xfId="11245" hidden="1" xr:uid="{00000000-0005-0000-0000-0000BB020000}"/>
    <cellStyle name="20% - Accent2 3" xfId="11278" hidden="1" xr:uid="{00000000-0005-0000-0000-0000BC020000}"/>
    <cellStyle name="20% - Accent2 3" xfId="11311" hidden="1" xr:uid="{00000000-0005-0000-0000-0000BD020000}"/>
    <cellStyle name="20% - Accent2 3" xfId="11344" hidden="1" xr:uid="{00000000-0005-0000-0000-0000BE020000}"/>
    <cellStyle name="20% - Accent2 3" xfId="11359" hidden="1" xr:uid="{00000000-0005-0000-0000-0000BF020000}"/>
    <cellStyle name="20% - Accent2 3" xfId="11396" hidden="1" xr:uid="{00000000-0005-0000-0000-0000C0020000}"/>
    <cellStyle name="20% - Accent2 3" xfId="11429" hidden="1" xr:uid="{00000000-0005-0000-0000-0000C1020000}"/>
    <cellStyle name="20% - Accent2 3" xfId="11461" hidden="1" xr:uid="{00000000-0005-0000-0000-0000C2020000}"/>
    <cellStyle name="20% - Accent2 3" xfId="11493" hidden="1" xr:uid="{00000000-0005-0000-0000-0000C3020000}"/>
    <cellStyle name="20% - Accent2 3" xfId="11526" hidden="1" xr:uid="{00000000-0005-0000-0000-0000C4020000}"/>
    <cellStyle name="20% - Accent2 3" xfId="11558" hidden="1" xr:uid="{00000000-0005-0000-0000-0000C5020000}"/>
    <cellStyle name="20% - Accent2 3" xfId="11591" hidden="1" xr:uid="{00000000-0005-0000-0000-0000C6020000}"/>
    <cellStyle name="20% - Accent2 3" xfId="11623" hidden="1" xr:uid="{00000000-0005-0000-0000-0000C7020000}"/>
    <cellStyle name="20% - Accent2 3" xfId="11656" hidden="1" xr:uid="{00000000-0005-0000-0000-0000C8020000}"/>
    <cellStyle name="20% - Accent2 3" xfId="11689" hidden="1" xr:uid="{00000000-0005-0000-0000-0000C9020000}"/>
    <cellStyle name="20% - Accent2 3" xfId="11722" hidden="1" xr:uid="{00000000-0005-0000-0000-0000CA020000}"/>
    <cellStyle name="20% - Accent2 3" xfId="11755" hidden="1" xr:uid="{00000000-0005-0000-0000-0000CB020000}"/>
    <cellStyle name="20% - Accent2 3" xfId="11788" hidden="1" xr:uid="{00000000-0005-0000-0000-0000CC020000}"/>
    <cellStyle name="20% - Accent2 3" xfId="11821" xr:uid="{00000000-0005-0000-0000-0000CD020000}"/>
    <cellStyle name="20% - Accent3 2" xfId="21" xr:uid="{00000000-0005-0000-0000-0000CE020000}"/>
    <cellStyle name="20% - Accent3 2 2" xfId="1575" xr:uid="{00000000-0005-0000-0000-0000CF020000}"/>
    <cellStyle name="20% - Accent3 2 3" xfId="2712" xr:uid="{00000000-0005-0000-0000-0000D0020000}"/>
    <cellStyle name="20% - Accent3 3" xfId="220" hidden="1" xr:uid="{00000000-0005-0000-0000-0000D1020000}"/>
    <cellStyle name="20% - Accent3 3" xfId="243" hidden="1" xr:uid="{00000000-0005-0000-0000-0000D2020000}"/>
    <cellStyle name="20% - Accent3 3" xfId="276" hidden="1" xr:uid="{00000000-0005-0000-0000-0000D3020000}"/>
    <cellStyle name="20% - Accent3 3" xfId="309" hidden="1" xr:uid="{00000000-0005-0000-0000-0000D4020000}"/>
    <cellStyle name="20% - Accent3 3" xfId="342" hidden="1" xr:uid="{00000000-0005-0000-0000-0000D5020000}"/>
    <cellStyle name="20% - Accent3 3" xfId="376" hidden="1" xr:uid="{00000000-0005-0000-0000-0000D6020000}"/>
    <cellStyle name="20% - Accent3 3" xfId="409" hidden="1" xr:uid="{00000000-0005-0000-0000-0000D7020000}"/>
    <cellStyle name="20% - Accent3 3" xfId="442" hidden="1" xr:uid="{00000000-0005-0000-0000-0000D8020000}"/>
    <cellStyle name="20% - Accent3 3" xfId="475" hidden="1" xr:uid="{00000000-0005-0000-0000-0000D9020000}"/>
    <cellStyle name="20% - Accent3 3" xfId="508" hidden="1" xr:uid="{00000000-0005-0000-0000-0000DA020000}"/>
    <cellStyle name="20% - Accent3 3" xfId="541" hidden="1" xr:uid="{00000000-0005-0000-0000-0000DB020000}"/>
    <cellStyle name="20% - Accent3 3" xfId="574" hidden="1" xr:uid="{00000000-0005-0000-0000-0000DC020000}"/>
    <cellStyle name="20% - Accent3 3" xfId="611" hidden="1" xr:uid="{00000000-0005-0000-0000-0000DD020000}"/>
    <cellStyle name="20% - Accent3 3" xfId="644" hidden="1" xr:uid="{00000000-0005-0000-0000-0000DE020000}"/>
    <cellStyle name="20% - Accent3 3" xfId="676" hidden="1" xr:uid="{00000000-0005-0000-0000-0000DF020000}"/>
    <cellStyle name="20% - Accent3 3" xfId="708" hidden="1" xr:uid="{00000000-0005-0000-0000-0000E0020000}"/>
    <cellStyle name="20% - Accent3 3" xfId="741" hidden="1" xr:uid="{00000000-0005-0000-0000-0000E1020000}"/>
    <cellStyle name="20% - Accent3 3" xfId="773" hidden="1" xr:uid="{00000000-0005-0000-0000-0000E2020000}"/>
    <cellStyle name="20% - Accent3 3" xfId="806" hidden="1" xr:uid="{00000000-0005-0000-0000-0000E3020000}"/>
    <cellStyle name="20% - Accent3 3" xfId="838" hidden="1" xr:uid="{00000000-0005-0000-0000-0000E4020000}"/>
    <cellStyle name="20% - Accent3 3" xfId="871" hidden="1" xr:uid="{00000000-0005-0000-0000-0000E5020000}"/>
    <cellStyle name="20% - Accent3 3" xfId="904" hidden="1" xr:uid="{00000000-0005-0000-0000-0000E6020000}"/>
    <cellStyle name="20% - Accent3 3" xfId="937" hidden="1" xr:uid="{00000000-0005-0000-0000-0000E7020000}"/>
    <cellStyle name="20% - Accent3 3" xfId="970" hidden="1" xr:uid="{00000000-0005-0000-0000-0000E8020000}"/>
    <cellStyle name="20% - Accent3 3" xfId="1003" hidden="1" xr:uid="{00000000-0005-0000-0000-0000E9020000}"/>
    <cellStyle name="20% - Accent3 3" xfId="1036" hidden="1" xr:uid="{00000000-0005-0000-0000-0000EA020000}"/>
    <cellStyle name="20% - Accent3 3" xfId="1079" hidden="1" xr:uid="{00000000-0005-0000-0000-0000EB020000}"/>
    <cellStyle name="20% - Accent3 3" xfId="1117" hidden="1" xr:uid="{00000000-0005-0000-0000-0000EC020000}"/>
    <cellStyle name="20% - Accent3 3" xfId="1150" hidden="1" xr:uid="{00000000-0005-0000-0000-0000ED020000}"/>
    <cellStyle name="20% - Accent3 3" xfId="1182" hidden="1" xr:uid="{00000000-0005-0000-0000-0000EE020000}"/>
    <cellStyle name="20% - Accent3 3" xfId="1214" hidden="1" xr:uid="{00000000-0005-0000-0000-0000EF020000}"/>
    <cellStyle name="20% - Accent3 3" xfId="1247" hidden="1" xr:uid="{00000000-0005-0000-0000-0000F0020000}"/>
    <cellStyle name="20% - Accent3 3" xfId="1279" hidden="1" xr:uid="{00000000-0005-0000-0000-0000F1020000}"/>
    <cellStyle name="20% - Accent3 3" xfId="1312" hidden="1" xr:uid="{00000000-0005-0000-0000-0000F2020000}"/>
    <cellStyle name="20% - Accent3 3" xfId="1344" hidden="1" xr:uid="{00000000-0005-0000-0000-0000F3020000}"/>
    <cellStyle name="20% - Accent3 3" xfId="1377" hidden="1" xr:uid="{00000000-0005-0000-0000-0000F4020000}"/>
    <cellStyle name="20% - Accent3 3" xfId="1410" hidden="1" xr:uid="{00000000-0005-0000-0000-0000F5020000}"/>
    <cellStyle name="20% - Accent3 3" xfId="1443" hidden="1" xr:uid="{00000000-0005-0000-0000-0000F6020000}"/>
    <cellStyle name="20% - Accent3 3" xfId="1476" hidden="1" xr:uid="{00000000-0005-0000-0000-0000F7020000}"/>
    <cellStyle name="20% - Accent3 3" xfId="1509" hidden="1" xr:uid="{00000000-0005-0000-0000-0000F8020000}"/>
    <cellStyle name="20% - Accent3 3" xfId="1542" hidden="1" xr:uid="{00000000-0005-0000-0000-0000F9020000}"/>
    <cellStyle name="20% - Accent3 3" xfId="1756" hidden="1" xr:uid="{00000000-0005-0000-0000-0000FA020000}"/>
    <cellStyle name="20% - Accent3 3" xfId="1793" hidden="1" xr:uid="{00000000-0005-0000-0000-0000FB020000}"/>
    <cellStyle name="20% - Accent3 3" xfId="1826" hidden="1" xr:uid="{00000000-0005-0000-0000-0000FC020000}"/>
    <cellStyle name="20% - Accent3 3" xfId="1858" hidden="1" xr:uid="{00000000-0005-0000-0000-0000FD020000}"/>
    <cellStyle name="20% - Accent3 3" xfId="1890" hidden="1" xr:uid="{00000000-0005-0000-0000-0000FE020000}"/>
    <cellStyle name="20% - Accent3 3" xfId="1923" hidden="1" xr:uid="{00000000-0005-0000-0000-0000FF020000}"/>
    <cellStyle name="20% - Accent3 3" xfId="1955" hidden="1" xr:uid="{00000000-0005-0000-0000-000000030000}"/>
    <cellStyle name="20% - Accent3 3" xfId="1988" hidden="1" xr:uid="{00000000-0005-0000-0000-000001030000}"/>
    <cellStyle name="20% - Accent3 3" xfId="2020" hidden="1" xr:uid="{00000000-0005-0000-0000-000002030000}"/>
    <cellStyle name="20% - Accent3 3" xfId="2053" hidden="1" xr:uid="{00000000-0005-0000-0000-000003030000}"/>
    <cellStyle name="20% - Accent3 3" xfId="2086" hidden="1" xr:uid="{00000000-0005-0000-0000-000004030000}"/>
    <cellStyle name="20% - Accent3 3" xfId="2119" hidden="1" xr:uid="{00000000-0005-0000-0000-000005030000}"/>
    <cellStyle name="20% - Accent3 3" xfId="2152" hidden="1" xr:uid="{00000000-0005-0000-0000-000006030000}"/>
    <cellStyle name="20% - Accent3 3" xfId="2185" hidden="1" xr:uid="{00000000-0005-0000-0000-000007030000}"/>
    <cellStyle name="20% - Accent3 3" xfId="2218" hidden="1" xr:uid="{00000000-0005-0000-0000-000008030000}"/>
    <cellStyle name="20% - Accent3 3" xfId="2233" hidden="1" xr:uid="{00000000-0005-0000-0000-000009030000}"/>
    <cellStyle name="20% - Accent3 3" xfId="2270" hidden="1" xr:uid="{00000000-0005-0000-0000-00000A030000}"/>
    <cellStyle name="20% - Accent3 3" xfId="2303" hidden="1" xr:uid="{00000000-0005-0000-0000-00000B030000}"/>
    <cellStyle name="20% - Accent3 3" xfId="2335" hidden="1" xr:uid="{00000000-0005-0000-0000-00000C030000}"/>
    <cellStyle name="20% - Accent3 3" xfId="2367" hidden="1" xr:uid="{00000000-0005-0000-0000-00000D030000}"/>
    <cellStyle name="20% - Accent3 3" xfId="2400" hidden="1" xr:uid="{00000000-0005-0000-0000-00000E030000}"/>
    <cellStyle name="20% - Accent3 3" xfId="2432" hidden="1" xr:uid="{00000000-0005-0000-0000-00000F030000}"/>
    <cellStyle name="20% - Accent3 3" xfId="2465" hidden="1" xr:uid="{00000000-0005-0000-0000-000010030000}"/>
    <cellStyle name="20% - Accent3 3" xfId="2497" hidden="1" xr:uid="{00000000-0005-0000-0000-000011030000}"/>
    <cellStyle name="20% - Accent3 3" xfId="2530" hidden="1" xr:uid="{00000000-0005-0000-0000-000012030000}"/>
    <cellStyle name="20% - Accent3 3" xfId="2563" hidden="1" xr:uid="{00000000-0005-0000-0000-000013030000}"/>
    <cellStyle name="20% - Accent3 3" xfId="2596" hidden="1" xr:uid="{00000000-0005-0000-0000-000014030000}"/>
    <cellStyle name="20% - Accent3 3" xfId="2629" hidden="1" xr:uid="{00000000-0005-0000-0000-000015030000}"/>
    <cellStyle name="20% - Accent3 3" xfId="2662" hidden="1" xr:uid="{00000000-0005-0000-0000-000016030000}"/>
    <cellStyle name="20% - Accent3 3" xfId="2695" hidden="1" xr:uid="{00000000-0005-0000-0000-000017030000}"/>
    <cellStyle name="20% - Accent3 3" xfId="2776" hidden="1" xr:uid="{00000000-0005-0000-0000-000018030000}"/>
    <cellStyle name="20% - Accent3 3" xfId="2813" hidden="1" xr:uid="{00000000-0005-0000-0000-000019030000}"/>
    <cellStyle name="20% - Accent3 3" xfId="2846" hidden="1" xr:uid="{00000000-0005-0000-0000-00001A030000}"/>
    <cellStyle name="20% - Accent3 3" xfId="2878" hidden="1" xr:uid="{00000000-0005-0000-0000-00001B030000}"/>
    <cellStyle name="20% - Accent3 3" xfId="2910" hidden="1" xr:uid="{00000000-0005-0000-0000-00001C030000}"/>
    <cellStyle name="20% - Accent3 3" xfId="2943" hidden="1" xr:uid="{00000000-0005-0000-0000-00001D030000}"/>
    <cellStyle name="20% - Accent3 3" xfId="2975" hidden="1" xr:uid="{00000000-0005-0000-0000-00001E030000}"/>
    <cellStyle name="20% - Accent3 3" xfId="3008" hidden="1" xr:uid="{00000000-0005-0000-0000-00001F030000}"/>
    <cellStyle name="20% - Accent3 3" xfId="3040" hidden="1" xr:uid="{00000000-0005-0000-0000-000020030000}"/>
    <cellStyle name="20% - Accent3 3" xfId="3073" hidden="1" xr:uid="{00000000-0005-0000-0000-000021030000}"/>
    <cellStyle name="20% - Accent3 3" xfId="3106" hidden="1" xr:uid="{00000000-0005-0000-0000-000022030000}"/>
    <cellStyle name="20% - Accent3 3" xfId="3139" hidden="1" xr:uid="{00000000-0005-0000-0000-000023030000}"/>
    <cellStyle name="20% - Accent3 3" xfId="3172" hidden="1" xr:uid="{00000000-0005-0000-0000-000024030000}"/>
    <cellStyle name="20% - Accent3 3" xfId="3205" hidden="1" xr:uid="{00000000-0005-0000-0000-000025030000}"/>
    <cellStyle name="20% - Accent3 3" xfId="3238" hidden="1" xr:uid="{00000000-0005-0000-0000-000026030000}"/>
    <cellStyle name="20% - Accent3 3" xfId="3289" hidden="1" xr:uid="{00000000-0005-0000-0000-000027030000}"/>
    <cellStyle name="20% - Accent3 3" xfId="3326" hidden="1" xr:uid="{00000000-0005-0000-0000-000028030000}"/>
    <cellStyle name="20% - Accent3 3" xfId="3359" hidden="1" xr:uid="{00000000-0005-0000-0000-000029030000}"/>
    <cellStyle name="20% - Accent3 3" xfId="3391" hidden="1" xr:uid="{00000000-0005-0000-0000-00002A030000}"/>
    <cellStyle name="20% - Accent3 3" xfId="3423" hidden="1" xr:uid="{00000000-0005-0000-0000-00002B030000}"/>
    <cellStyle name="20% - Accent3 3" xfId="3456" hidden="1" xr:uid="{00000000-0005-0000-0000-00002C030000}"/>
    <cellStyle name="20% - Accent3 3" xfId="3488" hidden="1" xr:uid="{00000000-0005-0000-0000-00002D030000}"/>
    <cellStyle name="20% - Accent3 3" xfId="3521" hidden="1" xr:uid="{00000000-0005-0000-0000-00002E030000}"/>
    <cellStyle name="20% - Accent3 3" xfId="3553" hidden="1" xr:uid="{00000000-0005-0000-0000-00002F030000}"/>
    <cellStyle name="20% - Accent3 3" xfId="3586" hidden="1" xr:uid="{00000000-0005-0000-0000-000030030000}"/>
    <cellStyle name="20% - Accent3 3" xfId="3619" hidden="1" xr:uid="{00000000-0005-0000-0000-000031030000}"/>
    <cellStyle name="20% - Accent3 3" xfId="3652" hidden="1" xr:uid="{00000000-0005-0000-0000-000032030000}"/>
    <cellStyle name="20% - Accent3 3" xfId="3685" hidden="1" xr:uid="{00000000-0005-0000-0000-000033030000}"/>
    <cellStyle name="20% - Accent3 3" xfId="3718" hidden="1" xr:uid="{00000000-0005-0000-0000-000034030000}"/>
    <cellStyle name="20% - Accent3 3" xfId="3751" hidden="1" xr:uid="{00000000-0005-0000-0000-000035030000}"/>
    <cellStyle name="20% - Accent3 3" xfId="3766" hidden="1" xr:uid="{00000000-0005-0000-0000-000036030000}"/>
    <cellStyle name="20% - Accent3 3" xfId="3803" hidden="1" xr:uid="{00000000-0005-0000-0000-000037030000}"/>
    <cellStyle name="20% - Accent3 3" xfId="3836" hidden="1" xr:uid="{00000000-0005-0000-0000-000038030000}"/>
    <cellStyle name="20% - Accent3 3" xfId="3868" hidden="1" xr:uid="{00000000-0005-0000-0000-000039030000}"/>
    <cellStyle name="20% - Accent3 3" xfId="3900" hidden="1" xr:uid="{00000000-0005-0000-0000-00003A030000}"/>
    <cellStyle name="20% - Accent3 3" xfId="3933" hidden="1" xr:uid="{00000000-0005-0000-0000-00003B030000}"/>
    <cellStyle name="20% - Accent3 3" xfId="3965" hidden="1" xr:uid="{00000000-0005-0000-0000-00003C030000}"/>
    <cellStyle name="20% - Accent3 3" xfId="3998" hidden="1" xr:uid="{00000000-0005-0000-0000-00003D030000}"/>
    <cellStyle name="20% - Accent3 3" xfId="4030" hidden="1" xr:uid="{00000000-0005-0000-0000-00003E030000}"/>
    <cellStyle name="20% - Accent3 3" xfId="4063" hidden="1" xr:uid="{00000000-0005-0000-0000-00003F030000}"/>
    <cellStyle name="20% - Accent3 3" xfId="4096" hidden="1" xr:uid="{00000000-0005-0000-0000-000040030000}"/>
    <cellStyle name="20% - Accent3 3" xfId="4129" hidden="1" xr:uid="{00000000-0005-0000-0000-000041030000}"/>
    <cellStyle name="20% - Accent3 3" xfId="4162" hidden="1" xr:uid="{00000000-0005-0000-0000-000042030000}"/>
    <cellStyle name="20% - Accent3 3" xfId="4195" hidden="1" xr:uid="{00000000-0005-0000-0000-000043030000}"/>
    <cellStyle name="20% - Accent3 3" xfId="4228" hidden="1" xr:uid="{00000000-0005-0000-0000-000044030000}"/>
    <cellStyle name="20% - Accent3 3" xfId="4395" hidden="1" xr:uid="{00000000-0005-0000-0000-000045030000}"/>
    <cellStyle name="20% - Accent3 3" xfId="4428" hidden="1" xr:uid="{00000000-0005-0000-0000-000046030000}"/>
    <cellStyle name="20% - Accent3 3" xfId="4461" hidden="1" xr:uid="{00000000-0005-0000-0000-000047030000}"/>
    <cellStyle name="20% - Accent3 3" xfId="4494" hidden="1" xr:uid="{00000000-0005-0000-0000-000048030000}"/>
    <cellStyle name="20% - Accent3 3" xfId="4527" hidden="1" xr:uid="{00000000-0005-0000-0000-000049030000}"/>
    <cellStyle name="20% - Accent3 3" xfId="4560" hidden="1" xr:uid="{00000000-0005-0000-0000-00004A030000}"/>
    <cellStyle name="20% - Accent3 3" xfId="4593" hidden="1" xr:uid="{00000000-0005-0000-0000-00004B030000}"/>
    <cellStyle name="20% - Accent3 3" xfId="4626" hidden="1" xr:uid="{00000000-0005-0000-0000-00004C030000}"/>
    <cellStyle name="20% - Accent3 3" xfId="4659" hidden="1" xr:uid="{00000000-0005-0000-0000-00004D030000}"/>
    <cellStyle name="20% - Accent3 3" xfId="4692" hidden="1" xr:uid="{00000000-0005-0000-0000-00004E030000}"/>
    <cellStyle name="20% - Accent3 3" xfId="4725" hidden="1" xr:uid="{00000000-0005-0000-0000-00004F030000}"/>
    <cellStyle name="20% - Accent3 3" xfId="4762" hidden="1" xr:uid="{00000000-0005-0000-0000-000050030000}"/>
    <cellStyle name="20% - Accent3 3" xfId="4795" hidden="1" xr:uid="{00000000-0005-0000-0000-000051030000}"/>
    <cellStyle name="20% - Accent3 3" xfId="4827" hidden="1" xr:uid="{00000000-0005-0000-0000-000052030000}"/>
    <cellStyle name="20% - Accent3 3" xfId="4859" hidden="1" xr:uid="{00000000-0005-0000-0000-000053030000}"/>
    <cellStyle name="20% - Accent3 3" xfId="4892" hidden="1" xr:uid="{00000000-0005-0000-0000-000054030000}"/>
    <cellStyle name="20% - Accent3 3" xfId="4924" hidden="1" xr:uid="{00000000-0005-0000-0000-000055030000}"/>
    <cellStyle name="20% - Accent3 3" xfId="4957" hidden="1" xr:uid="{00000000-0005-0000-0000-000056030000}"/>
    <cellStyle name="20% - Accent3 3" xfId="4989" hidden="1" xr:uid="{00000000-0005-0000-0000-000057030000}"/>
    <cellStyle name="20% - Accent3 3" xfId="5022" hidden="1" xr:uid="{00000000-0005-0000-0000-000058030000}"/>
    <cellStyle name="20% - Accent3 3" xfId="5055" hidden="1" xr:uid="{00000000-0005-0000-0000-000059030000}"/>
    <cellStyle name="20% - Accent3 3" xfId="5088" hidden="1" xr:uid="{00000000-0005-0000-0000-00005A030000}"/>
    <cellStyle name="20% - Accent3 3" xfId="5121" hidden="1" xr:uid="{00000000-0005-0000-0000-00005B030000}"/>
    <cellStyle name="20% - Accent3 3" xfId="5154" hidden="1" xr:uid="{00000000-0005-0000-0000-00005C030000}"/>
    <cellStyle name="20% - Accent3 3" xfId="5187" hidden="1" xr:uid="{00000000-0005-0000-0000-00005D030000}"/>
    <cellStyle name="20% - Accent3 3" xfId="5228" hidden="1" xr:uid="{00000000-0005-0000-0000-00005E030000}"/>
    <cellStyle name="20% - Accent3 3" xfId="5265" hidden="1" xr:uid="{00000000-0005-0000-0000-00005F030000}"/>
    <cellStyle name="20% - Accent3 3" xfId="5298" hidden="1" xr:uid="{00000000-0005-0000-0000-000060030000}"/>
    <cellStyle name="20% - Accent3 3" xfId="5330" hidden="1" xr:uid="{00000000-0005-0000-0000-000061030000}"/>
    <cellStyle name="20% - Accent3 3" xfId="5362" hidden="1" xr:uid="{00000000-0005-0000-0000-000062030000}"/>
    <cellStyle name="20% - Accent3 3" xfId="5395" hidden="1" xr:uid="{00000000-0005-0000-0000-000063030000}"/>
    <cellStyle name="20% - Accent3 3" xfId="5427" hidden="1" xr:uid="{00000000-0005-0000-0000-000064030000}"/>
    <cellStyle name="20% - Accent3 3" xfId="5460" hidden="1" xr:uid="{00000000-0005-0000-0000-000065030000}"/>
    <cellStyle name="20% - Accent3 3" xfId="5492" hidden="1" xr:uid="{00000000-0005-0000-0000-000066030000}"/>
    <cellStyle name="20% - Accent3 3" xfId="5525" hidden="1" xr:uid="{00000000-0005-0000-0000-000067030000}"/>
    <cellStyle name="20% - Accent3 3" xfId="5558" hidden="1" xr:uid="{00000000-0005-0000-0000-000068030000}"/>
    <cellStyle name="20% - Accent3 3" xfId="5591" hidden="1" xr:uid="{00000000-0005-0000-0000-000069030000}"/>
    <cellStyle name="20% - Accent3 3" xfId="5624" hidden="1" xr:uid="{00000000-0005-0000-0000-00006A030000}"/>
    <cellStyle name="20% - Accent3 3" xfId="5657" hidden="1" xr:uid="{00000000-0005-0000-0000-00006B030000}"/>
    <cellStyle name="20% - Accent3 3" xfId="5690" hidden="1" xr:uid="{00000000-0005-0000-0000-00006C030000}"/>
    <cellStyle name="20% - Accent3 3" xfId="5794" hidden="1" xr:uid="{00000000-0005-0000-0000-00006D030000}"/>
    <cellStyle name="20% - Accent3 3" xfId="5831" hidden="1" xr:uid="{00000000-0005-0000-0000-00006E030000}"/>
    <cellStyle name="20% - Accent3 3" xfId="5864" hidden="1" xr:uid="{00000000-0005-0000-0000-00006F030000}"/>
    <cellStyle name="20% - Accent3 3" xfId="5896" hidden="1" xr:uid="{00000000-0005-0000-0000-000070030000}"/>
    <cellStyle name="20% - Accent3 3" xfId="5928" hidden="1" xr:uid="{00000000-0005-0000-0000-000071030000}"/>
    <cellStyle name="20% - Accent3 3" xfId="5961" hidden="1" xr:uid="{00000000-0005-0000-0000-000072030000}"/>
    <cellStyle name="20% - Accent3 3" xfId="5993" hidden="1" xr:uid="{00000000-0005-0000-0000-000073030000}"/>
    <cellStyle name="20% - Accent3 3" xfId="6026" hidden="1" xr:uid="{00000000-0005-0000-0000-000074030000}"/>
    <cellStyle name="20% - Accent3 3" xfId="6058" hidden="1" xr:uid="{00000000-0005-0000-0000-000075030000}"/>
    <cellStyle name="20% - Accent3 3" xfId="6091" hidden="1" xr:uid="{00000000-0005-0000-0000-000076030000}"/>
    <cellStyle name="20% - Accent3 3" xfId="6124" hidden="1" xr:uid="{00000000-0005-0000-0000-000077030000}"/>
    <cellStyle name="20% - Accent3 3" xfId="6157" hidden="1" xr:uid="{00000000-0005-0000-0000-000078030000}"/>
    <cellStyle name="20% - Accent3 3" xfId="6190" hidden="1" xr:uid="{00000000-0005-0000-0000-000079030000}"/>
    <cellStyle name="20% - Accent3 3" xfId="6223" hidden="1" xr:uid="{00000000-0005-0000-0000-00007A030000}"/>
    <cellStyle name="20% - Accent3 3" xfId="6256" hidden="1" xr:uid="{00000000-0005-0000-0000-00007B030000}"/>
    <cellStyle name="20% - Accent3 3" xfId="6271" hidden="1" xr:uid="{00000000-0005-0000-0000-00007C030000}"/>
    <cellStyle name="20% - Accent3 3" xfId="6308" hidden="1" xr:uid="{00000000-0005-0000-0000-00007D030000}"/>
    <cellStyle name="20% - Accent3 3" xfId="6341" hidden="1" xr:uid="{00000000-0005-0000-0000-00007E030000}"/>
    <cellStyle name="20% - Accent3 3" xfId="6373" hidden="1" xr:uid="{00000000-0005-0000-0000-00007F030000}"/>
    <cellStyle name="20% - Accent3 3" xfId="6405" hidden="1" xr:uid="{00000000-0005-0000-0000-000080030000}"/>
    <cellStyle name="20% - Accent3 3" xfId="6438" hidden="1" xr:uid="{00000000-0005-0000-0000-000081030000}"/>
    <cellStyle name="20% - Accent3 3" xfId="6470" hidden="1" xr:uid="{00000000-0005-0000-0000-000082030000}"/>
    <cellStyle name="20% - Accent3 3" xfId="6503" hidden="1" xr:uid="{00000000-0005-0000-0000-000083030000}"/>
    <cellStyle name="20% - Accent3 3" xfId="6535" hidden="1" xr:uid="{00000000-0005-0000-0000-000084030000}"/>
    <cellStyle name="20% - Accent3 3" xfId="6568" hidden="1" xr:uid="{00000000-0005-0000-0000-000085030000}"/>
    <cellStyle name="20% - Accent3 3" xfId="6601" hidden="1" xr:uid="{00000000-0005-0000-0000-000086030000}"/>
    <cellStyle name="20% - Accent3 3" xfId="6634" hidden="1" xr:uid="{00000000-0005-0000-0000-000087030000}"/>
    <cellStyle name="20% - Accent3 3" xfId="6667" hidden="1" xr:uid="{00000000-0005-0000-0000-000088030000}"/>
    <cellStyle name="20% - Accent3 3" xfId="6700" hidden="1" xr:uid="{00000000-0005-0000-0000-000089030000}"/>
    <cellStyle name="20% - Accent3 3" xfId="6733" hidden="1" xr:uid="{00000000-0005-0000-0000-00008A030000}"/>
    <cellStyle name="20% - Accent3 3" xfId="6790" hidden="1" xr:uid="{00000000-0005-0000-0000-00008B030000}"/>
    <cellStyle name="20% - Accent3 3" xfId="6827" hidden="1" xr:uid="{00000000-0005-0000-0000-00008C030000}"/>
    <cellStyle name="20% - Accent3 3" xfId="6860" hidden="1" xr:uid="{00000000-0005-0000-0000-00008D030000}"/>
    <cellStyle name="20% - Accent3 3" xfId="6892" hidden="1" xr:uid="{00000000-0005-0000-0000-00008E030000}"/>
    <cellStyle name="20% - Accent3 3" xfId="6924" hidden="1" xr:uid="{00000000-0005-0000-0000-00008F030000}"/>
    <cellStyle name="20% - Accent3 3" xfId="6957" hidden="1" xr:uid="{00000000-0005-0000-0000-000090030000}"/>
    <cellStyle name="20% - Accent3 3" xfId="6989" hidden="1" xr:uid="{00000000-0005-0000-0000-000091030000}"/>
    <cellStyle name="20% - Accent3 3" xfId="7022" hidden="1" xr:uid="{00000000-0005-0000-0000-000092030000}"/>
    <cellStyle name="20% - Accent3 3" xfId="7054" hidden="1" xr:uid="{00000000-0005-0000-0000-000093030000}"/>
    <cellStyle name="20% - Accent3 3" xfId="7087" hidden="1" xr:uid="{00000000-0005-0000-0000-000094030000}"/>
    <cellStyle name="20% - Accent3 3" xfId="7120" hidden="1" xr:uid="{00000000-0005-0000-0000-000095030000}"/>
    <cellStyle name="20% - Accent3 3" xfId="7153" hidden="1" xr:uid="{00000000-0005-0000-0000-000096030000}"/>
    <cellStyle name="20% - Accent3 3" xfId="7186" hidden="1" xr:uid="{00000000-0005-0000-0000-000097030000}"/>
    <cellStyle name="20% - Accent3 3" xfId="7219" hidden="1" xr:uid="{00000000-0005-0000-0000-000098030000}"/>
    <cellStyle name="20% - Accent3 3" xfId="7252" hidden="1" xr:uid="{00000000-0005-0000-0000-000099030000}"/>
    <cellStyle name="20% - Accent3 3" xfId="7303" hidden="1" xr:uid="{00000000-0005-0000-0000-00009A030000}"/>
    <cellStyle name="20% - Accent3 3" xfId="7340" hidden="1" xr:uid="{00000000-0005-0000-0000-00009B030000}"/>
    <cellStyle name="20% - Accent3 3" xfId="7373" hidden="1" xr:uid="{00000000-0005-0000-0000-00009C030000}"/>
    <cellStyle name="20% - Accent3 3" xfId="7405" hidden="1" xr:uid="{00000000-0005-0000-0000-00009D030000}"/>
    <cellStyle name="20% - Accent3 3" xfId="7437" hidden="1" xr:uid="{00000000-0005-0000-0000-00009E030000}"/>
    <cellStyle name="20% - Accent3 3" xfId="7470" hidden="1" xr:uid="{00000000-0005-0000-0000-00009F030000}"/>
    <cellStyle name="20% - Accent3 3" xfId="7502" hidden="1" xr:uid="{00000000-0005-0000-0000-0000A0030000}"/>
    <cellStyle name="20% - Accent3 3" xfId="7535" hidden="1" xr:uid="{00000000-0005-0000-0000-0000A1030000}"/>
    <cellStyle name="20% - Accent3 3" xfId="7567" hidden="1" xr:uid="{00000000-0005-0000-0000-0000A2030000}"/>
    <cellStyle name="20% - Accent3 3" xfId="7600" hidden="1" xr:uid="{00000000-0005-0000-0000-0000A3030000}"/>
    <cellStyle name="20% - Accent3 3" xfId="7633" hidden="1" xr:uid="{00000000-0005-0000-0000-0000A4030000}"/>
    <cellStyle name="20% - Accent3 3" xfId="7666" hidden="1" xr:uid="{00000000-0005-0000-0000-0000A5030000}"/>
    <cellStyle name="20% - Accent3 3" xfId="7699" hidden="1" xr:uid="{00000000-0005-0000-0000-0000A6030000}"/>
    <cellStyle name="20% - Accent3 3" xfId="7732" hidden="1" xr:uid="{00000000-0005-0000-0000-0000A7030000}"/>
    <cellStyle name="20% - Accent3 3" xfId="7765" hidden="1" xr:uid="{00000000-0005-0000-0000-0000A8030000}"/>
    <cellStyle name="20% - Accent3 3" xfId="7780" hidden="1" xr:uid="{00000000-0005-0000-0000-0000A9030000}"/>
    <cellStyle name="20% - Accent3 3" xfId="7817" hidden="1" xr:uid="{00000000-0005-0000-0000-0000AA030000}"/>
    <cellStyle name="20% - Accent3 3" xfId="7850" hidden="1" xr:uid="{00000000-0005-0000-0000-0000AB030000}"/>
    <cellStyle name="20% - Accent3 3" xfId="7882" hidden="1" xr:uid="{00000000-0005-0000-0000-0000AC030000}"/>
    <cellStyle name="20% - Accent3 3" xfId="7914" hidden="1" xr:uid="{00000000-0005-0000-0000-0000AD030000}"/>
    <cellStyle name="20% - Accent3 3" xfId="7947" hidden="1" xr:uid="{00000000-0005-0000-0000-0000AE030000}"/>
    <cellStyle name="20% - Accent3 3" xfId="7979" hidden="1" xr:uid="{00000000-0005-0000-0000-0000AF030000}"/>
    <cellStyle name="20% - Accent3 3" xfId="8012" hidden="1" xr:uid="{00000000-0005-0000-0000-0000B0030000}"/>
    <cellStyle name="20% - Accent3 3" xfId="8044" hidden="1" xr:uid="{00000000-0005-0000-0000-0000B1030000}"/>
    <cellStyle name="20% - Accent3 3" xfId="8077" hidden="1" xr:uid="{00000000-0005-0000-0000-0000B2030000}"/>
    <cellStyle name="20% - Accent3 3" xfId="8110" hidden="1" xr:uid="{00000000-0005-0000-0000-0000B3030000}"/>
    <cellStyle name="20% - Accent3 3" xfId="8143" hidden="1" xr:uid="{00000000-0005-0000-0000-0000B4030000}"/>
    <cellStyle name="20% - Accent3 3" xfId="8176" hidden="1" xr:uid="{00000000-0005-0000-0000-0000B5030000}"/>
    <cellStyle name="20% - Accent3 3" xfId="8209" hidden="1" xr:uid="{00000000-0005-0000-0000-0000B6030000}"/>
    <cellStyle name="20% - Accent3 3" xfId="8242" hidden="1" xr:uid="{00000000-0005-0000-0000-0000B7030000}"/>
    <cellStyle name="20% - Accent3 3" xfId="5754" hidden="1" xr:uid="{00000000-0005-0000-0000-0000B8030000}"/>
    <cellStyle name="20% - Accent3 3" xfId="6774" hidden="1" xr:uid="{00000000-0005-0000-0000-0000B9030000}"/>
    <cellStyle name="20% - Accent3 3" xfId="5734" hidden="1" xr:uid="{00000000-0005-0000-0000-0000BA030000}"/>
    <cellStyle name="20% - Accent3 3" xfId="4306" hidden="1" xr:uid="{00000000-0005-0000-0000-0000BB030000}"/>
    <cellStyle name="20% - Accent3 3" xfId="4291" hidden="1" xr:uid="{00000000-0005-0000-0000-0000BC030000}"/>
    <cellStyle name="20% - Accent3 3" xfId="4375" hidden="1" xr:uid="{00000000-0005-0000-0000-0000BD030000}"/>
    <cellStyle name="20% - Accent3 3" xfId="4244" hidden="1" xr:uid="{00000000-0005-0000-0000-0000BE030000}"/>
    <cellStyle name="20% - Accent3 3" xfId="8287" hidden="1" xr:uid="{00000000-0005-0000-0000-0000BF030000}"/>
    <cellStyle name="20% - Accent3 3" xfId="8320" hidden="1" xr:uid="{00000000-0005-0000-0000-0000C0030000}"/>
    <cellStyle name="20% - Accent3 3" xfId="8353" hidden="1" xr:uid="{00000000-0005-0000-0000-0000C1030000}"/>
    <cellStyle name="20% - Accent3 3" xfId="8386" hidden="1" xr:uid="{00000000-0005-0000-0000-0000C2030000}"/>
    <cellStyle name="20% - Accent3 3" xfId="8423" hidden="1" xr:uid="{00000000-0005-0000-0000-0000C3030000}"/>
    <cellStyle name="20% - Accent3 3" xfId="8456" hidden="1" xr:uid="{00000000-0005-0000-0000-0000C4030000}"/>
    <cellStyle name="20% - Accent3 3" xfId="8488" hidden="1" xr:uid="{00000000-0005-0000-0000-0000C5030000}"/>
    <cellStyle name="20% - Accent3 3" xfId="8520" hidden="1" xr:uid="{00000000-0005-0000-0000-0000C6030000}"/>
    <cellStyle name="20% - Accent3 3" xfId="8553" hidden="1" xr:uid="{00000000-0005-0000-0000-0000C7030000}"/>
    <cellStyle name="20% - Accent3 3" xfId="8585" hidden="1" xr:uid="{00000000-0005-0000-0000-0000C8030000}"/>
    <cellStyle name="20% - Accent3 3" xfId="8618" hidden="1" xr:uid="{00000000-0005-0000-0000-0000C9030000}"/>
    <cellStyle name="20% - Accent3 3" xfId="8650" hidden="1" xr:uid="{00000000-0005-0000-0000-0000CA030000}"/>
    <cellStyle name="20% - Accent3 3" xfId="8683" hidden="1" xr:uid="{00000000-0005-0000-0000-0000CB030000}"/>
    <cellStyle name="20% - Accent3 3" xfId="8716" hidden="1" xr:uid="{00000000-0005-0000-0000-0000CC030000}"/>
    <cellStyle name="20% - Accent3 3" xfId="8749" hidden="1" xr:uid="{00000000-0005-0000-0000-0000CD030000}"/>
    <cellStyle name="20% - Accent3 3" xfId="8782" hidden="1" xr:uid="{00000000-0005-0000-0000-0000CE030000}"/>
    <cellStyle name="20% - Accent3 3" xfId="8815" hidden="1" xr:uid="{00000000-0005-0000-0000-0000CF030000}"/>
    <cellStyle name="20% - Accent3 3" xfId="8848" hidden="1" xr:uid="{00000000-0005-0000-0000-0000D0030000}"/>
    <cellStyle name="20% - Accent3 3" xfId="8888" hidden="1" xr:uid="{00000000-0005-0000-0000-0000D1030000}"/>
    <cellStyle name="20% - Accent3 3" xfId="8925" hidden="1" xr:uid="{00000000-0005-0000-0000-0000D2030000}"/>
    <cellStyle name="20% - Accent3 3" xfId="8958" hidden="1" xr:uid="{00000000-0005-0000-0000-0000D3030000}"/>
    <cellStyle name="20% - Accent3 3" xfId="8990" hidden="1" xr:uid="{00000000-0005-0000-0000-0000D4030000}"/>
    <cellStyle name="20% - Accent3 3" xfId="9022" hidden="1" xr:uid="{00000000-0005-0000-0000-0000D5030000}"/>
    <cellStyle name="20% - Accent3 3" xfId="9055" hidden="1" xr:uid="{00000000-0005-0000-0000-0000D6030000}"/>
    <cellStyle name="20% - Accent3 3" xfId="9087" hidden="1" xr:uid="{00000000-0005-0000-0000-0000D7030000}"/>
    <cellStyle name="20% - Accent3 3" xfId="9120" hidden="1" xr:uid="{00000000-0005-0000-0000-0000D8030000}"/>
    <cellStyle name="20% - Accent3 3" xfId="9152" hidden="1" xr:uid="{00000000-0005-0000-0000-0000D9030000}"/>
    <cellStyle name="20% - Accent3 3" xfId="9185" hidden="1" xr:uid="{00000000-0005-0000-0000-0000DA030000}"/>
    <cellStyle name="20% - Accent3 3" xfId="9218" hidden="1" xr:uid="{00000000-0005-0000-0000-0000DB030000}"/>
    <cellStyle name="20% - Accent3 3" xfId="9251" hidden="1" xr:uid="{00000000-0005-0000-0000-0000DC030000}"/>
    <cellStyle name="20% - Accent3 3" xfId="9284" hidden="1" xr:uid="{00000000-0005-0000-0000-0000DD030000}"/>
    <cellStyle name="20% - Accent3 3" xfId="9317" hidden="1" xr:uid="{00000000-0005-0000-0000-0000DE030000}"/>
    <cellStyle name="20% - Accent3 3" xfId="9350" hidden="1" xr:uid="{00000000-0005-0000-0000-0000DF030000}"/>
    <cellStyle name="20% - Accent3 3" xfId="9401" hidden="1" xr:uid="{00000000-0005-0000-0000-0000E0030000}"/>
    <cellStyle name="20% - Accent3 3" xfId="9438" hidden="1" xr:uid="{00000000-0005-0000-0000-0000E1030000}"/>
    <cellStyle name="20% - Accent3 3" xfId="9471" hidden="1" xr:uid="{00000000-0005-0000-0000-0000E2030000}"/>
    <cellStyle name="20% - Accent3 3" xfId="9503" hidden="1" xr:uid="{00000000-0005-0000-0000-0000E3030000}"/>
    <cellStyle name="20% - Accent3 3" xfId="9535" hidden="1" xr:uid="{00000000-0005-0000-0000-0000E4030000}"/>
    <cellStyle name="20% - Accent3 3" xfId="9568" hidden="1" xr:uid="{00000000-0005-0000-0000-0000E5030000}"/>
    <cellStyle name="20% - Accent3 3" xfId="9600" hidden="1" xr:uid="{00000000-0005-0000-0000-0000E6030000}"/>
    <cellStyle name="20% - Accent3 3" xfId="9633" hidden="1" xr:uid="{00000000-0005-0000-0000-0000E7030000}"/>
    <cellStyle name="20% - Accent3 3" xfId="9665" hidden="1" xr:uid="{00000000-0005-0000-0000-0000E8030000}"/>
    <cellStyle name="20% - Accent3 3" xfId="9698" hidden="1" xr:uid="{00000000-0005-0000-0000-0000E9030000}"/>
    <cellStyle name="20% - Accent3 3" xfId="9731" hidden="1" xr:uid="{00000000-0005-0000-0000-0000EA030000}"/>
    <cellStyle name="20% - Accent3 3" xfId="9764" hidden="1" xr:uid="{00000000-0005-0000-0000-0000EB030000}"/>
    <cellStyle name="20% - Accent3 3" xfId="9797" hidden="1" xr:uid="{00000000-0005-0000-0000-0000EC030000}"/>
    <cellStyle name="20% - Accent3 3" xfId="9830" hidden="1" xr:uid="{00000000-0005-0000-0000-0000ED030000}"/>
    <cellStyle name="20% - Accent3 3" xfId="9863" hidden="1" xr:uid="{00000000-0005-0000-0000-0000EE030000}"/>
    <cellStyle name="20% - Accent3 3" xfId="9878" hidden="1" xr:uid="{00000000-0005-0000-0000-0000EF030000}"/>
    <cellStyle name="20% - Accent3 3" xfId="9915" hidden="1" xr:uid="{00000000-0005-0000-0000-0000F0030000}"/>
    <cellStyle name="20% - Accent3 3" xfId="9948" hidden="1" xr:uid="{00000000-0005-0000-0000-0000F1030000}"/>
    <cellStyle name="20% - Accent3 3" xfId="9980" hidden="1" xr:uid="{00000000-0005-0000-0000-0000F2030000}"/>
    <cellStyle name="20% - Accent3 3" xfId="10012" hidden="1" xr:uid="{00000000-0005-0000-0000-0000F3030000}"/>
    <cellStyle name="20% - Accent3 3" xfId="10045" hidden="1" xr:uid="{00000000-0005-0000-0000-0000F4030000}"/>
    <cellStyle name="20% - Accent3 3" xfId="10077" hidden="1" xr:uid="{00000000-0005-0000-0000-0000F5030000}"/>
    <cellStyle name="20% - Accent3 3" xfId="10110" hidden="1" xr:uid="{00000000-0005-0000-0000-0000F6030000}"/>
    <cellStyle name="20% - Accent3 3" xfId="10142" hidden="1" xr:uid="{00000000-0005-0000-0000-0000F7030000}"/>
    <cellStyle name="20% - Accent3 3" xfId="10175" hidden="1" xr:uid="{00000000-0005-0000-0000-0000F8030000}"/>
    <cellStyle name="20% - Accent3 3" xfId="10208" hidden="1" xr:uid="{00000000-0005-0000-0000-0000F9030000}"/>
    <cellStyle name="20% - Accent3 3" xfId="10241" hidden="1" xr:uid="{00000000-0005-0000-0000-0000FA030000}"/>
    <cellStyle name="20% - Accent3 3" xfId="10274" hidden="1" xr:uid="{00000000-0005-0000-0000-0000FB030000}"/>
    <cellStyle name="20% - Accent3 3" xfId="10307" hidden="1" xr:uid="{00000000-0005-0000-0000-0000FC030000}"/>
    <cellStyle name="20% - Accent3 3" xfId="10340" hidden="1" xr:uid="{00000000-0005-0000-0000-0000FD030000}"/>
    <cellStyle name="20% - Accent3 3" xfId="10366" hidden="1" xr:uid="{00000000-0005-0000-0000-0000FE030000}"/>
    <cellStyle name="20% - Accent3 3" xfId="10403" hidden="1" xr:uid="{00000000-0005-0000-0000-0000FF030000}"/>
    <cellStyle name="20% - Accent3 3" xfId="10436" hidden="1" xr:uid="{00000000-0005-0000-0000-000000040000}"/>
    <cellStyle name="20% - Accent3 3" xfId="10468" hidden="1" xr:uid="{00000000-0005-0000-0000-000001040000}"/>
    <cellStyle name="20% - Accent3 3" xfId="10500" hidden="1" xr:uid="{00000000-0005-0000-0000-000002040000}"/>
    <cellStyle name="20% - Accent3 3" xfId="10533" hidden="1" xr:uid="{00000000-0005-0000-0000-000003040000}"/>
    <cellStyle name="20% - Accent3 3" xfId="10565" hidden="1" xr:uid="{00000000-0005-0000-0000-000004040000}"/>
    <cellStyle name="20% - Accent3 3" xfId="10598" hidden="1" xr:uid="{00000000-0005-0000-0000-000005040000}"/>
    <cellStyle name="20% - Accent3 3" xfId="10630" hidden="1" xr:uid="{00000000-0005-0000-0000-000006040000}"/>
    <cellStyle name="20% - Accent3 3" xfId="10663" hidden="1" xr:uid="{00000000-0005-0000-0000-000007040000}"/>
    <cellStyle name="20% - Accent3 3" xfId="10696" hidden="1" xr:uid="{00000000-0005-0000-0000-000008040000}"/>
    <cellStyle name="20% - Accent3 3" xfId="10729" hidden="1" xr:uid="{00000000-0005-0000-0000-000009040000}"/>
    <cellStyle name="20% - Accent3 3" xfId="10762" hidden="1" xr:uid="{00000000-0005-0000-0000-00000A040000}"/>
    <cellStyle name="20% - Accent3 3" xfId="10795" hidden="1" xr:uid="{00000000-0005-0000-0000-00000B040000}"/>
    <cellStyle name="20% - Accent3 3" xfId="10828" hidden="1" xr:uid="{00000000-0005-0000-0000-00000C040000}"/>
    <cellStyle name="20% - Accent3 3" xfId="10879" hidden="1" xr:uid="{00000000-0005-0000-0000-00000D040000}"/>
    <cellStyle name="20% - Accent3 3" xfId="10916" hidden="1" xr:uid="{00000000-0005-0000-0000-00000E040000}"/>
    <cellStyle name="20% - Accent3 3" xfId="10949" hidden="1" xr:uid="{00000000-0005-0000-0000-00000F040000}"/>
    <cellStyle name="20% - Accent3 3" xfId="10981" hidden="1" xr:uid="{00000000-0005-0000-0000-000010040000}"/>
    <cellStyle name="20% - Accent3 3" xfId="11013" hidden="1" xr:uid="{00000000-0005-0000-0000-000011040000}"/>
    <cellStyle name="20% - Accent3 3" xfId="11046" hidden="1" xr:uid="{00000000-0005-0000-0000-000012040000}"/>
    <cellStyle name="20% - Accent3 3" xfId="11078" hidden="1" xr:uid="{00000000-0005-0000-0000-000013040000}"/>
    <cellStyle name="20% - Accent3 3" xfId="11111" hidden="1" xr:uid="{00000000-0005-0000-0000-000014040000}"/>
    <cellStyle name="20% - Accent3 3" xfId="11143" hidden="1" xr:uid="{00000000-0005-0000-0000-000015040000}"/>
    <cellStyle name="20% - Accent3 3" xfId="11176" hidden="1" xr:uid="{00000000-0005-0000-0000-000016040000}"/>
    <cellStyle name="20% - Accent3 3" xfId="11209" hidden="1" xr:uid="{00000000-0005-0000-0000-000017040000}"/>
    <cellStyle name="20% - Accent3 3" xfId="11242" hidden="1" xr:uid="{00000000-0005-0000-0000-000018040000}"/>
    <cellStyle name="20% - Accent3 3" xfId="11275" hidden="1" xr:uid="{00000000-0005-0000-0000-000019040000}"/>
    <cellStyle name="20% - Accent3 3" xfId="11308" hidden="1" xr:uid="{00000000-0005-0000-0000-00001A040000}"/>
    <cellStyle name="20% - Accent3 3" xfId="11341" hidden="1" xr:uid="{00000000-0005-0000-0000-00001B040000}"/>
    <cellStyle name="20% - Accent3 3" xfId="11356" hidden="1" xr:uid="{00000000-0005-0000-0000-00001C040000}"/>
    <cellStyle name="20% - Accent3 3" xfId="11393" hidden="1" xr:uid="{00000000-0005-0000-0000-00001D040000}"/>
    <cellStyle name="20% - Accent3 3" xfId="11426" hidden="1" xr:uid="{00000000-0005-0000-0000-00001E040000}"/>
    <cellStyle name="20% - Accent3 3" xfId="11458" hidden="1" xr:uid="{00000000-0005-0000-0000-00001F040000}"/>
    <cellStyle name="20% - Accent3 3" xfId="11490" hidden="1" xr:uid="{00000000-0005-0000-0000-000020040000}"/>
    <cellStyle name="20% - Accent3 3" xfId="11523" hidden="1" xr:uid="{00000000-0005-0000-0000-000021040000}"/>
    <cellStyle name="20% - Accent3 3" xfId="11555" hidden="1" xr:uid="{00000000-0005-0000-0000-000022040000}"/>
    <cellStyle name="20% - Accent3 3" xfId="11588" hidden="1" xr:uid="{00000000-0005-0000-0000-000023040000}"/>
    <cellStyle name="20% - Accent3 3" xfId="11620" hidden="1" xr:uid="{00000000-0005-0000-0000-000024040000}"/>
    <cellStyle name="20% - Accent3 3" xfId="11653" hidden="1" xr:uid="{00000000-0005-0000-0000-000025040000}"/>
    <cellStyle name="20% - Accent3 3" xfId="11686" hidden="1" xr:uid="{00000000-0005-0000-0000-000026040000}"/>
    <cellStyle name="20% - Accent3 3" xfId="11719" hidden="1" xr:uid="{00000000-0005-0000-0000-000027040000}"/>
    <cellStyle name="20% - Accent3 3" xfId="11752" hidden="1" xr:uid="{00000000-0005-0000-0000-000028040000}"/>
    <cellStyle name="20% - Accent3 3" xfId="11785" hidden="1" xr:uid="{00000000-0005-0000-0000-000029040000}"/>
    <cellStyle name="20% - Accent3 3" xfId="11818" xr:uid="{00000000-0005-0000-0000-00002A040000}"/>
    <cellStyle name="20% - Accent4 2" xfId="22" xr:uid="{00000000-0005-0000-0000-00002B040000}"/>
    <cellStyle name="20% - Accent4 2 2" xfId="1576" xr:uid="{00000000-0005-0000-0000-00002C040000}"/>
    <cellStyle name="20% - Accent4 2 3" xfId="2713" xr:uid="{00000000-0005-0000-0000-00002D040000}"/>
    <cellStyle name="20% - Accent4 3" xfId="223" hidden="1" xr:uid="{00000000-0005-0000-0000-00002E040000}"/>
    <cellStyle name="20% - Accent4 3" xfId="240" hidden="1" xr:uid="{00000000-0005-0000-0000-00002F040000}"/>
    <cellStyle name="20% - Accent4 3" xfId="273" hidden="1" xr:uid="{00000000-0005-0000-0000-000030040000}"/>
    <cellStyle name="20% - Accent4 3" xfId="306" hidden="1" xr:uid="{00000000-0005-0000-0000-000031040000}"/>
    <cellStyle name="20% - Accent4 3" xfId="339" hidden="1" xr:uid="{00000000-0005-0000-0000-000032040000}"/>
    <cellStyle name="20% - Accent4 3" xfId="373" hidden="1" xr:uid="{00000000-0005-0000-0000-000033040000}"/>
    <cellStyle name="20% - Accent4 3" xfId="406" hidden="1" xr:uid="{00000000-0005-0000-0000-000034040000}"/>
    <cellStyle name="20% - Accent4 3" xfId="439" hidden="1" xr:uid="{00000000-0005-0000-0000-000035040000}"/>
    <cellStyle name="20% - Accent4 3" xfId="472" hidden="1" xr:uid="{00000000-0005-0000-0000-000036040000}"/>
    <cellStyle name="20% - Accent4 3" xfId="505" hidden="1" xr:uid="{00000000-0005-0000-0000-000037040000}"/>
    <cellStyle name="20% - Accent4 3" xfId="538" hidden="1" xr:uid="{00000000-0005-0000-0000-000038040000}"/>
    <cellStyle name="20% - Accent4 3" xfId="571" hidden="1" xr:uid="{00000000-0005-0000-0000-000039040000}"/>
    <cellStyle name="20% - Accent4 3" xfId="608" hidden="1" xr:uid="{00000000-0005-0000-0000-00003A040000}"/>
    <cellStyle name="20% - Accent4 3" xfId="641" hidden="1" xr:uid="{00000000-0005-0000-0000-00003B040000}"/>
    <cellStyle name="20% - Accent4 3" xfId="673" hidden="1" xr:uid="{00000000-0005-0000-0000-00003C040000}"/>
    <cellStyle name="20% - Accent4 3" xfId="705" hidden="1" xr:uid="{00000000-0005-0000-0000-00003D040000}"/>
    <cellStyle name="20% - Accent4 3" xfId="738" hidden="1" xr:uid="{00000000-0005-0000-0000-00003E040000}"/>
    <cellStyle name="20% - Accent4 3" xfId="770" hidden="1" xr:uid="{00000000-0005-0000-0000-00003F040000}"/>
    <cellStyle name="20% - Accent4 3" xfId="803" hidden="1" xr:uid="{00000000-0005-0000-0000-000040040000}"/>
    <cellStyle name="20% - Accent4 3" xfId="835" hidden="1" xr:uid="{00000000-0005-0000-0000-000041040000}"/>
    <cellStyle name="20% - Accent4 3" xfId="868" hidden="1" xr:uid="{00000000-0005-0000-0000-000042040000}"/>
    <cellStyle name="20% - Accent4 3" xfId="901" hidden="1" xr:uid="{00000000-0005-0000-0000-000043040000}"/>
    <cellStyle name="20% - Accent4 3" xfId="934" hidden="1" xr:uid="{00000000-0005-0000-0000-000044040000}"/>
    <cellStyle name="20% - Accent4 3" xfId="967" hidden="1" xr:uid="{00000000-0005-0000-0000-000045040000}"/>
    <cellStyle name="20% - Accent4 3" xfId="1000" hidden="1" xr:uid="{00000000-0005-0000-0000-000046040000}"/>
    <cellStyle name="20% - Accent4 3" xfId="1033" hidden="1" xr:uid="{00000000-0005-0000-0000-000047040000}"/>
    <cellStyle name="20% - Accent4 3" xfId="1076" hidden="1" xr:uid="{00000000-0005-0000-0000-000048040000}"/>
    <cellStyle name="20% - Accent4 3" xfId="1114" hidden="1" xr:uid="{00000000-0005-0000-0000-000049040000}"/>
    <cellStyle name="20% - Accent4 3" xfId="1147" hidden="1" xr:uid="{00000000-0005-0000-0000-00004A040000}"/>
    <cellStyle name="20% - Accent4 3" xfId="1179" hidden="1" xr:uid="{00000000-0005-0000-0000-00004B040000}"/>
    <cellStyle name="20% - Accent4 3" xfId="1211" hidden="1" xr:uid="{00000000-0005-0000-0000-00004C040000}"/>
    <cellStyle name="20% - Accent4 3" xfId="1244" hidden="1" xr:uid="{00000000-0005-0000-0000-00004D040000}"/>
    <cellStyle name="20% - Accent4 3" xfId="1276" hidden="1" xr:uid="{00000000-0005-0000-0000-00004E040000}"/>
    <cellStyle name="20% - Accent4 3" xfId="1309" hidden="1" xr:uid="{00000000-0005-0000-0000-00004F040000}"/>
    <cellStyle name="20% - Accent4 3" xfId="1341" hidden="1" xr:uid="{00000000-0005-0000-0000-000050040000}"/>
    <cellStyle name="20% - Accent4 3" xfId="1374" hidden="1" xr:uid="{00000000-0005-0000-0000-000051040000}"/>
    <cellStyle name="20% - Accent4 3" xfId="1407" hidden="1" xr:uid="{00000000-0005-0000-0000-000052040000}"/>
    <cellStyle name="20% - Accent4 3" xfId="1440" hidden="1" xr:uid="{00000000-0005-0000-0000-000053040000}"/>
    <cellStyle name="20% - Accent4 3" xfId="1473" hidden="1" xr:uid="{00000000-0005-0000-0000-000054040000}"/>
    <cellStyle name="20% - Accent4 3" xfId="1506" hidden="1" xr:uid="{00000000-0005-0000-0000-000055040000}"/>
    <cellStyle name="20% - Accent4 3" xfId="1539" hidden="1" xr:uid="{00000000-0005-0000-0000-000056040000}"/>
    <cellStyle name="20% - Accent4 3" xfId="1753" hidden="1" xr:uid="{00000000-0005-0000-0000-000057040000}"/>
    <cellStyle name="20% - Accent4 3" xfId="1790" hidden="1" xr:uid="{00000000-0005-0000-0000-000058040000}"/>
    <cellStyle name="20% - Accent4 3" xfId="1823" hidden="1" xr:uid="{00000000-0005-0000-0000-000059040000}"/>
    <cellStyle name="20% - Accent4 3" xfId="1855" hidden="1" xr:uid="{00000000-0005-0000-0000-00005A040000}"/>
    <cellStyle name="20% - Accent4 3" xfId="1887" hidden="1" xr:uid="{00000000-0005-0000-0000-00005B040000}"/>
    <cellStyle name="20% - Accent4 3" xfId="1920" hidden="1" xr:uid="{00000000-0005-0000-0000-00005C040000}"/>
    <cellStyle name="20% - Accent4 3" xfId="1952" hidden="1" xr:uid="{00000000-0005-0000-0000-00005D040000}"/>
    <cellStyle name="20% - Accent4 3" xfId="1985" hidden="1" xr:uid="{00000000-0005-0000-0000-00005E040000}"/>
    <cellStyle name="20% - Accent4 3" xfId="2017" hidden="1" xr:uid="{00000000-0005-0000-0000-00005F040000}"/>
    <cellStyle name="20% - Accent4 3" xfId="2050" hidden="1" xr:uid="{00000000-0005-0000-0000-000060040000}"/>
    <cellStyle name="20% - Accent4 3" xfId="2083" hidden="1" xr:uid="{00000000-0005-0000-0000-000061040000}"/>
    <cellStyle name="20% - Accent4 3" xfId="2116" hidden="1" xr:uid="{00000000-0005-0000-0000-000062040000}"/>
    <cellStyle name="20% - Accent4 3" xfId="2149" hidden="1" xr:uid="{00000000-0005-0000-0000-000063040000}"/>
    <cellStyle name="20% - Accent4 3" xfId="2182" hidden="1" xr:uid="{00000000-0005-0000-0000-000064040000}"/>
    <cellStyle name="20% - Accent4 3" xfId="2215" hidden="1" xr:uid="{00000000-0005-0000-0000-000065040000}"/>
    <cellStyle name="20% - Accent4 3" xfId="1729" hidden="1" xr:uid="{00000000-0005-0000-0000-000066040000}"/>
    <cellStyle name="20% - Accent4 3" xfId="2267" hidden="1" xr:uid="{00000000-0005-0000-0000-000067040000}"/>
    <cellStyle name="20% - Accent4 3" xfId="2300" hidden="1" xr:uid="{00000000-0005-0000-0000-000068040000}"/>
    <cellStyle name="20% - Accent4 3" xfId="2332" hidden="1" xr:uid="{00000000-0005-0000-0000-000069040000}"/>
    <cellStyle name="20% - Accent4 3" xfId="2364" hidden="1" xr:uid="{00000000-0005-0000-0000-00006A040000}"/>
    <cellStyle name="20% - Accent4 3" xfId="2397" hidden="1" xr:uid="{00000000-0005-0000-0000-00006B040000}"/>
    <cellStyle name="20% - Accent4 3" xfId="2429" hidden="1" xr:uid="{00000000-0005-0000-0000-00006C040000}"/>
    <cellStyle name="20% - Accent4 3" xfId="2462" hidden="1" xr:uid="{00000000-0005-0000-0000-00006D040000}"/>
    <cellStyle name="20% - Accent4 3" xfId="2494" hidden="1" xr:uid="{00000000-0005-0000-0000-00006E040000}"/>
    <cellStyle name="20% - Accent4 3" xfId="2527" hidden="1" xr:uid="{00000000-0005-0000-0000-00006F040000}"/>
    <cellStyle name="20% - Accent4 3" xfId="2560" hidden="1" xr:uid="{00000000-0005-0000-0000-000070040000}"/>
    <cellStyle name="20% - Accent4 3" xfId="2593" hidden="1" xr:uid="{00000000-0005-0000-0000-000071040000}"/>
    <cellStyle name="20% - Accent4 3" xfId="2626" hidden="1" xr:uid="{00000000-0005-0000-0000-000072040000}"/>
    <cellStyle name="20% - Accent4 3" xfId="2659" hidden="1" xr:uid="{00000000-0005-0000-0000-000073040000}"/>
    <cellStyle name="20% - Accent4 3" xfId="2692" hidden="1" xr:uid="{00000000-0005-0000-0000-000074040000}"/>
    <cellStyle name="20% - Accent4 3" xfId="2773" hidden="1" xr:uid="{00000000-0005-0000-0000-000075040000}"/>
    <cellStyle name="20% - Accent4 3" xfId="2810" hidden="1" xr:uid="{00000000-0005-0000-0000-000076040000}"/>
    <cellStyle name="20% - Accent4 3" xfId="2843" hidden="1" xr:uid="{00000000-0005-0000-0000-000077040000}"/>
    <cellStyle name="20% - Accent4 3" xfId="2875" hidden="1" xr:uid="{00000000-0005-0000-0000-000078040000}"/>
    <cellStyle name="20% - Accent4 3" xfId="2907" hidden="1" xr:uid="{00000000-0005-0000-0000-000079040000}"/>
    <cellStyle name="20% - Accent4 3" xfId="2940" hidden="1" xr:uid="{00000000-0005-0000-0000-00007A040000}"/>
    <cellStyle name="20% - Accent4 3" xfId="2972" hidden="1" xr:uid="{00000000-0005-0000-0000-00007B040000}"/>
    <cellStyle name="20% - Accent4 3" xfId="3005" hidden="1" xr:uid="{00000000-0005-0000-0000-00007C040000}"/>
    <cellStyle name="20% - Accent4 3" xfId="3037" hidden="1" xr:uid="{00000000-0005-0000-0000-00007D040000}"/>
    <cellStyle name="20% - Accent4 3" xfId="3070" hidden="1" xr:uid="{00000000-0005-0000-0000-00007E040000}"/>
    <cellStyle name="20% - Accent4 3" xfId="3103" hidden="1" xr:uid="{00000000-0005-0000-0000-00007F040000}"/>
    <cellStyle name="20% - Accent4 3" xfId="3136" hidden="1" xr:uid="{00000000-0005-0000-0000-000080040000}"/>
    <cellStyle name="20% - Accent4 3" xfId="3169" hidden="1" xr:uid="{00000000-0005-0000-0000-000081040000}"/>
    <cellStyle name="20% - Accent4 3" xfId="3202" hidden="1" xr:uid="{00000000-0005-0000-0000-000082040000}"/>
    <cellStyle name="20% - Accent4 3" xfId="3235" hidden="1" xr:uid="{00000000-0005-0000-0000-000083040000}"/>
    <cellStyle name="20% - Accent4 3" xfId="3286" hidden="1" xr:uid="{00000000-0005-0000-0000-000084040000}"/>
    <cellStyle name="20% - Accent4 3" xfId="3323" hidden="1" xr:uid="{00000000-0005-0000-0000-000085040000}"/>
    <cellStyle name="20% - Accent4 3" xfId="3356" hidden="1" xr:uid="{00000000-0005-0000-0000-000086040000}"/>
    <cellStyle name="20% - Accent4 3" xfId="3388" hidden="1" xr:uid="{00000000-0005-0000-0000-000087040000}"/>
    <cellStyle name="20% - Accent4 3" xfId="3420" hidden="1" xr:uid="{00000000-0005-0000-0000-000088040000}"/>
    <cellStyle name="20% - Accent4 3" xfId="3453" hidden="1" xr:uid="{00000000-0005-0000-0000-000089040000}"/>
    <cellStyle name="20% - Accent4 3" xfId="3485" hidden="1" xr:uid="{00000000-0005-0000-0000-00008A040000}"/>
    <cellStyle name="20% - Accent4 3" xfId="3518" hidden="1" xr:uid="{00000000-0005-0000-0000-00008B040000}"/>
    <cellStyle name="20% - Accent4 3" xfId="3550" hidden="1" xr:uid="{00000000-0005-0000-0000-00008C040000}"/>
    <cellStyle name="20% - Accent4 3" xfId="3583" hidden="1" xr:uid="{00000000-0005-0000-0000-00008D040000}"/>
    <cellStyle name="20% - Accent4 3" xfId="3616" hidden="1" xr:uid="{00000000-0005-0000-0000-00008E040000}"/>
    <cellStyle name="20% - Accent4 3" xfId="3649" hidden="1" xr:uid="{00000000-0005-0000-0000-00008F040000}"/>
    <cellStyle name="20% - Accent4 3" xfId="3682" hidden="1" xr:uid="{00000000-0005-0000-0000-000090040000}"/>
    <cellStyle name="20% - Accent4 3" xfId="3715" hidden="1" xr:uid="{00000000-0005-0000-0000-000091040000}"/>
    <cellStyle name="20% - Accent4 3" xfId="3748" hidden="1" xr:uid="{00000000-0005-0000-0000-000092040000}"/>
    <cellStyle name="20% - Accent4 3" xfId="3262" hidden="1" xr:uid="{00000000-0005-0000-0000-000093040000}"/>
    <cellStyle name="20% - Accent4 3" xfId="3800" hidden="1" xr:uid="{00000000-0005-0000-0000-000094040000}"/>
    <cellStyle name="20% - Accent4 3" xfId="3833" hidden="1" xr:uid="{00000000-0005-0000-0000-000095040000}"/>
    <cellStyle name="20% - Accent4 3" xfId="3865" hidden="1" xr:uid="{00000000-0005-0000-0000-000096040000}"/>
    <cellStyle name="20% - Accent4 3" xfId="3897" hidden="1" xr:uid="{00000000-0005-0000-0000-000097040000}"/>
    <cellStyle name="20% - Accent4 3" xfId="3930" hidden="1" xr:uid="{00000000-0005-0000-0000-000098040000}"/>
    <cellStyle name="20% - Accent4 3" xfId="3962" hidden="1" xr:uid="{00000000-0005-0000-0000-000099040000}"/>
    <cellStyle name="20% - Accent4 3" xfId="3995" hidden="1" xr:uid="{00000000-0005-0000-0000-00009A040000}"/>
    <cellStyle name="20% - Accent4 3" xfId="4027" hidden="1" xr:uid="{00000000-0005-0000-0000-00009B040000}"/>
    <cellStyle name="20% - Accent4 3" xfId="4060" hidden="1" xr:uid="{00000000-0005-0000-0000-00009C040000}"/>
    <cellStyle name="20% - Accent4 3" xfId="4093" hidden="1" xr:uid="{00000000-0005-0000-0000-00009D040000}"/>
    <cellStyle name="20% - Accent4 3" xfId="4126" hidden="1" xr:uid="{00000000-0005-0000-0000-00009E040000}"/>
    <cellStyle name="20% - Accent4 3" xfId="4159" hidden="1" xr:uid="{00000000-0005-0000-0000-00009F040000}"/>
    <cellStyle name="20% - Accent4 3" xfId="4192" hidden="1" xr:uid="{00000000-0005-0000-0000-0000A0040000}"/>
    <cellStyle name="20% - Accent4 3" xfId="4225" hidden="1" xr:uid="{00000000-0005-0000-0000-0000A1040000}"/>
    <cellStyle name="20% - Accent4 3" xfId="4392" hidden="1" xr:uid="{00000000-0005-0000-0000-0000A2040000}"/>
    <cellStyle name="20% - Accent4 3" xfId="4425" hidden="1" xr:uid="{00000000-0005-0000-0000-0000A3040000}"/>
    <cellStyle name="20% - Accent4 3" xfId="4458" hidden="1" xr:uid="{00000000-0005-0000-0000-0000A4040000}"/>
    <cellStyle name="20% - Accent4 3" xfId="4491" hidden="1" xr:uid="{00000000-0005-0000-0000-0000A5040000}"/>
    <cellStyle name="20% - Accent4 3" xfId="4524" hidden="1" xr:uid="{00000000-0005-0000-0000-0000A6040000}"/>
    <cellStyle name="20% - Accent4 3" xfId="4557" hidden="1" xr:uid="{00000000-0005-0000-0000-0000A7040000}"/>
    <cellStyle name="20% - Accent4 3" xfId="4590" hidden="1" xr:uid="{00000000-0005-0000-0000-0000A8040000}"/>
    <cellStyle name="20% - Accent4 3" xfId="4623" hidden="1" xr:uid="{00000000-0005-0000-0000-0000A9040000}"/>
    <cellStyle name="20% - Accent4 3" xfId="4656" hidden="1" xr:uid="{00000000-0005-0000-0000-0000AA040000}"/>
    <cellStyle name="20% - Accent4 3" xfId="4689" hidden="1" xr:uid="{00000000-0005-0000-0000-0000AB040000}"/>
    <cellStyle name="20% - Accent4 3" xfId="4722" hidden="1" xr:uid="{00000000-0005-0000-0000-0000AC040000}"/>
    <cellStyle name="20% - Accent4 3" xfId="4759" hidden="1" xr:uid="{00000000-0005-0000-0000-0000AD040000}"/>
    <cellStyle name="20% - Accent4 3" xfId="4792" hidden="1" xr:uid="{00000000-0005-0000-0000-0000AE040000}"/>
    <cellStyle name="20% - Accent4 3" xfId="4824" hidden="1" xr:uid="{00000000-0005-0000-0000-0000AF040000}"/>
    <cellStyle name="20% - Accent4 3" xfId="4856" hidden="1" xr:uid="{00000000-0005-0000-0000-0000B0040000}"/>
    <cellStyle name="20% - Accent4 3" xfId="4889" hidden="1" xr:uid="{00000000-0005-0000-0000-0000B1040000}"/>
    <cellStyle name="20% - Accent4 3" xfId="4921" hidden="1" xr:uid="{00000000-0005-0000-0000-0000B2040000}"/>
    <cellStyle name="20% - Accent4 3" xfId="4954" hidden="1" xr:uid="{00000000-0005-0000-0000-0000B3040000}"/>
    <cellStyle name="20% - Accent4 3" xfId="4986" hidden="1" xr:uid="{00000000-0005-0000-0000-0000B4040000}"/>
    <cellStyle name="20% - Accent4 3" xfId="5019" hidden="1" xr:uid="{00000000-0005-0000-0000-0000B5040000}"/>
    <cellStyle name="20% - Accent4 3" xfId="5052" hidden="1" xr:uid="{00000000-0005-0000-0000-0000B6040000}"/>
    <cellStyle name="20% - Accent4 3" xfId="5085" hidden="1" xr:uid="{00000000-0005-0000-0000-0000B7040000}"/>
    <cellStyle name="20% - Accent4 3" xfId="5118" hidden="1" xr:uid="{00000000-0005-0000-0000-0000B8040000}"/>
    <cellStyle name="20% - Accent4 3" xfId="5151" hidden="1" xr:uid="{00000000-0005-0000-0000-0000B9040000}"/>
    <cellStyle name="20% - Accent4 3" xfId="5184" hidden="1" xr:uid="{00000000-0005-0000-0000-0000BA040000}"/>
    <cellStyle name="20% - Accent4 3" xfId="5225" hidden="1" xr:uid="{00000000-0005-0000-0000-0000BB040000}"/>
    <cellStyle name="20% - Accent4 3" xfId="5262" hidden="1" xr:uid="{00000000-0005-0000-0000-0000BC040000}"/>
    <cellStyle name="20% - Accent4 3" xfId="5295" hidden="1" xr:uid="{00000000-0005-0000-0000-0000BD040000}"/>
    <cellStyle name="20% - Accent4 3" xfId="5327" hidden="1" xr:uid="{00000000-0005-0000-0000-0000BE040000}"/>
    <cellStyle name="20% - Accent4 3" xfId="5359" hidden="1" xr:uid="{00000000-0005-0000-0000-0000BF040000}"/>
    <cellStyle name="20% - Accent4 3" xfId="5392" hidden="1" xr:uid="{00000000-0005-0000-0000-0000C0040000}"/>
    <cellStyle name="20% - Accent4 3" xfId="5424" hidden="1" xr:uid="{00000000-0005-0000-0000-0000C1040000}"/>
    <cellStyle name="20% - Accent4 3" xfId="5457" hidden="1" xr:uid="{00000000-0005-0000-0000-0000C2040000}"/>
    <cellStyle name="20% - Accent4 3" xfId="5489" hidden="1" xr:uid="{00000000-0005-0000-0000-0000C3040000}"/>
    <cellStyle name="20% - Accent4 3" xfId="5522" hidden="1" xr:uid="{00000000-0005-0000-0000-0000C4040000}"/>
    <cellStyle name="20% - Accent4 3" xfId="5555" hidden="1" xr:uid="{00000000-0005-0000-0000-0000C5040000}"/>
    <cellStyle name="20% - Accent4 3" xfId="5588" hidden="1" xr:uid="{00000000-0005-0000-0000-0000C6040000}"/>
    <cellStyle name="20% - Accent4 3" xfId="5621" hidden="1" xr:uid="{00000000-0005-0000-0000-0000C7040000}"/>
    <cellStyle name="20% - Accent4 3" xfId="5654" hidden="1" xr:uid="{00000000-0005-0000-0000-0000C8040000}"/>
    <cellStyle name="20% - Accent4 3" xfId="5687" hidden="1" xr:uid="{00000000-0005-0000-0000-0000C9040000}"/>
    <cellStyle name="20% - Accent4 3" xfId="5791" hidden="1" xr:uid="{00000000-0005-0000-0000-0000CA040000}"/>
    <cellStyle name="20% - Accent4 3" xfId="5828" hidden="1" xr:uid="{00000000-0005-0000-0000-0000CB040000}"/>
    <cellStyle name="20% - Accent4 3" xfId="5861" hidden="1" xr:uid="{00000000-0005-0000-0000-0000CC040000}"/>
    <cellStyle name="20% - Accent4 3" xfId="5893" hidden="1" xr:uid="{00000000-0005-0000-0000-0000CD040000}"/>
    <cellStyle name="20% - Accent4 3" xfId="5925" hidden="1" xr:uid="{00000000-0005-0000-0000-0000CE040000}"/>
    <cellStyle name="20% - Accent4 3" xfId="5958" hidden="1" xr:uid="{00000000-0005-0000-0000-0000CF040000}"/>
    <cellStyle name="20% - Accent4 3" xfId="5990" hidden="1" xr:uid="{00000000-0005-0000-0000-0000D0040000}"/>
    <cellStyle name="20% - Accent4 3" xfId="6023" hidden="1" xr:uid="{00000000-0005-0000-0000-0000D1040000}"/>
    <cellStyle name="20% - Accent4 3" xfId="6055" hidden="1" xr:uid="{00000000-0005-0000-0000-0000D2040000}"/>
    <cellStyle name="20% - Accent4 3" xfId="6088" hidden="1" xr:uid="{00000000-0005-0000-0000-0000D3040000}"/>
    <cellStyle name="20% - Accent4 3" xfId="6121" hidden="1" xr:uid="{00000000-0005-0000-0000-0000D4040000}"/>
    <cellStyle name="20% - Accent4 3" xfId="6154" hidden="1" xr:uid="{00000000-0005-0000-0000-0000D5040000}"/>
    <cellStyle name="20% - Accent4 3" xfId="6187" hidden="1" xr:uid="{00000000-0005-0000-0000-0000D6040000}"/>
    <cellStyle name="20% - Accent4 3" xfId="6220" hidden="1" xr:uid="{00000000-0005-0000-0000-0000D7040000}"/>
    <cellStyle name="20% - Accent4 3" xfId="6253" hidden="1" xr:uid="{00000000-0005-0000-0000-0000D8040000}"/>
    <cellStyle name="20% - Accent4 3" xfId="5767" hidden="1" xr:uid="{00000000-0005-0000-0000-0000D9040000}"/>
    <cellStyle name="20% - Accent4 3" xfId="6305" hidden="1" xr:uid="{00000000-0005-0000-0000-0000DA040000}"/>
    <cellStyle name="20% - Accent4 3" xfId="6338" hidden="1" xr:uid="{00000000-0005-0000-0000-0000DB040000}"/>
    <cellStyle name="20% - Accent4 3" xfId="6370" hidden="1" xr:uid="{00000000-0005-0000-0000-0000DC040000}"/>
    <cellStyle name="20% - Accent4 3" xfId="6402" hidden="1" xr:uid="{00000000-0005-0000-0000-0000DD040000}"/>
    <cellStyle name="20% - Accent4 3" xfId="6435" hidden="1" xr:uid="{00000000-0005-0000-0000-0000DE040000}"/>
    <cellStyle name="20% - Accent4 3" xfId="6467" hidden="1" xr:uid="{00000000-0005-0000-0000-0000DF040000}"/>
    <cellStyle name="20% - Accent4 3" xfId="6500" hidden="1" xr:uid="{00000000-0005-0000-0000-0000E0040000}"/>
    <cellStyle name="20% - Accent4 3" xfId="6532" hidden="1" xr:uid="{00000000-0005-0000-0000-0000E1040000}"/>
    <cellStyle name="20% - Accent4 3" xfId="6565" hidden="1" xr:uid="{00000000-0005-0000-0000-0000E2040000}"/>
    <cellStyle name="20% - Accent4 3" xfId="6598" hidden="1" xr:uid="{00000000-0005-0000-0000-0000E3040000}"/>
    <cellStyle name="20% - Accent4 3" xfId="6631" hidden="1" xr:uid="{00000000-0005-0000-0000-0000E4040000}"/>
    <cellStyle name="20% - Accent4 3" xfId="6664" hidden="1" xr:uid="{00000000-0005-0000-0000-0000E5040000}"/>
    <cellStyle name="20% - Accent4 3" xfId="6697" hidden="1" xr:uid="{00000000-0005-0000-0000-0000E6040000}"/>
    <cellStyle name="20% - Accent4 3" xfId="6730" hidden="1" xr:uid="{00000000-0005-0000-0000-0000E7040000}"/>
    <cellStyle name="20% - Accent4 3" xfId="6787" hidden="1" xr:uid="{00000000-0005-0000-0000-0000E8040000}"/>
    <cellStyle name="20% - Accent4 3" xfId="6824" hidden="1" xr:uid="{00000000-0005-0000-0000-0000E9040000}"/>
    <cellStyle name="20% - Accent4 3" xfId="6857" hidden="1" xr:uid="{00000000-0005-0000-0000-0000EA040000}"/>
    <cellStyle name="20% - Accent4 3" xfId="6889" hidden="1" xr:uid="{00000000-0005-0000-0000-0000EB040000}"/>
    <cellStyle name="20% - Accent4 3" xfId="6921" hidden="1" xr:uid="{00000000-0005-0000-0000-0000EC040000}"/>
    <cellStyle name="20% - Accent4 3" xfId="6954" hidden="1" xr:uid="{00000000-0005-0000-0000-0000ED040000}"/>
    <cellStyle name="20% - Accent4 3" xfId="6986" hidden="1" xr:uid="{00000000-0005-0000-0000-0000EE040000}"/>
    <cellStyle name="20% - Accent4 3" xfId="7019" hidden="1" xr:uid="{00000000-0005-0000-0000-0000EF040000}"/>
    <cellStyle name="20% - Accent4 3" xfId="7051" hidden="1" xr:uid="{00000000-0005-0000-0000-0000F0040000}"/>
    <cellStyle name="20% - Accent4 3" xfId="7084" hidden="1" xr:uid="{00000000-0005-0000-0000-0000F1040000}"/>
    <cellStyle name="20% - Accent4 3" xfId="7117" hidden="1" xr:uid="{00000000-0005-0000-0000-0000F2040000}"/>
    <cellStyle name="20% - Accent4 3" xfId="7150" hidden="1" xr:uid="{00000000-0005-0000-0000-0000F3040000}"/>
    <cellStyle name="20% - Accent4 3" xfId="7183" hidden="1" xr:uid="{00000000-0005-0000-0000-0000F4040000}"/>
    <cellStyle name="20% - Accent4 3" xfId="7216" hidden="1" xr:uid="{00000000-0005-0000-0000-0000F5040000}"/>
    <cellStyle name="20% - Accent4 3" xfId="7249" hidden="1" xr:uid="{00000000-0005-0000-0000-0000F6040000}"/>
    <cellStyle name="20% - Accent4 3" xfId="7300" hidden="1" xr:uid="{00000000-0005-0000-0000-0000F7040000}"/>
    <cellStyle name="20% - Accent4 3" xfId="7337" hidden="1" xr:uid="{00000000-0005-0000-0000-0000F8040000}"/>
    <cellStyle name="20% - Accent4 3" xfId="7370" hidden="1" xr:uid="{00000000-0005-0000-0000-0000F9040000}"/>
    <cellStyle name="20% - Accent4 3" xfId="7402" hidden="1" xr:uid="{00000000-0005-0000-0000-0000FA040000}"/>
    <cellStyle name="20% - Accent4 3" xfId="7434" hidden="1" xr:uid="{00000000-0005-0000-0000-0000FB040000}"/>
    <cellStyle name="20% - Accent4 3" xfId="7467" hidden="1" xr:uid="{00000000-0005-0000-0000-0000FC040000}"/>
    <cellStyle name="20% - Accent4 3" xfId="7499" hidden="1" xr:uid="{00000000-0005-0000-0000-0000FD040000}"/>
    <cellStyle name="20% - Accent4 3" xfId="7532" hidden="1" xr:uid="{00000000-0005-0000-0000-0000FE040000}"/>
    <cellStyle name="20% - Accent4 3" xfId="7564" hidden="1" xr:uid="{00000000-0005-0000-0000-0000FF040000}"/>
    <cellStyle name="20% - Accent4 3" xfId="7597" hidden="1" xr:uid="{00000000-0005-0000-0000-000000050000}"/>
    <cellStyle name="20% - Accent4 3" xfId="7630" hidden="1" xr:uid="{00000000-0005-0000-0000-000001050000}"/>
    <cellStyle name="20% - Accent4 3" xfId="7663" hidden="1" xr:uid="{00000000-0005-0000-0000-000002050000}"/>
    <cellStyle name="20% - Accent4 3" xfId="7696" hidden="1" xr:uid="{00000000-0005-0000-0000-000003050000}"/>
    <cellStyle name="20% - Accent4 3" xfId="7729" hidden="1" xr:uid="{00000000-0005-0000-0000-000004050000}"/>
    <cellStyle name="20% - Accent4 3" xfId="7762" hidden="1" xr:uid="{00000000-0005-0000-0000-000005050000}"/>
    <cellStyle name="20% - Accent4 3" xfId="7276" hidden="1" xr:uid="{00000000-0005-0000-0000-000006050000}"/>
    <cellStyle name="20% - Accent4 3" xfId="7814" hidden="1" xr:uid="{00000000-0005-0000-0000-000007050000}"/>
    <cellStyle name="20% - Accent4 3" xfId="7847" hidden="1" xr:uid="{00000000-0005-0000-0000-000008050000}"/>
    <cellStyle name="20% - Accent4 3" xfId="7879" hidden="1" xr:uid="{00000000-0005-0000-0000-000009050000}"/>
    <cellStyle name="20% - Accent4 3" xfId="7911" hidden="1" xr:uid="{00000000-0005-0000-0000-00000A050000}"/>
    <cellStyle name="20% - Accent4 3" xfId="7944" hidden="1" xr:uid="{00000000-0005-0000-0000-00000B050000}"/>
    <cellStyle name="20% - Accent4 3" xfId="7976" hidden="1" xr:uid="{00000000-0005-0000-0000-00000C050000}"/>
    <cellStyle name="20% - Accent4 3" xfId="8009" hidden="1" xr:uid="{00000000-0005-0000-0000-00000D050000}"/>
    <cellStyle name="20% - Accent4 3" xfId="8041" hidden="1" xr:uid="{00000000-0005-0000-0000-00000E050000}"/>
    <cellStyle name="20% - Accent4 3" xfId="8074" hidden="1" xr:uid="{00000000-0005-0000-0000-00000F050000}"/>
    <cellStyle name="20% - Accent4 3" xfId="8107" hidden="1" xr:uid="{00000000-0005-0000-0000-000010050000}"/>
    <cellStyle name="20% - Accent4 3" xfId="8140" hidden="1" xr:uid="{00000000-0005-0000-0000-000011050000}"/>
    <cellStyle name="20% - Accent4 3" xfId="8173" hidden="1" xr:uid="{00000000-0005-0000-0000-000012050000}"/>
    <cellStyle name="20% - Accent4 3" xfId="8206" hidden="1" xr:uid="{00000000-0005-0000-0000-000013050000}"/>
    <cellStyle name="20% - Accent4 3" xfId="8239" hidden="1" xr:uid="{00000000-0005-0000-0000-000014050000}"/>
    <cellStyle name="20% - Accent4 3" xfId="5755" hidden="1" xr:uid="{00000000-0005-0000-0000-000015050000}"/>
    <cellStyle name="20% - Accent4 3" xfId="4336" hidden="1" xr:uid="{00000000-0005-0000-0000-000016050000}"/>
    <cellStyle name="20% - Accent4 3" xfId="5735" hidden="1" xr:uid="{00000000-0005-0000-0000-000017050000}"/>
    <cellStyle name="20% - Accent4 3" xfId="5728" hidden="1" xr:uid="{00000000-0005-0000-0000-000018050000}"/>
    <cellStyle name="20% - Accent4 3" xfId="4367" hidden="1" xr:uid="{00000000-0005-0000-0000-000019050000}"/>
    <cellStyle name="20% - Accent4 3" xfId="6752" hidden="1" xr:uid="{00000000-0005-0000-0000-00001A050000}"/>
    <cellStyle name="20% - Accent4 3" xfId="4247" hidden="1" xr:uid="{00000000-0005-0000-0000-00001B050000}"/>
    <cellStyle name="20% - Accent4 3" xfId="8284" hidden="1" xr:uid="{00000000-0005-0000-0000-00001C050000}"/>
    <cellStyle name="20% - Accent4 3" xfId="8317" hidden="1" xr:uid="{00000000-0005-0000-0000-00001D050000}"/>
    <cellStyle name="20% - Accent4 3" xfId="8350" hidden="1" xr:uid="{00000000-0005-0000-0000-00001E050000}"/>
    <cellStyle name="20% - Accent4 3" xfId="8383" hidden="1" xr:uid="{00000000-0005-0000-0000-00001F050000}"/>
    <cellStyle name="20% - Accent4 3" xfId="8420" hidden="1" xr:uid="{00000000-0005-0000-0000-000020050000}"/>
    <cellStyle name="20% - Accent4 3" xfId="8453" hidden="1" xr:uid="{00000000-0005-0000-0000-000021050000}"/>
    <cellStyle name="20% - Accent4 3" xfId="8485" hidden="1" xr:uid="{00000000-0005-0000-0000-000022050000}"/>
    <cellStyle name="20% - Accent4 3" xfId="8517" hidden="1" xr:uid="{00000000-0005-0000-0000-000023050000}"/>
    <cellStyle name="20% - Accent4 3" xfId="8550" hidden="1" xr:uid="{00000000-0005-0000-0000-000024050000}"/>
    <cellStyle name="20% - Accent4 3" xfId="8582" hidden="1" xr:uid="{00000000-0005-0000-0000-000025050000}"/>
    <cellStyle name="20% - Accent4 3" xfId="8615" hidden="1" xr:uid="{00000000-0005-0000-0000-000026050000}"/>
    <cellStyle name="20% - Accent4 3" xfId="8647" hidden="1" xr:uid="{00000000-0005-0000-0000-000027050000}"/>
    <cellStyle name="20% - Accent4 3" xfId="8680" hidden="1" xr:uid="{00000000-0005-0000-0000-000028050000}"/>
    <cellStyle name="20% - Accent4 3" xfId="8713" hidden="1" xr:uid="{00000000-0005-0000-0000-000029050000}"/>
    <cellStyle name="20% - Accent4 3" xfId="8746" hidden="1" xr:uid="{00000000-0005-0000-0000-00002A050000}"/>
    <cellStyle name="20% - Accent4 3" xfId="8779" hidden="1" xr:uid="{00000000-0005-0000-0000-00002B050000}"/>
    <cellStyle name="20% - Accent4 3" xfId="8812" hidden="1" xr:uid="{00000000-0005-0000-0000-00002C050000}"/>
    <cellStyle name="20% - Accent4 3" xfId="8845" hidden="1" xr:uid="{00000000-0005-0000-0000-00002D050000}"/>
    <cellStyle name="20% - Accent4 3" xfId="8885" hidden="1" xr:uid="{00000000-0005-0000-0000-00002E050000}"/>
    <cellStyle name="20% - Accent4 3" xfId="8922" hidden="1" xr:uid="{00000000-0005-0000-0000-00002F050000}"/>
    <cellStyle name="20% - Accent4 3" xfId="8955" hidden="1" xr:uid="{00000000-0005-0000-0000-000030050000}"/>
    <cellStyle name="20% - Accent4 3" xfId="8987" hidden="1" xr:uid="{00000000-0005-0000-0000-000031050000}"/>
    <cellStyle name="20% - Accent4 3" xfId="9019" hidden="1" xr:uid="{00000000-0005-0000-0000-000032050000}"/>
    <cellStyle name="20% - Accent4 3" xfId="9052" hidden="1" xr:uid="{00000000-0005-0000-0000-000033050000}"/>
    <cellStyle name="20% - Accent4 3" xfId="9084" hidden="1" xr:uid="{00000000-0005-0000-0000-000034050000}"/>
    <cellStyle name="20% - Accent4 3" xfId="9117" hidden="1" xr:uid="{00000000-0005-0000-0000-000035050000}"/>
    <cellStyle name="20% - Accent4 3" xfId="9149" hidden="1" xr:uid="{00000000-0005-0000-0000-000036050000}"/>
    <cellStyle name="20% - Accent4 3" xfId="9182" hidden="1" xr:uid="{00000000-0005-0000-0000-000037050000}"/>
    <cellStyle name="20% - Accent4 3" xfId="9215" hidden="1" xr:uid="{00000000-0005-0000-0000-000038050000}"/>
    <cellStyle name="20% - Accent4 3" xfId="9248" hidden="1" xr:uid="{00000000-0005-0000-0000-000039050000}"/>
    <cellStyle name="20% - Accent4 3" xfId="9281" hidden="1" xr:uid="{00000000-0005-0000-0000-00003A050000}"/>
    <cellStyle name="20% - Accent4 3" xfId="9314" hidden="1" xr:uid="{00000000-0005-0000-0000-00003B050000}"/>
    <cellStyle name="20% - Accent4 3" xfId="9347" hidden="1" xr:uid="{00000000-0005-0000-0000-00003C050000}"/>
    <cellStyle name="20% - Accent4 3" xfId="9398" hidden="1" xr:uid="{00000000-0005-0000-0000-00003D050000}"/>
    <cellStyle name="20% - Accent4 3" xfId="9435" hidden="1" xr:uid="{00000000-0005-0000-0000-00003E050000}"/>
    <cellStyle name="20% - Accent4 3" xfId="9468" hidden="1" xr:uid="{00000000-0005-0000-0000-00003F050000}"/>
    <cellStyle name="20% - Accent4 3" xfId="9500" hidden="1" xr:uid="{00000000-0005-0000-0000-000040050000}"/>
    <cellStyle name="20% - Accent4 3" xfId="9532" hidden="1" xr:uid="{00000000-0005-0000-0000-000041050000}"/>
    <cellStyle name="20% - Accent4 3" xfId="9565" hidden="1" xr:uid="{00000000-0005-0000-0000-000042050000}"/>
    <cellStyle name="20% - Accent4 3" xfId="9597" hidden="1" xr:uid="{00000000-0005-0000-0000-000043050000}"/>
    <cellStyle name="20% - Accent4 3" xfId="9630" hidden="1" xr:uid="{00000000-0005-0000-0000-000044050000}"/>
    <cellStyle name="20% - Accent4 3" xfId="9662" hidden="1" xr:uid="{00000000-0005-0000-0000-000045050000}"/>
    <cellStyle name="20% - Accent4 3" xfId="9695" hidden="1" xr:uid="{00000000-0005-0000-0000-000046050000}"/>
    <cellStyle name="20% - Accent4 3" xfId="9728" hidden="1" xr:uid="{00000000-0005-0000-0000-000047050000}"/>
    <cellStyle name="20% - Accent4 3" xfId="9761" hidden="1" xr:uid="{00000000-0005-0000-0000-000048050000}"/>
    <cellStyle name="20% - Accent4 3" xfId="9794" hidden="1" xr:uid="{00000000-0005-0000-0000-000049050000}"/>
    <cellStyle name="20% - Accent4 3" xfId="9827" hidden="1" xr:uid="{00000000-0005-0000-0000-00004A050000}"/>
    <cellStyle name="20% - Accent4 3" xfId="9860" hidden="1" xr:uid="{00000000-0005-0000-0000-00004B050000}"/>
    <cellStyle name="20% - Accent4 3" xfId="9374" hidden="1" xr:uid="{00000000-0005-0000-0000-00004C050000}"/>
    <cellStyle name="20% - Accent4 3" xfId="9912" hidden="1" xr:uid="{00000000-0005-0000-0000-00004D050000}"/>
    <cellStyle name="20% - Accent4 3" xfId="9945" hidden="1" xr:uid="{00000000-0005-0000-0000-00004E050000}"/>
    <cellStyle name="20% - Accent4 3" xfId="9977" hidden="1" xr:uid="{00000000-0005-0000-0000-00004F050000}"/>
    <cellStyle name="20% - Accent4 3" xfId="10009" hidden="1" xr:uid="{00000000-0005-0000-0000-000050050000}"/>
    <cellStyle name="20% - Accent4 3" xfId="10042" hidden="1" xr:uid="{00000000-0005-0000-0000-000051050000}"/>
    <cellStyle name="20% - Accent4 3" xfId="10074" hidden="1" xr:uid="{00000000-0005-0000-0000-000052050000}"/>
    <cellStyle name="20% - Accent4 3" xfId="10107" hidden="1" xr:uid="{00000000-0005-0000-0000-000053050000}"/>
    <cellStyle name="20% - Accent4 3" xfId="10139" hidden="1" xr:uid="{00000000-0005-0000-0000-000054050000}"/>
    <cellStyle name="20% - Accent4 3" xfId="10172" hidden="1" xr:uid="{00000000-0005-0000-0000-000055050000}"/>
    <cellStyle name="20% - Accent4 3" xfId="10205" hidden="1" xr:uid="{00000000-0005-0000-0000-000056050000}"/>
    <cellStyle name="20% - Accent4 3" xfId="10238" hidden="1" xr:uid="{00000000-0005-0000-0000-000057050000}"/>
    <cellStyle name="20% - Accent4 3" xfId="10271" hidden="1" xr:uid="{00000000-0005-0000-0000-000058050000}"/>
    <cellStyle name="20% - Accent4 3" xfId="10304" hidden="1" xr:uid="{00000000-0005-0000-0000-000059050000}"/>
    <cellStyle name="20% - Accent4 3" xfId="10337" hidden="1" xr:uid="{00000000-0005-0000-0000-00005A050000}"/>
    <cellStyle name="20% - Accent4 3" xfId="10363" hidden="1" xr:uid="{00000000-0005-0000-0000-00005B050000}"/>
    <cellStyle name="20% - Accent4 3" xfId="10400" hidden="1" xr:uid="{00000000-0005-0000-0000-00005C050000}"/>
    <cellStyle name="20% - Accent4 3" xfId="10433" hidden="1" xr:uid="{00000000-0005-0000-0000-00005D050000}"/>
    <cellStyle name="20% - Accent4 3" xfId="10465" hidden="1" xr:uid="{00000000-0005-0000-0000-00005E050000}"/>
    <cellStyle name="20% - Accent4 3" xfId="10497" hidden="1" xr:uid="{00000000-0005-0000-0000-00005F050000}"/>
    <cellStyle name="20% - Accent4 3" xfId="10530" hidden="1" xr:uid="{00000000-0005-0000-0000-000060050000}"/>
    <cellStyle name="20% - Accent4 3" xfId="10562" hidden="1" xr:uid="{00000000-0005-0000-0000-000061050000}"/>
    <cellStyle name="20% - Accent4 3" xfId="10595" hidden="1" xr:uid="{00000000-0005-0000-0000-000062050000}"/>
    <cellStyle name="20% - Accent4 3" xfId="10627" hidden="1" xr:uid="{00000000-0005-0000-0000-000063050000}"/>
    <cellStyle name="20% - Accent4 3" xfId="10660" hidden="1" xr:uid="{00000000-0005-0000-0000-000064050000}"/>
    <cellStyle name="20% - Accent4 3" xfId="10693" hidden="1" xr:uid="{00000000-0005-0000-0000-000065050000}"/>
    <cellStyle name="20% - Accent4 3" xfId="10726" hidden="1" xr:uid="{00000000-0005-0000-0000-000066050000}"/>
    <cellStyle name="20% - Accent4 3" xfId="10759" hidden="1" xr:uid="{00000000-0005-0000-0000-000067050000}"/>
    <cellStyle name="20% - Accent4 3" xfId="10792" hidden="1" xr:uid="{00000000-0005-0000-0000-000068050000}"/>
    <cellStyle name="20% - Accent4 3" xfId="10825" hidden="1" xr:uid="{00000000-0005-0000-0000-000069050000}"/>
    <cellStyle name="20% - Accent4 3" xfId="10876" hidden="1" xr:uid="{00000000-0005-0000-0000-00006A050000}"/>
    <cellStyle name="20% - Accent4 3" xfId="10913" hidden="1" xr:uid="{00000000-0005-0000-0000-00006B050000}"/>
    <cellStyle name="20% - Accent4 3" xfId="10946" hidden="1" xr:uid="{00000000-0005-0000-0000-00006C050000}"/>
    <cellStyle name="20% - Accent4 3" xfId="10978" hidden="1" xr:uid="{00000000-0005-0000-0000-00006D050000}"/>
    <cellStyle name="20% - Accent4 3" xfId="11010" hidden="1" xr:uid="{00000000-0005-0000-0000-00006E050000}"/>
    <cellStyle name="20% - Accent4 3" xfId="11043" hidden="1" xr:uid="{00000000-0005-0000-0000-00006F050000}"/>
    <cellStyle name="20% - Accent4 3" xfId="11075" hidden="1" xr:uid="{00000000-0005-0000-0000-000070050000}"/>
    <cellStyle name="20% - Accent4 3" xfId="11108" hidden="1" xr:uid="{00000000-0005-0000-0000-000071050000}"/>
    <cellStyle name="20% - Accent4 3" xfId="11140" hidden="1" xr:uid="{00000000-0005-0000-0000-000072050000}"/>
    <cellStyle name="20% - Accent4 3" xfId="11173" hidden="1" xr:uid="{00000000-0005-0000-0000-000073050000}"/>
    <cellStyle name="20% - Accent4 3" xfId="11206" hidden="1" xr:uid="{00000000-0005-0000-0000-000074050000}"/>
    <cellStyle name="20% - Accent4 3" xfId="11239" hidden="1" xr:uid="{00000000-0005-0000-0000-000075050000}"/>
    <cellStyle name="20% - Accent4 3" xfId="11272" hidden="1" xr:uid="{00000000-0005-0000-0000-000076050000}"/>
    <cellStyle name="20% - Accent4 3" xfId="11305" hidden="1" xr:uid="{00000000-0005-0000-0000-000077050000}"/>
    <cellStyle name="20% - Accent4 3" xfId="11338" hidden="1" xr:uid="{00000000-0005-0000-0000-000078050000}"/>
    <cellStyle name="20% - Accent4 3" xfId="10852" hidden="1" xr:uid="{00000000-0005-0000-0000-000079050000}"/>
    <cellStyle name="20% - Accent4 3" xfId="11390" hidden="1" xr:uid="{00000000-0005-0000-0000-00007A050000}"/>
    <cellStyle name="20% - Accent4 3" xfId="11423" hidden="1" xr:uid="{00000000-0005-0000-0000-00007B050000}"/>
    <cellStyle name="20% - Accent4 3" xfId="11455" hidden="1" xr:uid="{00000000-0005-0000-0000-00007C050000}"/>
    <cellStyle name="20% - Accent4 3" xfId="11487" hidden="1" xr:uid="{00000000-0005-0000-0000-00007D050000}"/>
    <cellStyle name="20% - Accent4 3" xfId="11520" hidden="1" xr:uid="{00000000-0005-0000-0000-00007E050000}"/>
    <cellStyle name="20% - Accent4 3" xfId="11552" hidden="1" xr:uid="{00000000-0005-0000-0000-00007F050000}"/>
    <cellStyle name="20% - Accent4 3" xfId="11585" hidden="1" xr:uid="{00000000-0005-0000-0000-000080050000}"/>
    <cellStyle name="20% - Accent4 3" xfId="11617" hidden="1" xr:uid="{00000000-0005-0000-0000-000081050000}"/>
    <cellStyle name="20% - Accent4 3" xfId="11650" hidden="1" xr:uid="{00000000-0005-0000-0000-000082050000}"/>
    <cellStyle name="20% - Accent4 3" xfId="11683" hidden="1" xr:uid="{00000000-0005-0000-0000-000083050000}"/>
    <cellStyle name="20% - Accent4 3" xfId="11716" hidden="1" xr:uid="{00000000-0005-0000-0000-000084050000}"/>
    <cellStyle name="20% - Accent4 3" xfId="11749" hidden="1" xr:uid="{00000000-0005-0000-0000-000085050000}"/>
    <cellStyle name="20% - Accent4 3" xfId="11782" hidden="1" xr:uid="{00000000-0005-0000-0000-000086050000}"/>
    <cellStyle name="20% - Accent4 3" xfId="11815" xr:uid="{00000000-0005-0000-0000-000087050000}"/>
    <cellStyle name="20% - Accent5 2" xfId="23" xr:uid="{00000000-0005-0000-0000-000088050000}"/>
    <cellStyle name="20% - Accent5 2 2" xfId="1577" xr:uid="{00000000-0005-0000-0000-000089050000}"/>
    <cellStyle name="20% - Accent5 2 3" xfId="2714" xr:uid="{00000000-0005-0000-0000-00008A050000}"/>
    <cellStyle name="20% - Accent5 3" xfId="226" hidden="1" xr:uid="{00000000-0005-0000-0000-00008B050000}"/>
    <cellStyle name="20% - Accent5 3" xfId="237" hidden="1" xr:uid="{00000000-0005-0000-0000-00008C050000}"/>
    <cellStyle name="20% - Accent5 3" xfId="270" hidden="1" xr:uid="{00000000-0005-0000-0000-00008D050000}"/>
    <cellStyle name="20% - Accent5 3" xfId="303" hidden="1" xr:uid="{00000000-0005-0000-0000-00008E050000}"/>
    <cellStyle name="20% - Accent5 3" xfId="336" hidden="1" xr:uid="{00000000-0005-0000-0000-00008F050000}"/>
    <cellStyle name="20% - Accent5 3" xfId="370" hidden="1" xr:uid="{00000000-0005-0000-0000-000090050000}"/>
    <cellStyle name="20% - Accent5 3" xfId="403" hidden="1" xr:uid="{00000000-0005-0000-0000-000091050000}"/>
    <cellStyle name="20% - Accent5 3" xfId="436" hidden="1" xr:uid="{00000000-0005-0000-0000-000092050000}"/>
    <cellStyle name="20% - Accent5 3" xfId="469" hidden="1" xr:uid="{00000000-0005-0000-0000-000093050000}"/>
    <cellStyle name="20% - Accent5 3" xfId="502" hidden="1" xr:uid="{00000000-0005-0000-0000-000094050000}"/>
    <cellStyle name="20% - Accent5 3" xfId="535" hidden="1" xr:uid="{00000000-0005-0000-0000-000095050000}"/>
    <cellStyle name="20% - Accent5 3" xfId="568" hidden="1" xr:uid="{00000000-0005-0000-0000-000096050000}"/>
    <cellStyle name="20% - Accent5 3" xfId="605" hidden="1" xr:uid="{00000000-0005-0000-0000-000097050000}"/>
    <cellStyle name="20% - Accent5 3" xfId="638" hidden="1" xr:uid="{00000000-0005-0000-0000-000098050000}"/>
    <cellStyle name="20% - Accent5 3" xfId="670" hidden="1" xr:uid="{00000000-0005-0000-0000-000099050000}"/>
    <cellStyle name="20% - Accent5 3" xfId="702" hidden="1" xr:uid="{00000000-0005-0000-0000-00009A050000}"/>
    <cellStyle name="20% - Accent5 3" xfId="735" hidden="1" xr:uid="{00000000-0005-0000-0000-00009B050000}"/>
    <cellStyle name="20% - Accent5 3" xfId="767" hidden="1" xr:uid="{00000000-0005-0000-0000-00009C050000}"/>
    <cellStyle name="20% - Accent5 3" xfId="800" hidden="1" xr:uid="{00000000-0005-0000-0000-00009D050000}"/>
    <cellStyle name="20% - Accent5 3" xfId="832" hidden="1" xr:uid="{00000000-0005-0000-0000-00009E050000}"/>
    <cellStyle name="20% - Accent5 3" xfId="865" hidden="1" xr:uid="{00000000-0005-0000-0000-00009F050000}"/>
    <cellStyle name="20% - Accent5 3" xfId="898" hidden="1" xr:uid="{00000000-0005-0000-0000-0000A0050000}"/>
    <cellStyle name="20% - Accent5 3" xfId="931" hidden="1" xr:uid="{00000000-0005-0000-0000-0000A1050000}"/>
    <cellStyle name="20% - Accent5 3" xfId="964" hidden="1" xr:uid="{00000000-0005-0000-0000-0000A2050000}"/>
    <cellStyle name="20% - Accent5 3" xfId="997" hidden="1" xr:uid="{00000000-0005-0000-0000-0000A3050000}"/>
    <cellStyle name="20% - Accent5 3" xfId="1030" hidden="1" xr:uid="{00000000-0005-0000-0000-0000A4050000}"/>
    <cellStyle name="20% - Accent5 3" xfId="1073" hidden="1" xr:uid="{00000000-0005-0000-0000-0000A5050000}"/>
    <cellStyle name="20% - Accent5 3" xfId="1111" hidden="1" xr:uid="{00000000-0005-0000-0000-0000A6050000}"/>
    <cellStyle name="20% - Accent5 3" xfId="1144" hidden="1" xr:uid="{00000000-0005-0000-0000-0000A7050000}"/>
    <cellStyle name="20% - Accent5 3" xfId="1176" hidden="1" xr:uid="{00000000-0005-0000-0000-0000A8050000}"/>
    <cellStyle name="20% - Accent5 3" xfId="1208" hidden="1" xr:uid="{00000000-0005-0000-0000-0000A9050000}"/>
    <cellStyle name="20% - Accent5 3" xfId="1241" hidden="1" xr:uid="{00000000-0005-0000-0000-0000AA050000}"/>
    <cellStyle name="20% - Accent5 3" xfId="1273" hidden="1" xr:uid="{00000000-0005-0000-0000-0000AB050000}"/>
    <cellStyle name="20% - Accent5 3" xfId="1306" hidden="1" xr:uid="{00000000-0005-0000-0000-0000AC050000}"/>
    <cellStyle name="20% - Accent5 3" xfId="1338" hidden="1" xr:uid="{00000000-0005-0000-0000-0000AD050000}"/>
    <cellStyle name="20% - Accent5 3" xfId="1371" hidden="1" xr:uid="{00000000-0005-0000-0000-0000AE050000}"/>
    <cellStyle name="20% - Accent5 3" xfId="1404" hidden="1" xr:uid="{00000000-0005-0000-0000-0000AF050000}"/>
    <cellStyle name="20% - Accent5 3" xfId="1437" hidden="1" xr:uid="{00000000-0005-0000-0000-0000B0050000}"/>
    <cellStyle name="20% - Accent5 3" xfId="1470" hidden="1" xr:uid="{00000000-0005-0000-0000-0000B1050000}"/>
    <cellStyle name="20% - Accent5 3" xfId="1503" hidden="1" xr:uid="{00000000-0005-0000-0000-0000B2050000}"/>
    <cellStyle name="20% - Accent5 3" xfId="1536" hidden="1" xr:uid="{00000000-0005-0000-0000-0000B3050000}"/>
    <cellStyle name="20% - Accent5 3" xfId="1750" hidden="1" xr:uid="{00000000-0005-0000-0000-0000B4050000}"/>
    <cellStyle name="20% - Accent5 3" xfId="1787" hidden="1" xr:uid="{00000000-0005-0000-0000-0000B5050000}"/>
    <cellStyle name="20% - Accent5 3" xfId="1820" hidden="1" xr:uid="{00000000-0005-0000-0000-0000B6050000}"/>
    <cellStyle name="20% - Accent5 3" xfId="1852" hidden="1" xr:uid="{00000000-0005-0000-0000-0000B7050000}"/>
    <cellStyle name="20% - Accent5 3" xfId="1884" hidden="1" xr:uid="{00000000-0005-0000-0000-0000B8050000}"/>
    <cellStyle name="20% - Accent5 3" xfId="1917" hidden="1" xr:uid="{00000000-0005-0000-0000-0000B9050000}"/>
    <cellStyle name="20% - Accent5 3" xfId="1949" hidden="1" xr:uid="{00000000-0005-0000-0000-0000BA050000}"/>
    <cellStyle name="20% - Accent5 3" xfId="1982" hidden="1" xr:uid="{00000000-0005-0000-0000-0000BB050000}"/>
    <cellStyle name="20% - Accent5 3" xfId="2014" hidden="1" xr:uid="{00000000-0005-0000-0000-0000BC050000}"/>
    <cellStyle name="20% - Accent5 3" xfId="2047" hidden="1" xr:uid="{00000000-0005-0000-0000-0000BD050000}"/>
    <cellStyle name="20% - Accent5 3" xfId="2080" hidden="1" xr:uid="{00000000-0005-0000-0000-0000BE050000}"/>
    <cellStyle name="20% - Accent5 3" xfId="2113" hidden="1" xr:uid="{00000000-0005-0000-0000-0000BF050000}"/>
    <cellStyle name="20% - Accent5 3" xfId="2146" hidden="1" xr:uid="{00000000-0005-0000-0000-0000C0050000}"/>
    <cellStyle name="20% - Accent5 3" xfId="2179" hidden="1" xr:uid="{00000000-0005-0000-0000-0000C1050000}"/>
    <cellStyle name="20% - Accent5 3" xfId="2212" hidden="1" xr:uid="{00000000-0005-0000-0000-0000C2050000}"/>
    <cellStyle name="20% - Accent5 3" xfId="1732" hidden="1" xr:uid="{00000000-0005-0000-0000-0000C3050000}"/>
    <cellStyle name="20% - Accent5 3" xfId="2264" hidden="1" xr:uid="{00000000-0005-0000-0000-0000C4050000}"/>
    <cellStyle name="20% - Accent5 3" xfId="2297" hidden="1" xr:uid="{00000000-0005-0000-0000-0000C5050000}"/>
    <cellStyle name="20% - Accent5 3" xfId="2329" hidden="1" xr:uid="{00000000-0005-0000-0000-0000C6050000}"/>
    <cellStyle name="20% - Accent5 3" xfId="2361" hidden="1" xr:uid="{00000000-0005-0000-0000-0000C7050000}"/>
    <cellStyle name="20% - Accent5 3" xfId="2394" hidden="1" xr:uid="{00000000-0005-0000-0000-0000C8050000}"/>
    <cellStyle name="20% - Accent5 3" xfId="2426" hidden="1" xr:uid="{00000000-0005-0000-0000-0000C9050000}"/>
    <cellStyle name="20% - Accent5 3" xfId="2459" hidden="1" xr:uid="{00000000-0005-0000-0000-0000CA050000}"/>
    <cellStyle name="20% - Accent5 3" xfId="2491" hidden="1" xr:uid="{00000000-0005-0000-0000-0000CB050000}"/>
    <cellStyle name="20% - Accent5 3" xfId="2524" hidden="1" xr:uid="{00000000-0005-0000-0000-0000CC050000}"/>
    <cellStyle name="20% - Accent5 3" xfId="2557" hidden="1" xr:uid="{00000000-0005-0000-0000-0000CD050000}"/>
    <cellStyle name="20% - Accent5 3" xfId="2590" hidden="1" xr:uid="{00000000-0005-0000-0000-0000CE050000}"/>
    <cellStyle name="20% - Accent5 3" xfId="2623" hidden="1" xr:uid="{00000000-0005-0000-0000-0000CF050000}"/>
    <cellStyle name="20% - Accent5 3" xfId="2656" hidden="1" xr:uid="{00000000-0005-0000-0000-0000D0050000}"/>
    <cellStyle name="20% - Accent5 3" xfId="2689" hidden="1" xr:uid="{00000000-0005-0000-0000-0000D1050000}"/>
    <cellStyle name="20% - Accent5 3" xfId="2770" hidden="1" xr:uid="{00000000-0005-0000-0000-0000D2050000}"/>
    <cellStyle name="20% - Accent5 3" xfId="2807" hidden="1" xr:uid="{00000000-0005-0000-0000-0000D3050000}"/>
    <cellStyle name="20% - Accent5 3" xfId="2840" hidden="1" xr:uid="{00000000-0005-0000-0000-0000D4050000}"/>
    <cellStyle name="20% - Accent5 3" xfId="2872" hidden="1" xr:uid="{00000000-0005-0000-0000-0000D5050000}"/>
    <cellStyle name="20% - Accent5 3" xfId="2904" hidden="1" xr:uid="{00000000-0005-0000-0000-0000D6050000}"/>
    <cellStyle name="20% - Accent5 3" xfId="2937" hidden="1" xr:uid="{00000000-0005-0000-0000-0000D7050000}"/>
    <cellStyle name="20% - Accent5 3" xfId="2969" hidden="1" xr:uid="{00000000-0005-0000-0000-0000D8050000}"/>
    <cellStyle name="20% - Accent5 3" xfId="3002" hidden="1" xr:uid="{00000000-0005-0000-0000-0000D9050000}"/>
    <cellStyle name="20% - Accent5 3" xfId="3034" hidden="1" xr:uid="{00000000-0005-0000-0000-0000DA050000}"/>
    <cellStyle name="20% - Accent5 3" xfId="3067" hidden="1" xr:uid="{00000000-0005-0000-0000-0000DB050000}"/>
    <cellStyle name="20% - Accent5 3" xfId="3100" hidden="1" xr:uid="{00000000-0005-0000-0000-0000DC050000}"/>
    <cellStyle name="20% - Accent5 3" xfId="3133" hidden="1" xr:uid="{00000000-0005-0000-0000-0000DD050000}"/>
    <cellStyle name="20% - Accent5 3" xfId="3166" hidden="1" xr:uid="{00000000-0005-0000-0000-0000DE050000}"/>
    <cellStyle name="20% - Accent5 3" xfId="3199" hidden="1" xr:uid="{00000000-0005-0000-0000-0000DF050000}"/>
    <cellStyle name="20% - Accent5 3" xfId="3232" hidden="1" xr:uid="{00000000-0005-0000-0000-0000E0050000}"/>
    <cellStyle name="20% - Accent5 3" xfId="3283" hidden="1" xr:uid="{00000000-0005-0000-0000-0000E1050000}"/>
    <cellStyle name="20% - Accent5 3" xfId="3320" hidden="1" xr:uid="{00000000-0005-0000-0000-0000E2050000}"/>
    <cellStyle name="20% - Accent5 3" xfId="3353" hidden="1" xr:uid="{00000000-0005-0000-0000-0000E3050000}"/>
    <cellStyle name="20% - Accent5 3" xfId="3385" hidden="1" xr:uid="{00000000-0005-0000-0000-0000E4050000}"/>
    <cellStyle name="20% - Accent5 3" xfId="3417" hidden="1" xr:uid="{00000000-0005-0000-0000-0000E5050000}"/>
    <cellStyle name="20% - Accent5 3" xfId="3450" hidden="1" xr:uid="{00000000-0005-0000-0000-0000E6050000}"/>
    <cellStyle name="20% - Accent5 3" xfId="3482" hidden="1" xr:uid="{00000000-0005-0000-0000-0000E7050000}"/>
    <cellStyle name="20% - Accent5 3" xfId="3515" hidden="1" xr:uid="{00000000-0005-0000-0000-0000E8050000}"/>
    <cellStyle name="20% - Accent5 3" xfId="3547" hidden="1" xr:uid="{00000000-0005-0000-0000-0000E9050000}"/>
    <cellStyle name="20% - Accent5 3" xfId="3580" hidden="1" xr:uid="{00000000-0005-0000-0000-0000EA050000}"/>
    <cellStyle name="20% - Accent5 3" xfId="3613" hidden="1" xr:uid="{00000000-0005-0000-0000-0000EB050000}"/>
    <cellStyle name="20% - Accent5 3" xfId="3646" hidden="1" xr:uid="{00000000-0005-0000-0000-0000EC050000}"/>
    <cellStyle name="20% - Accent5 3" xfId="3679" hidden="1" xr:uid="{00000000-0005-0000-0000-0000ED050000}"/>
    <cellStyle name="20% - Accent5 3" xfId="3712" hidden="1" xr:uid="{00000000-0005-0000-0000-0000EE050000}"/>
    <cellStyle name="20% - Accent5 3" xfId="3745" hidden="1" xr:uid="{00000000-0005-0000-0000-0000EF050000}"/>
    <cellStyle name="20% - Accent5 3" xfId="3265" hidden="1" xr:uid="{00000000-0005-0000-0000-0000F0050000}"/>
    <cellStyle name="20% - Accent5 3" xfId="3797" hidden="1" xr:uid="{00000000-0005-0000-0000-0000F1050000}"/>
    <cellStyle name="20% - Accent5 3" xfId="3830" hidden="1" xr:uid="{00000000-0005-0000-0000-0000F2050000}"/>
    <cellStyle name="20% - Accent5 3" xfId="3862" hidden="1" xr:uid="{00000000-0005-0000-0000-0000F3050000}"/>
    <cellStyle name="20% - Accent5 3" xfId="3894" hidden="1" xr:uid="{00000000-0005-0000-0000-0000F4050000}"/>
    <cellStyle name="20% - Accent5 3" xfId="3927" hidden="1" xr:uid="{00000000-0005-0000-0000-0000F5050000}"/>
    <cellStyle name="20% - Accent5 3" xfId="3959" hidden="1" xr:uid="{00000000-0005-0000-0000-0000F6050000}"/>
    <cellStyle name="20% - Accent5 3" xfId="3992" hidden="1" xr:uid="{00000000-0005-0000-0000-0000F7050000}"/>
    <cellStyle name="20% - Accent5 3" xfId="4024" hidden="1" xr:uid="{00000000-0005-0000-0000-0000F8050000}"/>
    <cellStyle name="20% - Accent5 3" xfId="4057" hidden="1" xr:uid="{00000000-0005-0000-0000-0000F9050000}"/>
    <cellStyle name="20% - Accent5 3" xfId="4090" hidden="1" xr:uid="{00000000-0005-0000-0000-0000FA050000}"/>
    <cellStyle name="20% - Accent5 3" xfId="4123" hidden="1" xr:uid="{00000000-0005-0000-0000-0000FB050000}"/>
    <cellStyle name="20% - Accent5 3" xfId="4156" hidden="1" xr:uid="{00000000-0005-0000-0000-0000FC050000}"/>
    <cellStyle name="20% - Accent5 3" xfId="4189" hidden="1" xr:uid="{00000000-0005-0000-0000-0000FD050000}"/>
    <cellStyle name="20% - Accent5 3" xfId="4222" hidden="1" xr:uid="{00000000-0005-0000-0000-0000FE050000}"/>
    <cellStyle name="20% - Accent5 3" xfId="4389" hidden="1" xr:uid="{00000000-0005-0000-0000-0000FF050000}"/>
    <cellStyle name="20% - Accent5 3" xfId="4422" hidden="1" xr:uid="{00000000-0005-0000-0000-000000060000}"/>
    <cellStyle name="20% - Accent5 3" xfId="4455" hidden="1" xr:uid="{00000000-0005-0000-0000-000001060000}"/>
    <cellStyle name="20% - Accent5 3" xfId="4488" hidden="1" xr:uid="{00000000-0005-0000-0000-000002060000}"/>
    <cellStyle name="20% - Accent5 3" xfId="4521" hidden="1" xr:uid="{00000000-0005-0000-0000-000003060000}"/>
    <cellStyle name="20% - Accent5 3" xfId="4554" hidden="1" xr:uid="{00000000-0005-0000-0000-000004060000}"/>
    <cellStyle name="20% - Accent5 3" xfId="4587" hidden="1" xr:uid="{00000000-0005-0000-0000-000005060000}"/>
    <cellStyle name="20% - Accent5 3" xfId="4620" hidden="1" xr:uid="{00000000-0005-0000-0000-000006060000}"/>
    <cellStyle name="20% - Accent5 3" xfId="4653" hidden="1" xr:uid="{00000000-0005-0000-0000-000007060000}"/>
    <cellStyle name="20% - Accent5 3" xfId="4686" hidden="1" xr:uid="{00000000-0005-0000-0000-000008060000}"/>
    <cellStyle name="20% - Accent5 3" xfId="4719" hidden="1" xr:uid="{00000000-0005-0000-0000-000009060000}"/>
    <cellStyle name="20% - Accent5 3" xfId="4756" hidden="1" xr:uid="{00000000-0005-0000-0000-00000A060000}"/>
    <cellStyle name="20% - Accent5 3" xfId="4789" hidden="1" xr:uid="{00000000-0005-0000-0000-00000B060000}"/>
    <cellStyle name="20% - Accent5 3" xfId="4821" hidden="1" xr:uid="{00000000-0005-0000-0000-00000C060000}"/>
    <cellStyle name="20% - Accent5 3" xfId="4853" hidden="1" xr:uid="{00000000-0005-0000-0000-00000D060000}"/>
    <cellStyle name="20% - Accent5 3" xfId="4886" hidden="1" xr:uid="{00000000-0005-0000-0000-00000E060000}"/>
    <cellStyle name="20% - Accent5 3" xfId="4918" hidden="1" xr:uid="{00000000-0005-0000-0000-00000F060000}"/>
    <cellStyle name="20% - Accent5 3" xfId="4951" hidden="1" xr:uid="{00000000-0005-0000-0000-000010060000}"/>
    <cellStyle name="20% - Accent5 3" xfId="4983" hidden="1" xr:uid="{00000000-0005-0000-0000-000011060000}"/>
    <cellStyle name="20% - Accent5 3" xfId="5016" hidden="1" xr:uid="{00000000-0005-0000-0000-000012060000}"/>
    <cellStyle name="20% - Accent5 3" xfId="5049" hidden="1" xr:uid="{00000000-0005-0000-0000-000013060000}"/>
    <cellStyle name="20% - Accent5 3" xfId="5082" hidden="1" xr:uid="{00000000-0005-0000-0000-000014060000}"/>
    <cellStyle name="20% - Accent5 3" xfId="5115" hidden="1" xr:uid="{00000000-0005-0000-0000-000015060000}"/>
    <cellStyle name="20% - Accent5 3" xfId="5148" hidden="1" xr:uid="{00000000-0005-0000-0000-000016060000}"/>
    <cellStyle name="20% - Accent5 3" xfId="5181" hidden="1" xr:uid="{00000000-0005-0000-0000-000017060000}"/>
    <cellStyle name="20% - Accent5 3" xfId="5222" hidden="1" xr:uid="{00000000-0005-0000-0000-000018060000}"/>
    <cellStyle name="20% - Accent5 3" xfId="5259" hidden="1" xr:uid="{00000000-0005-0000-0000-000019060000}"/>
    <cellStyle name="20% - Accent5 3" xfId="5292" hidden="1" xr:uid="{00000000-0005-0000-0000-00001A060000}"/>
    <cellStyle name="20% - Accent5 3" xfId="5324" hidden="1" xr:uid="{00000000-0005-0000-0000-00001B060000}"/>
    <cellStyle name="20% - Accent5 3" xfId="5356" hidden="1" xr:uid="{00000000-0005-0000-0000-00001C060000}"/>
    <cellStyle name="20% - Accent5 3" xfId="5389" hidden="1" xr:uid="{00000000-0005-0000-0000-00001D060000}"/>
    <cellStyle name="20% - Accent5 3" xfId="5421" hidden="1" xr:uid="{00000000-0005-0000-0000-00001E060000}"/>
    <cellStyle name="20% - Accent5 3" xfId="5454" hidden="1" xr:uid="{00000000-0005-0000-0000-00001F060000}"/>
    <cellStyle name="20% - Accent5 3" xfId="5486" hidden="1" xr:uid="{00000000-0005-0000-0000-000020060000}"/>
    <cellStyle name="20% - Accent5 3" xfId="5519" hidden="1" xr:uid="{00000000-0005-0000-0000-000021060000}"/>
    <cellStyle name="20% - Accent5 3" xfId="5552" hidden="1" xr:uid="{00000000-0005-0000-0000-000022060000}"/>
    <cellStyle name="20% - Accent5 3" xfId="5585" hidden="1" xr:uid="{00000000-0005-0000-0000-000023060000}"/>
    <cellStyle name="20% - Accent5 3" xfId="5618" hidden="1" xr:uid="{00000000-0005-0000-0000-000024060000}"/>
    <cellStyle name="20% - Accent5 3" xfId="5651" hidden="1" xr:uid="{00000000-0005-0000-0000-000025060000}"/>
    <cellStyle name="20% - Accent5 3" xfId="5684" hidden="1" xr:uid="{00000000-0005-0000-0000-000026060000}"/>
    <cellStyle name="20% - Accent5 3" xfId="5788" hidden="1" xr:uid="{00000000-0005-0000-0000-000027060000}"/>
    <cellStyle name="20% - Accent5 3" xfId="5825" hidden="1" xr:uid="{00000000-0005-0000-0000-000028060000}"/>
    <cellStyle name="20% - Accent5 3" xfId="5858" hidden="1" xr:uid="{00000000-0005-0000-0000-000029060000}"/>
    <cellStyle name="20% - Accent5 3" xfId="5890" hidden="1" xr:uid="{00000000-0005-0000-0000-00002A060000}"/>
    <cellStyle name="20% - Accent5 3" xfId="5922" hidden="1" xr:uid="{00000000-0005-0000-0000-00002B060000}"/>
    <cellStyle name="20% - Accent5 3" xfId="5955" hidden="1" xr:uid="{00000000-0005-0000-0000-00002C060000}"/>
    <cellStyle name="20% - Accent5 3" xfId="5987" hidden="1" xr:uid="{00000000-0005-0000-0000-00002D060000}"/>
    <cellStyle name="20% - Accent5 3" xfId="6020" hidden="1" xr:uid="{00000000-0005-0000-0000-00002E060000}"/>
    <cellStyle name="20% - Accent5 3" xfId="6052" hidden="1" xr:uid="{00000000-0005-0000-0000-00002F060000}"/>
    <cellStyle name="20% - Accent5 3" xfId="6085" hidden="1" xr:uid="{00000000-0005-0000-0000-000030060000}"/>
    <cellStyle name="20% - Accent5 3" xfId="6118" hidden="1" xr:uid="{00000000-0005-0000-0000-000031060000}"/>
    <cellStyle name="20% - Accent5 3" xfId="6151" hidden="1" xr:uid="{00000000-0005-0000-0000-000032060000}"/>
    <cellStyle name="20% - Accent5 3" xfId="6184" hidden="1" xr:uid="{00000000-0005-0000-0000-000033060000}"/>
    <cellStyle name="20% - Accent5 3" xfId="6217" hidden="1" xr:uid="{00000000-0005-0000-0000-000034060000}"/>
    <cellStyle name="20% - Accent5 3" xfId="6250" hidden="1" xr:uid="{00000000-0005-0000-0000-000035060000}"/>
    <cellStyle name="20% - Accent5 3" xfId="5770" hidden="1" xr:uid="{00000000-0005-0000-0000-000036060000}"/>
    <cellStyle name="20% - Accent5 3" xfId="6302" hidden="1" xr:uid="{00000000-0005-0000-0000-000037060000}"/>
    <cellStyle name="20% - Accent5 3" xfId="6335" hidden="1" xr:uid="{00000000-0005-0000-0000-000038060000}"/>
    <cellStyle name="20% - Accent5 3" xfId="6367" hidden="1" xr:uid="{00000000-0005-0000-0000-000039060000}"/>
    <cellStyle name="20% - Accent5 3" xfId="6399" hidden="1" xr:uid="{00000000-0005-0000-0000-00003A060000}"/>
    <cellStyle name="20% - Accent5 3" xfId="6432" hidden="1" xr:uid="{00000000-0005-0000-0000-00003B060000}"/>
    <cellStyle name="20% - Accent5 3" xfId="6464" hidden="1" xr:uid="{00000000-0005-0000-0000-00003C060000}"/>
    <cellStyle name="20% - Accent5 3" xfId="6497" hidden="1" xr:uid="{00000000-0005-0000-0000-00003D060000}"/>
    <cellStyle name="20% - Accent5 3" xfId="6529" hidden="1" xr:uid="{00000000-0005-0000-0000-00003E060000}"/>
    <cellStyle name="20% - Accent5 3" xfId="6562" hidden="1" xr:uid="{00000000-0005-0000-0000-00003F060000}"/>
    <cellStyle name="20% - Accent5 3" xfId="6595" hidden="1" xr:uid="{00000000-0005-0000-0000-000040060000}"/>
    <cellStyle name="20% - Accent5 3" xfId="6628" hidden="1" xr:uid="{00000000-0005-0000-0000-000041060000}"/>
    <cellStyle name="20% - Accent5 3" xfId="6661" hidden="1" xr:uid="{00000000-0005-0000-0000-000042060000}"/>
    <cellStyle name="20% - Accent5 3" xfId="6694" hidden="1" xr:uid="{00000000-0005-0000-0000-000043060000}"/>
    <cellStyle name="20% - Accent5 3" xfId="6727" hidden="1" xr:uid="{00000000-0005-0000-0000-000044060000}"/>
    <cellStyle name="20% - Accent5 3" xfId="6784" hidden="1" xr:uid="{00000000-0005-0000-0000-000045060000}"/>
    <cellStyle name="20% - Accent5 3" xfId="6821" hidden="1" xr:uid="{00000000-0005-0000-0000-000046060000}"/>
    <cellStyle name="20% - Accent5 3" xfId="6854" hidden="1" xr:uid="{00000000-0005-0000-0000-000047060000}"/>
    <cellStyle name="20% - Accent5 3" xfId="6886" hidden="1" xr:uid="{00000000-0005-0000-0000-000048060000}"/>
    <cellStyle name="20% - Accent5 3" xfId="6918" hidden="1" xr:uid="{00000000-0005-0000-0000-000049060000}"/>
    <cellStyle name="20% - Accent5 3" xfId="6951" hidden="1" xr:uid="{00000000-0005-0000-0000-00004A060000}"/>
    <cellStyle name="20% - Accent5 3" xfId="6983" hidden="1" xr:uid="{00000000-0005-0000-0000-00004B060000}"/>
    <cellStyle name="20% - Accent5 3" xfId="7016" hidden="1" xr:uid="{00000000-0005-0000-0000-00004C060000}"/>
    <cellStyle name="20% - Accent5 3" xfId="7048" hidden="1" xr:uid="{00000000-0005-0000-0000-00004D060000}"/>
    <cellStyle name="20% - Accent5 3" xfId="7081" hidden="1" xr:uid="{00000000-0005-0000-0000-00004E060000}"/>
    <cellStyle name="20% - Accent5 3" xfId="7114" hidden="1" xr:uid="{00000000-0005-0000-0000-00004F060000}"/>
    <cellStyle name="20% - Accent5 3" xfId="7147" hidden="1" xr:uid="{00000000-0005-0000-0000-000050060000}"/>
    <cellStyle name="20% - Accent5 3" xfId="7180" hidden="1" xr:uid="{00000000-0005-0000-0000-000051060000}"/>
    <cellStyle name="20% - Accent5 3" xfId="7213" hidden="1" xr:uid="{00000000-0005-0000-0000-000052060000}"/>
    <cellStyle name="20% - Accent5 3" xfId="7246" hidden="1" xr:uid="{00000000-0005-0000-0000-000053060000}"/>
    <cellStyle name="20% - Accent5 3" xfId="7297" hidden="1" xr:uid="{00000000-0005-0000-0000-000054060000}"/>
    <cellStyle name="20% - Accent5 3" xfId="7334" hidden="1" xr:uid="{00000000-0005-0000-0000-000055060000}"/>
    <cellStyle name="20% - Accent5 3" xfId="7367" hidden="1" xr:uid="{00000000-0005-0000-0000-000056060000}"/>
    <cellStyle name="20% - Accent5 3" xfId="7399" hidden="1" xr:uid="{00000000-0005-0000-0000-000057060000}"/>
    <cellStyle name="20% - Accent5 3" xfId="7431" hidden="1" xr:uid="{00000000-0005-0000-0000-000058060000}"/>
    <cellStyle name="20% - Accent5 3" xfId="7464" hidden="1" xr:uid="{00000000-0005-0000-0000-000059060000}"/>
    <cellStyle name="20% - Accent5 3" xfId="7496" hidden="1" xr:uid="{00000000-0005-0000-0000-00005A060000}"/>
    <cellStyle name="20% - Accent5 3" xfId="7529" hidden="1" xr:uid="{00000000-0005-0000-0000-00005B060000}"/>
    <cellStyle name="20% - Accent5 3" xfId="7561" hidden="1" xr:uid="{00000000-0005-0000-0000-00005C060000}"/>
    <cellStyle name="20% - Accent5 3" xfId="7594" hidden="1" xr:uid="{00000000-0005-0000-0000-00005D060000}"/>
    <cellStyle name="20% - Accent5 3" xfId="7627" hidden="1" xr:uid="{00000000-0005-0000-0000-00005E060000}"/>
    <cellStyle name="20% - Accent5 3" xfId="7660" hidden="1" xr:uid="{00000000-0005-0000-0000-00005F060000}"/>
    <cellStyle name="20% - Accent5 3" xfId="7693" hidden="1" xr:uid="{00000000-0005-0000-0000-000060060000}"/>
    <cellStyle name="20% - Accent5 3" xfId="7726" hidden="1" xr:uid="{00000000-0005-0000-0000-000061060000}"/>
    <cellStyle name="20% - Accent5 3" xfId="7759" hidden="1" xr:uid="{00000000-0005-0000-0000-000062060000}"/>
    <cellStyle name="20% - Accent5 3" xfId="7279" hidden="1" xr:uid="{00000000-0005-0000-0000-000063060000}"/>
    <cellStyle name="20% - Accent5 3" xfId="7811" hidden="1" xr:uid="{00000000-0005-0000-0000-000064060000}"/>
    <cellStyle name="20% - Accent5 3" xfId="7844" hidden="1" xr:uid="{00000000-0005-0000-0000-000065060000}"/>
    <cellStyle name="20% - Accent5 3" xfId="7876" hidden="1" xr:uid="{00000000-0005-0000-0000-000066060000}"/>
    <cellStyle name="20% - Accent5 3" xfId="7908" hidden="1" xr:uid="{00000000-0005-0000-0000-000067060000}"/>
    <cellStyle name="20% - Accent5 3" xfId="7941" hidden="1" xr:uid="{00000000-0005-0000-0000-000068060000}"/>
    <cellStyle name="20% - Accent5 3" xfId="7973" hidden="1" xr:uid="{00000000-0005-0000-0000-000069060000}"/>
    <cellStyle name="20% - Accent5 3" xfId="8006" hidden="1" xr:uid="{00000000-0005-0000-0000-00006A060000}"/>
    <cellStyle name="20% - Accent5 3" xfId="8038" hidden="1" xr:uid="{00000000-0005-0000-0000-00006B060000}"/>
    <cellStyle name="20% - Accent5 3" xfId="8071" hidden="1" xr:uid="{00000000-0005-0000-0000-00006C060000}"/>
    <cellStyle name="20% - Accent5 3" xfId="8104" hidden="1" xr:uid="{00000000-0005-0000-0000-00006D060000}"/>
    <cellStyle name="20% - Accent5 3" xfId="8137" hidden="1" xr:uid="{00000000-0005-0000-0000-00006E060000}"/>
    <cellStyle name="20% - Accent5 3" xfId="8170" hidden="1" xr:uid="{00000000-0005-0000-0000-00006F060000}"/>
    <cellStyle name="20% - Accent5 3" xfId="8203" hidden="1" xr:uid="{00000000-0005-0000-0000-000070060000}"/>
    <cellStyle name="20% - Accent5 3" xfId="8236" hidden="1" xr:uid="{00000000-0005-0000-0000-000071060000}"/>
    <cellStyle name="20% - Accent5 3" xfId="4352" hidden="1" xr:uid="{00000000-0005-0000-0000-000072060000}"/>
    <cellStyle name="20% - Accent5 3" xfId="4339" hidden="1" xr:uid="{00000000-0005-0000-0000-000073060000}"/>
    <cellStyle name="20% - Accent5 3" xfId="5736" hidden="1" xr:uid="{00000000-0005-0000-0000-000074060000}"/>
    <cellStyle name="20% - Accent5 3" xfId="4309" hidden="1" xr:uid="{00000000-0005-0000-0000-000075060000}"/>
    <cellStyle name="20% - Accent5 3" xfId="6755" hidden="1" xr:uid="{00000000-0005-0000-0000-000076060000}"/>
    <cellStyle name="20% - Accent5 3" xfId="5721" hidden="1" xr:uid="{00000000-0005-0000-0000-000077060000}"/>
    <cellStyle name="20% - Accent5 3" xfId="4250" hidden="1" xr:uid="{00000000-0005-0000-0000-000078060000}"/>
    <cellStyle name="20% - Accent5 3" xfId="8281" hidden="1" xr:uid="{00000000-0005-0000-0000-000079060000}"/>
    <cellStyle name="20% - Accent5 3" xfId="8314" hidden="1" xr:uid="{00000000-0005-0000-0000-00007A060000}"/>
    <cellStyle name="20% - Accent5 3" xfId="8347" hidden="1" xr:uid="{00000000-0005-0000-0000-00007B060000}"/>
    <cellStyle name="20% - Accent5 3" xfId="8380" hidden="1" xr:uid="{00000000-0005-0000-0000-00007C060000}"/>
    <cellStyle name="20% - Accent5 3" xfId="8417" hidden="1" xr:uid="{00000000-0005-0000-0000-00007D060000}"/>
    <cellStyle name="20% - Accent5 3" xfId="8450" hidden="1" xr:uid="{00000000-0005-0000-0000-00007E060000}"/>
    <cellStyle name="20% - Accent5 3" xfId="8482" hidden="1" xr:uid="{00000000-0005-0000-0000-00007F060000}"/>
    <cellStyle name="20% - Accent5 3" xfId="8514" hidden="1" xr:uid="{00000000-0005-0000-0000-000080060000}"/>
    <cellStyle name="20% - Accent5 3" xfId="8547" hidden="1" xr:uid="{00000000-0005-0000-0000-000081060000}"/>
    <cellStyle name="20% - Accent5 3" xfId="8579" hidden="1" xr:uid="{00000000-0005-0000-0000-000082060000}"/>
    <cellStyle name="20% - Accent5 3" xfId="8612" hidden="1" xr:uid="{00000000-0005-0000-0000-000083060000}"/>
    <cellStyle name="20% - Accent5 3" xfId="8644" hidden="1" xr:uid="{00000000-0005-0000-0000-000084060000}"/>
    <cellStyle name="20% - Accent5 3" xfId="8677" hidden="1" xr:uid="{00000000-0005-0000-0000-000085060000}"/>
    <cellStyle name="20% - Accent5 3" xfId="8710" hidden="1" xr:uid="{00000000-0005-0000-0000-000086060000}"/>
    <cellStyle name="20% - Accent5 3" xfId="8743" hidden="1" xr:uid="{00000000-0005-0000-0000-000087060000}"/>
    <cellStyle name="20% - Accent5 3" xfId="8776" hidden="1" xr:uid="{00000000-0005-0000-0000-000088060000}"/>
    <cellStyle name="20% - Accent5 3" xfId="8809" hidden="1" xr:uid="{00000000-0005-0000-0000-000089060000}"/>
    <cellStyle name="20% - Accent5 3" xfId="8842" hidden="1" xr:uid="{00000000-0005-0000-0000-00008A060000}"/>
    <cellStyle name="20% - Accent5 3" xfId="8882" hidden="1" xr:uid="{00000000-0005-0000-0000-00008B060000}"/>
    <cellStyle name="20% - Accent5 3" xfId="8919" hidden="1" xr:uid="{00000000-0005-0000-0000-00008C060000}"/>
    <cellStyle name="20% - Accent5 3" xfId="8952" hidden="1" xr:uid="{00000000-0005-0000-0000-00008D060000}"/>
    <cellStyle name="20% - Accent5 3" xfId="8984" hidden="1" xr:uid="{00000000-0005-0000-0000-00008E060000}"/>
    <cellStyle name="20% - Accent5 3" xfId="9016" hidden="1" xr:uid="{00000000-0005-0000-0000-00008F060000}"/>
    <cellStyle name="20% - Accent5 3" xfId="9049" hidden="1" xr:uid="{00000000-0005-0000-0000-000090060000}"/>
    <cellStyle name="20% - Accent5 3" xfId="9081" hidden="1" xr:uid="{00000000-0005-0000-0000-000091060000}"/>
    <cellStyle name="20% - Accent5 3" xfId="9114" hidden="1" xr:uid="{00000000-0005-0000-0000-000092060000}"/>
    <cellStyle name="20% - Accent5 3" xfId="9146" hidden="1" xr:uid="{00000000-0005-0000-0000-000093060000}"/>
    <cellStyle name="20% - Accent5 3" xfId="9179" hidden="1" xr:uid="{00000000-0005-0000-0000-000094060000}"/>
    <cellStyle name="20% - Accent5 3" xfId="9212" hidden="1" xr:uid="{00000000-0005-0000-0000-000095060000}"/>
    <cellStyle name="20% - Accent5 3" xfId="9245" hidden="1" xr:uid="{00000000-0005-0000-0000-000096060000}"/>
    <cellStyle name="20% - Accent5 3" xfId="9278" hidden="1" xr:uid="{00000000-0005-0000-0000-000097060000}"/>
    <cellStyle name="20% - Accent5 3" xfId="9311" hidden="1" xr:uid="{00000000-0005-0000-0000-000098060000}"/>
    <cellStyle name="20% - Accent5 3" xfId="9344" hidden="1" xr:uid="{00000000-0005-0000-0000-000099060000}"/>
    <cellStyle name="20% - Accent5 3" xfId="9395" hidden="1" xr:uid="{00000000-0005-0000-0000-00009A060000}"/>
    <cellStyle name="20% - Accent5 3" xfId="9432" hidden="1" xr:uid="{00000000-0005-0000-0000-00009B060000}"/>
    <cellStyle name="20% - Accent5 3" xfId="9465" hidden="1" xr:uid="{00000000-0005-0000-0000-00009C060000}"/>
    <cellStyle name="20% - Accent5 3" xfId="9497" hidden="1" xr:uid="{00000000-0005-0000-0000-00009D060000}"/>
    <cellStyle name="20% - Accent5 3" xfId="9529" hidden="1" xr:uid="{00000000-0005-0000-0000-00009E060000}"/>
    <cellStyle name="20% - Accent5 3" xfId="9562" hidden="1" xr:uid="{00000000-0005-0000-0000-00009F060000}"/>
    <cellStyle name="20% - Accent5 3" xfId="9594" hidden="1" xr:uid="{00000000-0005-0000-0000-0000A0060000}"/>
    <cellStyle name="20% - Accent5 3" xfId="9627" hidden="1" xr:uid="{00000000-0005-0000-0000-0000A1060000}"/>
    <cellStyle name="20% - Accent5 3" xfId="9659" hidden="1" xr:uid="{00000000-0005-0000-0000-0000A2060000}"/>
    <cellStyle name="20% - Accent5 3" xfId="9692" hidden="1" xr:uid="{00000000-0005-0000-0000-0000A3060000}"/>
    <cellStyle name="20% - Accent5 3" xfId="9725" hidden="1" xr:uid="{00000000-0005-0000-0000-0000A4060000}"/>
    <cellStyle name="20% - Accent5 3" xfId="9758" hidden="1" xr:uid="{00000000-0005-0000-0000-0000A5060000}"/>
    <cellStyle name="20% - Accent5 3" xfId="9791" hidden="1" xr:uid="{00000000-0005-0000-0000-0000A6060000}"/>
    <cellStyle name="20% - Accent5 3" xfId="9824" hidden="1" xr:uid="{00000000-0005-0000-0000-0000A7060000}"/>
    <cellStyle name="20% - Accent5 3" xfId="9857" hidden="1" xr:uid="{00000000-0005-0000-0000-0000A8060000}"/>
    <cellStyle name="20% - Accent5 3" xfId="9377" hidden="1" xr:uid="{00000000-0005-0000-0000-0000A9060000}"/>
    <cellStyle name="20% - Accent5 3" xfId="9909" hidden="1" xr:uid="{00000000-0005-0000-0000-0000AA060000}"/>
    <cellStyle name="20% - Accent5 3" xfId="9942" hidden="1" xr:uid="{00000000-0005-0000-0000-0000AB060000}"/>
    <cellStyle name="20% - Accent5 3" xfId="9974" hidden="1" xr:uid="{00000000-0005-0000-0000-0000AC060000}"/>
    <cellStyle name="20% - Accent5 3" xfId="10006" hidden="1" xr:uid="{00000000-0005-0000-0000-0000AD060000}"/>
    <cellStyle name="20% - Accent5 3" xfId="10039" hidden="1" xr:uid="{00000000-0005-0000-0000-0000AE060000}"/>
    <cellStyle name="20% - Accent5 3" xfId="10071" hidden="1" xr:uid="{00000000-0005-0000-0000-0000AF060000}"/>
    <cellStyle name="20% - Accent5 3" xfId="10104" hidden="1" xr:uid="{00000000-0005-0000-0000-0000B0060000}"/>
    <cellStyle name="20% - Accent5 3" xfId="10136" hidden="1" xr:uid="{00000000-0005-0000-0000-0000B1060000}"/>
    <cellStyle name="20% - Accent5 3" xfId="10169" hidden="1" xr:uid="{00000000-0005-0000-0000-0000B2060000}"/>
    <cellStyle name="20% - Accent5 3" xfId="10202" hidden="1" xr:uid="{00000000-0005-0000-0000-0000B3060000}"/>
    <cellStyle name="20% - Accent5 3" xfId="10235" hidden="1" xr:uid="{00000000-0005-0000-0000-0000B4060000}"/>
    <cellStyle name="20% - Accent5 3" xfId="10268" hidden="1" xr:uid="{00000000-0005-0000-0000-0000B5060000}"/>
    <cellStyle name="20% - Accent5 3" xfId="10301" hidden="1" xr:uid="{00000000-0005-0000-0000-0000B6060000}"/>
    <cellStyle name="20% - Accent5 3" xfId="10334" hidden="1" xr:uid="{00000000-0005-0000-0000-0000B7060000}"/>
    <cellStyle name="20% - Accent5 3" xfId="10360" hidden="1" xr:uid="{00000000-0005-0000-0000-0000B8060000}"/>
    <cellStyle name="20% - Accent5 3" xfId="10397" hidden="1" xr:uid="{00000000-0005-0000-0000-0000B9060000}"/>
    <cellStyle name="20% - Accent5 3" xfId="10430" hidden="1" xr:uid="{00000000-0005-0000-0000-0000BA060000}"/>
    <cellStyle name="20% - Accent5 3" xfId="10462" hidden="1" xr:uid="{00000000-0005-0000-0000-0000BB060000}"/>
    <cellStyle name="20% - Accent5 3" xfId="10494" hidden="1" xr:uid="{00000000-0005-0000-0000-0000BC060000}"/>
    <cellStyle name="20% - Accent5 3" xfId="10527" hidden="1" xr:uid="{00000000-0005-0000-0000-0000BD060000}"/>
    <cellStyle name="20% - Accent5 3" xfId="10559" hidden="1" xr:uid="{00000000-0005-0000-0000-0000BE060000}"/>
    <cellStyle name="20% - Accent5 3" xfId="10592" hidden="1" xr:uid="{00000000-0005-0000-0000-0000BF060000}"/>
    <cellStyle name="20% - Accent5 3" xfId="10624" hidden="1" xr:uid="{00000000-0005-0000-0000-0000C0060000}"/>
    <cellStyle name="20% - Accent5 3" xfId="10657" hidden="1" xr:uid="{00000000-0005-0000-0000-0000C1060000}"/>
    <cellStyle name="20% - Accent5 3" xfId="10690" hidden="1" xr:uid="{00000000-0005-0000-0000-0000C2060000}"/>
    <cellStyle name="20% - Accent5 3" xfId="10723" hidden="1" xr:uid="{00000000-0005-0000-0000-0000C3060000}"/>
    <cellStyle name="20% - Accent5 3" xfId="10756" hidden="1" xr:uid="{00000000-0005-0000-0000-0000C4060000}"/>
    <cellStyle name="20% - Accent5 3" xfId="10789" hidden="1" xr:uid="{00000000-0005-0000-0000-0000C5060000}"/>
    <cellStyle name="20% - Accent5 3" xfId="10822" hidden="1" xr:uid="{00000000-0005-0000-0000-0000C6060000}"/>
    <cellStyle name="20% - Accent5 3" xfId="10873" hidden="1" xr:uid="{00000000-0005-0000-0000-0000C7060000}"/>
    <cellStyle name="20% - Accent5 3" xfId="10910" hidden="1" xr:uid="{00000000-0005-0000-0000-0000C8060000}"/>
    <cellStyle name="20% - Accent5 3" xfId="10943" hidden="1" xr:uid="{00000000-0005-0000-0000-0000C9060000}"/>
    <cellStyle name="20% - Accent5 3" xfId="10975" hidden="1" xr:uid="{00000000-0005-0000-0000-0000CA060000}"/>
    <cellStyle name="20% - Accent5 3" xfId="11007" hidden="1" xr:uid="{00000000-0005-0000-0000-0000CB060000}"/>
    <cellStyle name="20% - Accent5 3" xfId="11040" hidden="1" xr:uid="{00000000-0005-0000-0000-0000CC060000}"/>
    <cellStyle name="20% - Accent5 3" xfId="11072" hidden="1" xr:uid="{00000000-0005-0000-0000-0000CD060000}"/>
    <cellStyle name="20% - Accent5 3" xfId="11105" hidden="1" xr:uid="{00000000-0005-0000-0000-0000CE060000}"/>
    <cellStyle name="20% - Accent5 3" xfId="11137" hidden="1" xr:uid="{00000000-0005-0000-0000-0000CF060000}"/>
    <cellStyle name="20% - Accent5 3" xfId="11170" hidden="1" xr:uid="{00000000-0005-0000-0000-0000D0060000}"/>
    <cellStyle name="20% - Accent5 3" xfId="11203" hidden="1" xr:uid="{00000000-0005-0000-0000-0000D1060000}"/>
    <cellStyle name="20% - Accent5 3" xfId="11236" hidden="1" xr:uid="{00000000-0005-0000-0000-0000D2060000}"/>
    <cellStyle name="20% - Accent5 3" xfId="11269" hidden="1" xr:uid="{00000000-0005-0000-0000-0000D3060000}"/>
    <cellStyle name="20% - Accent5 3" xfId="11302" hidden="1" xr:uid="{00000000-0005-0000-0000-0000D4060000}"/>
    <cellStyle name="20% - Accent5 3" xfId="11335" hidden="1" xr:uid="{00000000-0005-0000-0000-0000D5060000}"/>
    <cellStyle name="20% - Accent5 3" xfId="10855" hidden="1" xr:uid="{00000000-0005-0000-0000-0000D6060000}"/>
    <cellStyle name="20% - Accent5 3" xfId="11387" hidden="1" xr:uid="{00000000-0005-0000-0000-0000D7060000}"/>
    <cellStyle name="20% - Accent5 3" xfId="11420" hidden="1" xr:uid="{00000000-0005-0000-0000-0000D8060000}"/>
    <cellStyle name="20% - Accent5 3" xfId="11452" hidden="1" xr:uid="{00000000-0005-0000-0000-0000D9060000}"/>
    <cellStyle name="20% - Accent5 3" xfId="11484" hidden="1" xr:uid="{00000000-0005-0000-0000-0000DA060000}"/>
    <cellStyle name="20% - Accent5 3" xfId="11517" hidden="1" xr:uid="{00000000-0005-0000-0000-0000DB060000}"/>
    <cellStyle name="20% - Accent5 3" xfId="11549" hidden="1" xr:uid="{00000000-0005-0000-0000-0000DC060000}"/>
    <cellStyle name="20% - Accent5 3" xfId="11582" hidden="1" xr:uid="{00000000-0005-0000-0000-0000DD060000}"/>
    <cellStyle name="20% - Accent5 3" xfId="11614" hidden="1" xr:uid="{00000000-0005-0000-0000-0000DE060000}"/>
    <cellStyle name="20% - Accent5 3" xfId="11647" hidden="1" xr:uid="{00000000-0005-0000-0000-0000DF060000}"/>
    <cellStyle name="20% - Accent5 3" xfId="11680" hidden="1" xr:uid="{00000000-0005-0000-0000-0000E0060000}"/>
    <cellStyle name="20% - Accent5 3" xfId="11713" hidden="1" xr:uid="{00000000-0005-0000-0000-0000E1060000}"/>
    <cellStyle name="20% - Accent5 3" xfId="11746" hidden="1" xr:uid="{00000000-0005-0000-0000-0000E2060000}"/>
    <cellStyle name="20% - Accent5 3" xfId="11779" hidden="1" xr:uid="{00000000-0005-0000-0000-0000E3060000}"/>
    <cellStyle name="20% - Accent5 3" xfId="11812" xr:uid="{00000000-0005-0000-0000-0000E4060000}"/>
    <cellStyle name="20% - Accent6 2" xfId="24" xr:uid="{00000000-0005-0000-0000-0000E5060000}"/>
    <cellStyle name="20% - Accent6 2 2" xfId="1578" xr:uid="{00000000-0005-0000-0000-0000E6060000}"/>
    <cellStyle name="20% - Accent6 2 3" xfId="2715" xr:uid="{00000000-0005-0000-0000-0000E7060000}"/>
    <cellStyle name="20% - Accent6 3" xfId="229" hidden="1" xr:uid="{00000000-0005-0000-0000-0000E8060000}"/>
    <cellStyle name="20% - Accent6 3" xfId="234" hidden="1" xr:uid="{00000000-0005-0000-0000-0000E9060000}"/>
    <cellStyle name="20% - Accent6 3" xfId="267" hidden="1" xr:uid="{00000000-0005-0000-0000-0000EA060000}"/>
    <cellStyle name="20% - Accent6 3" xfId="300" hidden="1" xr:uid="{00000000-0005-0000-0000-0000EB060000}"/>
    <cellStyle name="20% - Accent6 3" xfId="333" hidden="1" xr:uid="{00000000-0005-0000-0000-0000EC060000}"/>
    <cellStyle name="20% - Accent6 3" xfId="367" hidden="1" xr:uid="{00000000-0005-0000-0000-0000ED060000}"/>
    <cellStyle name="20% - Accent6 3" xfId="400" hidden="1" xr:uid="{00000000-0005-0000-0000-0000EE060000}"/>
    <cellStyle name="20% - Accent6 3" xfId="433" hidden="1" xr:uid="{00000000-0005-0000-0000-0000EF060000}"/>
    <cellStyle name="20% - Accent6 3" xfId="466" hidden="1" xr:uid="{00000000-0005-0000-0000-0000F0060000}"/>
    <cellStyle name="20% - Accent6 3" xfId="499" hidden="1" xr:uid="{00000000-0005-0000-0000-0000F1060000}"/>
    <cellStyle name="20% - Accent6 3" xfId="532" hidden="1" xr:uid="{00000000-0005-0000-0000-0000F2060000}"/>
    <cellStyle name="20% - Accent6 3" xfId="565" hidden="1" xr:uid="{00000000-0005-0000-0000-0000F3060000}"/>
    <cellStyle name="20% - Accent6 3" xfId="602" hidden="1" xr:uid="{00000000-0005-0000-0000-0000F4060000}"/>
    <cellStyle name="20% - Accent6 3" xfId="635" hidden="1" xr:uid="{00000000-0005-0000-0000-0000F5060000}"/>
    <cellStyle name="20% - Accent6 3" xfId="667" hidden="1" xr:uid="{00000000-0005-0000-0000-0000F6060000}"/>
    <cellStyle name="20% - Accent6 3" xfId="699" hidden="1" xr:uid="{00000000-0005-0000-0000-0000F7060000}"/>
    <cellStyle name="20% - Accent6 3" xfId="732" hidden="1" xr:uid="{00000000-0005-0000-0000-0000F8060000}"/>
    <cellStyle name="20% - Accent6 3" xfId="764" hidden="1" xr:uid="{00000000-0005-0000-0000-0000F9060000}"/>
    <cellStyle name="20% - Accent6 3" xfId="797" hidden="1" xr:uid="{00000000-0005-0000-0000-0000FA060000}"/>
    <cellStyle name="20% - Accent6 3" xfId="829" hidden="1" xr:uid="{00000000-0005-0000-0000-0000FB060000}"/>
    <cellStyle name="20% - Accent6 3" xfId="862" hidden="1" xr:uid="{00000000-0005-0000-0000-0000FC060000}"/>
    <cellStyle name="20% - Accent6 3" xfId="895" hidden="1" xr:uid="{00000000-0005-0000-0000-0000FD060000}"/>
    <cellStyle name="20% - Accent6 3" xfId="928" hidden="1" xr:uid="{00000000-0005-0000-0000-0000FE060000}"/>
    <cellStyle name="20% - Accent6 3" xfId="961" hidden="1" xr:uid="{00000000-0005-0000-0000-0000FF060000}"/>
    <cellStyle name="20% - Accent6 3" xfId="994" hidden="1" xr:uid="{00000000-0005-0000-0000-000000070000}"/>
    <cellStyle name="20% - Accent6 3" xfId="1027" hidden="1" xr:uid="{00000000-0005-0000-0000-000001070000}"/>
    <cellStyle name="20% - Accent6 3" xfId="1070" hidden="1" xr:uid="{00000000-0005-0000-0000-000002070000}"/>
    <cellStyle name="20% - Accent6 3" xfId="1108" hidden="1" xr:uid="{00000000-0005-0000-0000-000003070000}"/>
    <cellStyle name="20% - Accent6 3" xfId="1141" hidden="1" xr:uid="{00000000-0005-0000-0000-000004070000}"/>
    <cellStyle name="20% - Accent6 3" xfId="1173" hidden="1" xr:uid="{00000000-0005-0000-0000-000005070000}"/>
    <cellStyle name="20% - Accent6 3" xfId="1205" hidden="1" xr:uid="{00000000-0005-0000-0000-000006070000}"/>
    <cellStyle name="20% - Accent6 3" xfId="1238" hidden="1" xr:uid="{00000000-0005-0000-0000-000007070000}"/>
    <cellStyle name="20% - Accent6 3" xfId="1270" hidden="1" xr:uid="{00000000-0005-0000-0000-000008070000}"/>
    <cellStyle name="20% - Accent6 3" xfId="1303" hidden="1" xr:uid="{00000000-0005-0000-0000-000009070000}"/>
    <cellStyle name="20% - Accent6 3" xfId="1335" hidden="1" xr:uid="{00000000-0005-0000-0000-00000A070000}"/>
    <cellStyle name="20% - Accent6 3" xfId="1368" hidden="1" xr:uid="{00000000-0005-0000-0000-00000B070000}"/>
    <cellStyle name="20% - Accent6 3" xfId="1401" hidden="1" xr:uid="{00000000-0005-0000-0000-00000C070000}"/>
    <cellStyle name="20% - Accent6 3" xfId="1434" hidden="1" xr:uid="{00000000-0005-0000-0000-00000D070000}"/>
    <cellStyle name="20% - Accent6 3" xfId="1467" hidden="1" xr:uid="{00000000-0005-0000-0000-00000E070000}"/>
    <cellStyle name="20% - Accent6 3" xfId="1500" hidden="1" xr:uid="{00000000-0005-0000-0000-00000F070000}"/>
    <cellStyle name="20% - Accent6 3" xfId="1533" hidden="1" xr:uid="{00000000-0005-0000-0000-000010070000}"/>
    <cellStyle name="20% - Accent6 3" xfId="1747" hidden="1" xr:uid="{00000000-0005-0000-0000-000011070000}"/>
    <cellStyle name="20% - Accent6 3" xfId="1784" hidden="1" xr:uid="{00000000-0005-0000-0000-000012070000}"/>
    <cellStyle name="20% - Accent6 3" xfId="1817" hidden="1" xr:uid="{00000000-0005-0000-0000-000013070000}"/>
    <cellStyle name="20% - Accent6 3" xfId="1849" hidden="1" xr:uid="{00000000-0005-0000-0000-000014070000}"/>
    <cellStyle name="20% - Accent6 3" xfId="1881" hidden="1" xr:uid="{00000000-0005-0000-0000-000015070000}"/>
    <cellStyle name="20% - Accent6 3" xfId="1914" hidden="1" xr:uid="{00000000-0005-0000-0000-000016070000}"/>
    <cellStyle name="20% - Accent6 3" xfId="1946" hidden="1" xr:uid="{00000000-0005-0000-0000-000017070000}"/>
    <cellStyle name="20% - Accent6 3" xfId="1979" hidden="1" xr:uid="{00000000-0005-0000-0000-000018070000}"/>
    <cellStyle name="20% - Accent6 3" xfId="2011" hidden="1" xr:uid="{00000000-0005-0000-0000-000019070000}"/>
    <cellStyle name="20% - Accent6 3" xfId="2044" hidden="1" xr:uid="{00000000-0005-0000-0000-00001A070000}"/>
    <cellStyle name="20% - Accent6 3" xfId="2077" hidden="1" xr:uid="{00000000-0005-0000-0000-00001B070000}"/>
    <cellStyle name="20% - Accent6 3" xfId="2110" hidden="1" xr:uid="{00000000-0005-0000-0000-00001C070000}"/>
    <cellStyle name="20% - Accent6 3" xfId="2143" hidden="1" xr:uid="{00000000-0005-0000-0000-00001D070000}"/>
    <cellStyle name="20% - Accent6 3" xfId="2176" hidden="1" xr:uid="{00000000-0005-0000-0000-00001E070000}"/>
    <cellStyle name="20% - Accent6 3" xfId="2209" hidden="1" xr:uid="{00000000-0005-0000-0000-00001F070000}"/>
    <cellStyle name="20% - Accent6 3" xfId="1735" hidden="1" xr:uid="{00000000-0005-0000-0000-000020070000}"/>
    <cellStyle name="20% - Accent6 3" xfId="2261" hidden="1" xr:uid="{00000000-0005-0000-0000-000021070000}"/>
    <cellStyle name="20% - Accent6 3" xfId="2294" hidden="1" xr:uid="{00000000-0005-0000-0000-000022070000}"/>
    <cellStyle name="20% - Accent6 3" xfId="2326" hidden="1" xr:uid="{00000000-0005-0000-0000-000023070000}"/>
    <cellStyle name="20% - Accent6 3" xfId="2358" hidden="1" xr:uid="{00000000-0005-0000-0000-000024070000}"/>
    <cellStyle name="20% - Accent6 3" xfId="2391" hidden="1" xr:uid="{00000000-0005-0000-0000-000025070000}"/>
    <cellStyle name="20% - Accent6 3" xfId="2423" hidden="1" xr:uid="{00000000-0005-0000-0000-000026070000}"/>
    <cellStyle name="20% - Accent6 3" xfId="2456" hidden="1" xr:uid="{00000000-0005-0000-0000-000027070000}"/>
    <cellStyle name="20% - Accent6 3" xfId="2488" hidden="1" xr:uid="{00000000-0005-0000-0000-000028070000}"/>
    <cellStyle name="20% - Accent6 3" xfId="2521" hidden="1" xr:uid="{00000000-0005-0000-0000-000029070000}"/>
    <cellStyle name="20% - Accent6 3" xfId="2554" hidden="1" xr:uid="{00000000-0005-0000-0000-00002A070000}"/>
    <cellStyle name="20% - Accent6 3" xfId="2587" hidden="1" xr:uid="{00000000-0005-0000-0000-00002B070000}"/>
    <cellStyle name="20% - Accent6 3" xfId="2620" hidden="1" xr:uid="{00000000-0005-0000-0000-00002C070000}"/>
    <cellStyle name="20% - Accent6 3" xfId="2653" hidden="1" xr:uid="{00000000-0005-0000-0000-00002D070000}"/>
    <cellStyle name="20% - Accent6 3" xfId="2686" hidden="1" xr:uid="{00000000-0005-0000-0000-00002E070000}"/>
    <cellStyle name="20% - Accent6 3" xfId="2767" hidden="1" xr:uid="{00000000-0005-0000-0000-00002F070000}"/>
    <cellStyle name="20% - Accent6 3" xfId="2804" hidden="1" xr:uid="{00000000-0005-0000-0000-000030070000}"/>
    <cellStyle name="20% - Accent6 3" xfId="2837" hidden="1" xr:uid="{00000000-0005-0000-0000-000031070000}"/>
    <cellStyle name="20% - Accent6 3" xfId="2869" hidden="1" xr:uid="{00000000-0005-0000-0000-000032070000}"/>
    <cellStyle name="20% - Accent6 3" xfId="2901" hidden="1" xr:uid="{00000000-0005-0000-0000-000033070000}"/>
    <cellStyle name="20% - Accent6 3" xfId="2934" hidden="1" xr:uid="{00000000-0005-0000-0000-000034070000}"/>
    <cellStyle name="20% - Accent6 3" xfId="2966" hidden="1" xr:uid="{00000000-0005-0000-0000-000035070000}"/>
    <cellStyle name="20% - Accent6 3" xfId="2999" hidden="1" xr:uid="{00000000-0005-0000-0000-000036070000}"/>
    <cellStyle name="20% - Accent6 3" xfId="3031" hidden="1" xr:uid="{00000000-0005-0000-0000-000037070000}"/>
    <cellStyle name="20% - Accent6 3" xfId="3064" hidden="1" xr:uid="{00000000-0005-0000-0000-000038070000}"/>
    <cellStyle name="20% - Accent6 3" xfId="3097" hidden="1" xr:uid="{00000000-0005-0000-0000-000039070000}"/>
    <cellStyle name="20% - Accent6 3" xfId="3130" hidden="1" xr:uid="{00000000-0005-0000-0000-00003A070000}"/>
    <cellStyle name="20% - Accent6 3" xfId="3163" hidden="1" xr:uid="{00000000-0005-0000-0000-00003B070000}"/>
    <cellStyle name="20% - Accent6 3" xfId="3196" hidden="1" xr:uid="{00000000-0005-0000-0000-00003C070000}"/>
    <cellStyle name="20% - Accent6 3" xfId="3229" hidden="1" xr:uid="{00000000-0005-0000-0000-00003D070000}"/>
    <cellStyle name="20% - Accent6 3" xfId="3280" hidden="1" xr:uid="{00000000-0005-0000-0000-00003E070000}"/>
    <cellStyle name="20% - Accent6 3" xfId="3317" hidden="1" xr:uid="{00000000-0005-0000-0000-00003F070000}"/>
    <cellStyle name="20% - Accent6 3" xfId="3350" hidden="1" xr:uid="{00000000-0005-0000-0000-000040070000}"/>
    <cellStyle name="20% - Accent6 3" xfId="3382" hidden="1" xr:uid="{00000000-0005-0000-0000-000041070000}"/>
    <cellStyle name="20% - Accent6 3" xfId="3414" hidden="1" xr:uid="{00000000-0005-0000-0000-000042070000}"/>
    <cellStyle name="20% - Accent6 3" xfId="3447" hidden="1" xr:uid="{00000000-0005-0000-0000-000043070000}"/>
    <cellStyle name="20% - Accent6 3" xfId="3479" hidden="1" xr:uid="{00000000-0005-0000-0000-000044070000}"/>
    <cellStyle name="20% - Accent6 3" xfId="3512" hidden="1" xr:uid="{00000000-0005-0000-0000-000045070000}"/>
    <cellStyle name="20% - Accent6 3" xfId="3544" hidden="1" xr:uid="{00000000-0005-0000-0000-000046070000}"/>
    <cellStyle name="20% - Accent6 3" xfId="3577" hidden="1" xr:uid="{00000000-0005-0000-0000-000047070000}"/>
    <cellStyle name="20% - Accent6 3" xfId="3610" hidden="1" xr:uid="{00000000-0005-0000-0000-000048070000}"/>
    <cellStyle name="20% - Accent6 3" xfId="3643" hidden="1" xr:uid="{00000000-0005-0000-0000-000049070000}"/>
    <cellStyle name="20% - Accent6 3" xfId="3676" hidden="1" xr:uid="{00000000-0005-0000-0000-00004A070000}"/>
    <cellStyle name="20% - Accent6 3" xfId="3709" hidden="1" xr:uid="{00000000-0005-0000-0000-00004B070000}"/>
    <cellStyle name="20% - Accent6 3" xfId="3742" hidden="1" xr:uid="{00000000-0005-0000-0000-00004C070000}"/>
    <cellStyle name="20% - Accent6 3" xfId="3268" hidden="1" xr:uid="{00000000-0005-0000-0000-00004D070000}"/>
    <cellStyle name="20% - Accent6 3" xfId="3794" hidden="1" xr:uid="{00000000-0005-0000-0000-00004E070000}"/>
    <cellStyle name="20% - Accent6 3" xfId="3827" hidden="1" xr:uid="{00000000-0005-0000-0000-00004F070000}"/>
    <cellStyle name="20% - Accent6 3" xfId="3859" hidden="1" xr:uid="{00000000-0005-0000-0000-000050070000}"/>
    <cellStyle name="20% - Accent6 3" xfId="3891" hidden="1" xr:uid="{00000000-0005-0000-0000-000051070000}"/>
    <cellStyle name="20% - Accent6 3" xfId="3924" hidden="1" xr:uid="{00000000-0005-0000-0000-000052070000}"/>
    <cellStyle name="20% - Accent6 3" xfId="3956" hidden="1" xr:uid="{00000000-0005-0000-0000-000053070000}"/>
    <cellStyle name="20% - Accent6 3" xfId="3989" hidden="1" xr:uid="{00000000-0005-0000-0000-000054070000}"/>
    <cellStyle name="20% - Accent6 3" xfId="4021" hidden="1" xr:uid="{00000000-0005-0000-0000-000055070000}"/>
    <cellStyle name="20% - Accent6 3" xfId="4054" hidden="1" xr:uid="{00000000-0005-0000-0000-000056070000}"/>
    <cellStyle name="20% - Accent6 3" xfId="4087" hidden="1" xr:uid="{00000000-0005-0000-0000-000057070000}"/>
    <cellStyle name="20% - Accent6 3" xfId="4120" hidden="1" xr:uid="{00000000-0005-0000-0000-000058070000}"/>
    <cellStyle name="20% - Accent6 3" xfId="4153" hidden="1" xr:uid="{00000000-0005-0000-0000-000059070000}"/>
    <cellStyle name="20% - Accent6 3" xfId="4186" hidden="1" xr:uid="{00000000-0005-0000-0000-00005A070000}"/>
    <cellStyle name="20% - Accent6 3" xfId="4219" hidden="1" xr:uid="{00000000-0005-0000-0000-00005B070000}"/>
    <cellStyle name="20% - Accent6 3" xfId="4386" hidden="1" xr:uid="{00000000-0005-0000-0000-00005C070000}"/>
    <cellStyle name="20% - Accent6 3" xfId="4419" hidden="1" xr:uid="{00000000-0005-0000-0000-00005D070000}"/>
    <cellStyle name="20% - Accent6 3" xfId="4452" hidden="1" xr:uid="{00000000-0005-0000-0000-00005E070000}"/>
    <cellStyle name="20% - Accent6 3" xfId="4485" hidden="1" xr:uid="{00000000-0005-0000-0000-00005F070000}"/>
    <cellStyle name="20% - Accent6 3" xfId="4518" hidden="1" xr:uid="{00000000-0005-0000-0000-000060070000}"/>
    <cellStyle name="20% - Accent6 3" xfId="4551" hidden="1" xr:uid="{00000000-0005-0000-0000-000061070000}"/>
    <cellStyle name="20% - Accent6 3" xfId="4584" hidden="1" xr:uid="{00000000-0005-0000-0000-000062070000}"/>
    <cellStyle name="20% - Accent6 3" xfId="4617" hidden="1" xr:uid="{00000000-0005-0000-0000-000063070000}"/>
    <cellStyle name="20% - Accent6 3" xfId="4650" hidden="1" xr:uid="{00000000-0005-0000-0000-000064070000}"/>
    <cellStyle name="20% - Accent6 3" xfId="4683" hidden="1" xr:uid="{00000000-0005-0000-0000-000065070000}"/>
    <cellStyle name="20% - Accent6 3" xfId="4716" hidden="1" xr:uid="{00000000-0005-0000-0000-000066070000}"/>
    <cellStyle name="20% - Accent6 3" xfId="4753" hidden="1" xr:uid="{00000000-0005-0000-0000-000067070000}"/>
    <cellStyle name="20% - Accent6 3" xfId="4786" hidden="1" xr:uid="{00000000-0005-0000-0000-000068070000}"/>
    <cellStyle name="20% - Accent6 3" xfId="4818" hidden="1" xr:uid="{00000000-0005-0000-0000-000069070000}"/>
    <cellStyle name="20% - Accent6 3" xfId="4850" hidden="1" xr:uid="{00000000-0005-0000-0000-00006A070000}"/>
    <cellStyle name="20% - Accent6 3" xfId="4883" hidden="1" xr:uid="{00000000-0005-0000-0000-00006B070000}"/>
    <cellStyle name="20% - Accent6 3" xfId="4915" hidden="1" xr:uid="{00000000-0005-0000-0000-00006C070000}"/>
    <cellStyle name="20% - Accent6 3" xfId="4948" hidden="1" xr:uid="{00000000-0005-0000-0000-00006D070000}"/>
    <cellStyle name="20% - Accent6 3" xfId="4980" hidden="1" xr:uid="{00000000-0005-0000-0000-00006E070000}"/>
    <cellStyle name="20% - Accent6 3" xfId="5013" hidden="1" xr:uid="{00000000-0005-0000-0000-00006F070000}"/>
    <cellStyle name="20% - Accent6 3" xfId="5046" hidden="1" xr:uid="{00000000-0005-0000-0000-000070070000}"/>
    <cellStyle name="20% - Accent6 3" xfId="5079" hidden="1" xr:uid="{00000000-0005-0000-0000-000071070000}"/>
    <cellStyle name="20% - Accent6 3" xfId="5112" hidden="1" xr:uid="{00000000-0005-0000-0000-000072070000}"/>
    <cellStyle name="20% - Accent6 3" xfId="5145" hidden="1" xr:uid="{00000000-0005-0000-0000-000073070000}"/>
    <cellStyle name="20% - Accent6 3" xfId="5178" hidden="1" xr:uid="{00000000-0005-0000-0000-000074070000}"/>
    <cellStyle name="20% - Accent6 3" xfId="5219" hidden="1" xr:uid="{00000000-0005-0000-0000-000075070000}"/>
    <cellStyle name="20% - Accent6 3" xfId="5256" hidden="1" xr:uid="{00000000-0005-0000-0000-000076070000}"/>
    <cellStyle name="20% - Accent6 3" xfId="5289" hidden="1" xr:uid="{00000000-0005-0000-0000-000077070000}"/>
    <cellStyle name="20% - Accent6 3" xfId="5321" hidden="1" xr:uid="{00000000-0005-0000-0000-000078070000}"/>
    <cellStyle name="20% - Accent6 3" xfId="5353" hidden="1" xr:uid="{00000000-0005-0000-0000-000079070000}"/>
    <cellStyle name="20% - Accent6 3" xfId="5386" hidden="1" xr:uid="{00000000-0005-0000-0000-00007A070000}"/>
    <cellStyle name="20% - Accent6 3" xfId="5418" hidden="1" xr:uid="{00000000-0005-0000-0000-00007B070000}"/>
    <cellStyle name="20% - Accent6 3" xfId="5451" hidden="1" xr:uid="{00000000-0005-0000-0000-00007C070000}"/>
    <cellStyle name="20% - Accent6 3" xfId="5483" hidden="1" xr:uid="{00000000-0005-0000-0000-00007D070000}"/>
    <cellStyle name="20% - Accent6 3" xfId="5516" hidden="1" xr:uid="{00000000-0005-0000-0000-00007E070000}"/>
    <cellStyle name="20% - Accent6 3" xfId="5549" hidden="1" xr:uid="{00000000-0005-0000-0000-00007F070000}"/>
    <cellStyle name="20% - Accent6 3" xfId="5582" hidden="1" xr:uid="{00000000-0005-0000-0000-000080070000}"/>
    <cellStyle name="20% - Accent6 3" xfId="5615" hidden="1" xr:uid="{00000000-0005-0000-0000-000081070000}"/>
    <cellStyle name="20% - Accent6 3" xfId="5648" hidden="1" xr:uid="{00000000-0005-0000-0000-000082070000}"/>
    <cellStyle name="20% - Accent6 3" xfId="5681" hidden="1" xr:uid="{00000000-0005-0000-0000-000083070000}"/>
    <cellStyle name="20% - Accent6 3" xfId="5785" hidden="1" xr:uid="{00000000-0005-0000-0000-000084070000}"/>
    <cellStyle name="20% - Accent6 3" xfId="5822" hidden="1" xr:uid="{00000000-0005-0000-0000-000085070000}"/>
    <cellStyle name="20% - Accent6 3" xfId="5855" hidden="1" xr:uid="{00000000-0005-0000-0000-000086070000}"/>
    <cellStyle name="20% - Accent6 3" xfId="5887" hidden="1" xr:uid="{00000000-0005-0000-0000-000087070000}"/>
    <cellStyle name="20% - Accent6 3" xfId="5919" hidden="1" xr:uid="{00000000-0005-0000-0000-000088070000}"/>
    <cellStyle name="20% - Accent6 3" xfId="5952" hidden="1" xr:uid="{00000000-0005-0000-0000-000089070000}"/>
    <cellStyle name="20% - Accent6 3" xfId="5984" hidden="1" xr:uid="{00000000-0005-0000-0000-00008A070000}"/>
    <cellStyle name="20% - Accent6 3" xfId="6017" hidden="1" xr:uid="{00000000-0005-0000-0000-00008B070000}"/>
    <cellStyle name="20% - Accent6 3" xfId="6049" hidden="1" xr:uid="{00000000-0005-0000-0000-00008C070000}"/>
    <cellStyle name="20% - Accent6 3" xfId="6082" hidden="1" xr:uid="{00000000-0005-0000-0000-00008D070000}"/>
    <cellStyle name="20% - Accent6 3" xfId="6115" hidden="1" xr:uid="{00000000-0005-0000-0000-00008E070000}"/>
    <cellStyle name="20% - Accent6 3" xfId="6148" hidden="1" xr:uid="{00000000-0005-0000-0000-00008F070000}"/>
    <cellStyle name="20% - Accent6 3" xfId="6181" hidden="1" xr:uid="{00000000-0005-0000-0000-000090070000}"/>
    <cellStyle name="20% - Accent6 3" xfId="6214" hidden="1" xr:uid="{00000000-0005-0000-0000-000091070000}"/>
    <cellStyle name="20% - Accent6 3" xfId="6247" hidden="1" xr:uid="{00000000-0005-0000-0000-000092070000}"/>
    <cellStyle name="20% - Accent6 3" xfId="5773" hidden="1" xr:uid="{00000000-0005-0000-0000-000093070000}"/>
    <cellStyle name="20% - Accent6 3" xfId="6299" hidden="1" xr:uid="{00000000-0005-0000-0000-000094070000}"/>
    <cellStyle name="20% - Accent6 3" xfId="6332" hidden="1" xr:uid="{00000000-0005-0000-0000-000095070000}"/>
    <cellStyle name="20% - Accent6 3" xfId="6364" hidden="1" xr:uid="{00000000-0005-0000-0000-000096070000}"/>
    <cellStyle name="20% - Accent6 3" xfId="6396" hidden="1" xr:uid="{00000000-0005-0000-0000-000097070000}"/>
    <cellStyle name="20% - Accent6 3" xfId="6429" hidden="1" xr:uid="{00000000-0005-0000-0000-000098070000}"/>
    <cellStyle name="20% - Accent6 3" xfId="6461" hidden="1" xr:uid="{00000000-0005-0000-0000-000099070000}"/>
    <cellStyle name="20% - Accent6 3" xfId="6494" hidden="1" xr:uid="{00000000-0005-0000-0000-00009A070000}"/>
    <cellStyle name="20% - Accent6 3" xfId="6526" hidden="1" xr:uid="{00000000-0005-0000-0000-00009B070000}"/>
    <cellStyle name="20% - Accent6 3" xfId="6559" hidden="1" xr:uid="{00000000-0005-0000-0000-00009C070000}"/>
    <cellStyle name="20% - Accent6 3" xfId="6592" hidden="1" xr:uid="{00000000-0005-0000-0000-00009D070000}"/>
    <cellStyle name="20% - Accent6 3" xfId="6625" hidden="1" xr:uid="{00000000-0005-0000-0000-00009E070000}"/>
    <cellStyle name="20% - Accent6 3" xfId="6658" hidden="1" xr:uid="{00000000-0005-0000-0000-00009F070000}"/>
    <cellStyle name="20% - Accent6 3" xfId="6691" hidden="1" xr:uid="{00000000-0005-0000-0000-0000A0070000}"/>
    <cellStyle name="20% - Accent6 3" xfId="6724" hidden="1" xr:uid="{00000000-0005-0000-0000-0000A1070000}"/>
    <cellStyle name="20% - Accent6 3" xfId="6781" hidden="1" xr:uid="{00000000-0005-0000-0000-0000A2070000}"/>
    <cellStyle name="20% - Accent6 3" xfId="6818" hidden="1" xr:uid="{00000000-0005-0000-0000-0000A3070000}"/>
    <cellStyle name="20% - Accent6 3" xfId="6851" hidden="1" xr:uid="{00000000-0005-0000-0000-0000A4070000}"/>
    <cellStyle name="20% - Accent6 3" xfId="6883" hidden="1" xr:uid="{00000000-0005-0000-0000-0000A5070000}"/>
    <cellStyle name="20% - Accent6 3" xfId="6915" hidden="1" xr:uid="{00000000-0005-0000-0000-0000A6070000}"/>
    <cellStyle name="20% - Accent6 3" xfId="6948" hidden="1" xr:uid="{00000000-0005-0000-0000-0000A7070000}"/>
    <cellStyle name="20% - Accent6 3" xfId="6980" hidden="1" xr:uid="{00000000-0005-0000-0000-0000A8070000}"/>
    <cellStyle name="20% - Accent6 3" xfId="7013" hidden="1" xr:uid="{00000000-0005-0000-0000-0000A9070000}"/>
    <cellStyle name="20% - Accent6 3" xfId="7045" hidden="1" xr:uid="{00000000-0005-0000-0000-0000AA070000}"/>
    <cellStyle name="20% - Accent6 3" xfId="7078" hidden="1" xr:uid="{00000000-0005-0000-0000-0000AB070000}"/>
    <cellStyle name="20% - Accent6 3" xfId="7111" hidden="1" xr:uid="{00000000-0005-0000-0000-0000AC070000}"/>
    <cellStyle name="20% - Accent6 3" xfId="7144" hidden="1" xr:uid="{00000000-0005-0000-0000-0000AD070000}"/>
    <cellStyle name="20% - Accent6 3" xfId="7177" hidden="1" xr:uid="{00000000-0005-0000-0000-0000AE070000}"/>
    <cellStyle name="20% - Accent6 3" xfId="7210" hidden="1" xr:uid="{00000000-0005-0000-0000-0000AF070000}"/>
    <cellStyle name="20% - Accent6 3" xfId="7243" hidden="1" xr:uid="{00000000-0005-0000-0000-0000B0070000}"/>
    <cellStyle name="20% - Accent6 3" xfId="7294" hidden="1" xr:uid="{00000000-0005-0000-0000-0000B1070000}"/>
    <cellStyle name="20% - Accent6 3" xfId="7331" hidden="1" xr:uid="{00000000-0005-0000-0000-0000B2070000}"/>
    <cellStyle name="20% - Accent6 3" xfId="7364" hidden="1" xr:uid="{00000000-0005-0000-0000-0000B3070000}"/>
    <cellStyle name="20% - Accent6 3" xfId="7396" hidden="1" xr:uid="{00000000-0005-0000-0000-0000B4070000}"/>
    <cellStyle name="20% - Accent6 3" xfId="7428" hidden="1" xr:uid="{00000000-0005-0000-0000-0000B5070000}"/>
    <cellStyle name="20% - Accent6 3" xfId="7461" hidden="1" xr:uid="{00000000-0005-0000-0000-0000B6070000}"/>
    <cellStyle name="20% - Accent6 3" xfId="7493" hidden="1" xr:uid="{00000000-0005-0000-0000-0000B7070000}"/>
    <cellStyle name="20% - Accent6 3" xfId="7526" hidden="1" xr:uid="{00000000-0005-0000-0000-0000B8070000}"/>
    <cellStyle name="20% - Accent6 3" xfId="7558" hidden="1" xr:uid="{00000000-0005-0000-0000-0000B9070000}"/>
    <cellStyle name="20% - Accent6 3" xfId="7591" hidden="1" xr:uid="{00000000-0005-0000-0000-0000BA070000}"/>
    <cellStyle name="20% - Accent6 3" xfId="7624" hidden="1" xr:uid="{00000000-0005-0000-0000-0000BB070000}"/>
    <cellStyle name="20% - Accent6 3" xfId="7657" hidden="1" xr:uid="{00000000-0005-0000-0000-0000BC070000}"/>
    <cellStyle name="20% - Accent6 3" xfId="7690" hidden="1" xr:uid="{00000000-0005-0000-0000-0000BD070000}"/>
    <cellStyle name="20% - Accent6 3" xfId="7723" hidden="1" xr:uid="{00000000-0005-0000-0000-0000BE070000}"/>
    <cellStyle name="20% - Accent6 3" xfId="7756" hidden="1" xr:uid="{00000000-0005-0000-0000-0000BF070000}"/>
    <cellStyle name="20% - Accent6 3" xfId="7282" hidden="1" xr:uid="{00000000-0005-0000-0000-0000C0070000}"/>
    <cellStyle name="20% - Accent6 3" xfId="7808" hidden="1" xr:uid="{00000000-0005-0000-0000-0000C1070000}"/>
    <cellStyle name="20% - Accent6 3" xfId="7841" hidden="1" xr:uid="{00000000-0005-0000-0000-0000C2070000}"/>
    <cellStyle name="20% - Accent6 3" xfId="7873" hidden="1" xr:uid="{00000000-0005-0000-0000-0000C3070000}"/>
    <cellStyle name="20% - Accent6 3" xfId="7905" hidden="1" xr:uid="{00000000-0005-0000-0000-0000C4070000}"/>
    <cellStyle name="20% - Accent6 3" xfId="7938" hidden="1" xr:uid="{00000000-0005-0000-0000-0000C5070000}"/>
    <cellStyle name="20% - Accent6 3" xfId="7970" hidden="1" xr:uid="{00000000-0005-0000-0000-0000C6070000}"/>
    <cellStyle name="20% - Accent6 3" xfId="8003" hidden="1" xr:uid="{00000000-0005-0000-0000-0000C7070000}"/>
    <cellStyle name="20% - Accent6 3" xfId="8035" hidden="1" xr:uid="{00000000-0005-0000-0000-0000C8070000}"/>
    <cellStyle name="20% - Accent6 3" xfId="8068" hidden="1" xr:uid="{00000000-0005-0000-0000-0000C9070000}"/>
    <cellStyle name="20% - Accent6 3" xfId="8101" hidden="1" xr:uid="{00000000-0005-0000-0000-0000CA070000}"/>
    <cellStyle name="20% - Accent6 3" xfId="8134" hidden="1" xr:uid="{00000000-0005-0000-0000-0000CB070000}"/>
    <cellStyle name="20% - Accent6 3" xfId="8167" hidden="1" xr:uid="{00000000-0005-0000-0000-0000CC070000}"/>
    <cellStyle name="20% - Accent6 3" xfId="8200" hidden="1" xr:uid="{00000000-0005-0000-0000-0000CD070000}"/>
    <cellStyle name="20% - Accent6 3" xfId="8233" hidden="1" xr:uid="{00000000-0005-0000-0000-0000CE070000}"/>
    <cellStyle name="20% - Accent6 3" xfId="4360" hidden="1" xr:uid="{00000000-0005-0000-0000-0000CF070000}"/>
    <cellStyle name="20% - Accent6 3" xfId="5743" hidden="1" xr:uid="{00000000-0005-0000-0000-0000D0070000}"/>
    <cellStyle name="20% - Accent6 3" xfId="5737" hidden="1" xr:uid="{00000000-0005-0000-0000-0000D1070000}"/>
    <cellStyle name="20% - Accent6 3" xfId="4371" hidden="1" xr:uid="{00000000-0005-0000-0000-0000D2070000}"/>
    <cellStyle name="20% - Accent6 3" xfId="5724" hidden="1" xr:uid="{00000000-0005-0000-0000-0000D3070000}"/>
    <cellStyle name="20% - Accent6 3" xfId="4267" hidden="1" xr:uid="{00000000-0005-0000-0000-0000D4070000}"/>
    <cellStyle name="20% - Accent6 3" xfId="4253" hidden="1" xr:uid="{00000000-0005-0000-0000-0000D5070000}"/>
    <cellStyle name="20% - Accent6 3" xfId="8278" hidden="1" xr:uid="{00000000-0005-0000-0000-0000D6070000}"/>
    <cellStyle name="20% - Accent6 3" xfId="8311" hidden="1" xr:uid="{00000000-0005-0000-0000-0000D7070000}"/>
    <cellStyle name="20% - Accent6 3" xfId="8344" hidden="1" xr:uid="{00000000-0005-0000-0000-0000D8070000}"/>
    <cellStyle name="20% - Accent6 3" xfId="8377" hidden="1" xr:uid="{00000000-0005-0000-0000-0000D9070000}"/>
    <cellStyle name="20% - Accent6 3" xfId="8414" hidden="1" xr:uid="{00000000-0005-0000-0000-0000DA070000}"/>
    <cellStyle name="20% - Accent6 3" xfId="8447" hidden="1" xr:uid="{00000000-0005-0000-0000-0000DB070000}"/>
    <cellStyle name="20% - Accent6 3" xfId="8479" hidden="1" xr:uid="{00000000-0005-0000-0000-0000DC070000}"/>
    <cellStyle name="20% - Accent6 3" xfId="8511" hidden="1" xr:uid="{00000000-0005-0000-0000-0000DD070000}"/>
    <cellStyle name="20% - Accent6 3" xfId="8544" hidden="1" xr:uid="{00000000-0005-0000-0000-0000DE070000}"/>
    <cellStyle name="20% - Accent6 3" xfId="8576" hidden="1" xr:uid="{00000000-0005-0000-0000-0000DF070000}"/>
    <cellStyle name="20% - Accent6 3" xfId="8609" hidden="1" xr:uid="{00000000-0005-0000-0000-0000E0070000}"/>
    <cellStyle name="20% - Accent6 3" xfId="8641" hidden="1" xr:uid="{00000000-0005-0000-0000-0000E1070000}"/>
    <cellStyle name="20% - Accent6 3" xfId="8674" hidden="1" xr:uid="{00000000-0005-0000-0000-0000E2070000}"/>
    <cellStyle name="20% - Accent6 3" xfId="8707" hidden="1" xr:uid="{00000000-0005-0000-0000-0000E3070000}"/>
    <cellStyle name="20% - Accent6 3" xfId="8740" hidden="1" xr:uid="{00000000-0005-0000-0000-0000E4070000}"/>
    <cellStyle name="20% - Accent6 3" xfId="8773" hidden="1" xr:uid="{00000000-0005-0000-0000-0000E5070000}"/>
    <cellStyle name="20% - Accent6 3" xfId="8806" hidden="1" xr:uid="{00000000-0005-0000-0000-0000E6070000}"/>
    <cellStyle name="20% - Accent6 3" xfId="8839" hidden="1" xr:uid="{00000000-0005-0000-0000-0000E7070000}"/>
    <cellStyle name="20% - Accent6 3" xfId="8879" hidden="1" xr:uid="{00000000-0005-0000-0000-0000E8070000}"/>
    <cellStyle name="20% - Accent6 3" xfId="8916" hidden="1" xr:uid="{00000000-0005-0000-0000-0000E9070000}"/>
    <cellStyle name="20% - Accent6 3" xfId="8949" hidden="1" xr:uid="{00000000-0005-0000-0000-0000EA070000}"/>
    <cellStyle name="20% - Accent6 3" xfId="8981" hidden="1" xr:uid="{00000000-0005-0000-0000-0000EB070000}"/>
    <cellStyle name="20% - Accent6 3" xfId="9013" hidden="1" xr:uid="{00000000-0005-0000-0000-0000EC070000}"/>
    <cellStyle name="20% - Accent6 3" xfId="9046" hidden="1" xr:uid="{00000000-0005-0000-0000-0000ED070000}"/>
    <cellStyle name="20% - Accent6 3" xfId="9078" hidden="1" xr:uid="{00000000-0005-0000-0000-0000EE070000}"/>
    <cellStyle name="20% - Accent6 3" xfId="9111" hidden="1" xr:uid="{00000000-0005-0000-0000-0000EF070000}"/>
    <cellStyle name="20% - Accent6 3" xfId="9143" hidden="1" xr:uid="{00000000-0005-0000-0000-0000F0070000}"/>
    <cellStyle name="20% - Accent6 3" xfId="9176" hidden="1" xr:uid="{00000000-0005-0000-0000-0000F1070000}"/>
    <cellStyle name="20% - Accent6 3" xfId="9209" hidden="1" xr:uid="{00000000-0005-0000-0000-0000F2070000}"/>
    <cellStyle name="20% - Accent6 3" xfId="9242" hidden="1" xr:uid="{00000000-0005-0000-0000-0000F3070000}"/>
    <cellStyle name="20% - Accent6 3" xfId="9275" hidden="1" xr:uid="{00000000-0005-0000-0000-0000F4070000}"/>
    <cellStyle name="20% - Accent6 3" xfId="9308" hidden="1" xr:uid="{00000000-0005-0000-0000-0000F5070000}"/>
    <cellStyle name="20% - Accent6 3" xfId="9341" hidden="1" xr:uid="{00000000-0005-0000-0000-0000F6070000}"/>
    <cellStyle name="20% - Accent6 3" xfId="9392" hidden="1" xr:uid="{00000000-0005-0000-0000-0000F7070000}"/>
    <cellStyle name="20% - Accent6 3" xfId="9429" hidden="1" xr:uid="{00000000-0005-0000-0000-0000F8070000}"/>
    <cellStyle name="20% - Accent6 3" xfId="9462" hidden="1" xr:uid="{00000000-0005-0000-0000-0000F9070000}"/>
    <cellStyle name="20% - Accent6 3" xfId="9494" hidden="1" xr:uid="{00000000-0005-0000-0000-0000FA070000}"/>
    <cellStyle name="20% - Accent6 3" xfId="9526" hidden="1" xr:uid="{00000000-0005-0000-0000-0000FB070000}"/>
    <cellStyle name="20% - Accent6 3" xfId="9559" hidden="1" xr:uid="{00000000-0005-0000-0000-0000FC070000}"/>
    <cellStyle name="20% - Accent6 3" xfId="9591" hidden="1" xr:uid="{00000000-0005-0000-0000-0000FD070000}"/>
    <cellStyle name="20% - Accent6 3" xfId="9624" hidden="1" xr:uid="{00000000-0005-0000-0000-0000FE070000}"/>
    <cellStyle name="20% - Accent6 3" xfId="9656" hidden="1" xr:uid="{00000000-0005-0000-0000-0000FF070000}"/>
    <cellStyle name="20% - Accent6 3" xfId="9689" hidden="1" xr:uid="{00000000-0005-0000-0000-000000080000}"/>
    <cellStyle name="20% - Accent6 3" xfId="9722" hidden="1" xr:uid="{00000000-0005-0000-0000-000001080000}"/>
    <cellStyle name="20% - Accent6 3" xfId="9755" hidden="1" xr:uid="{00000000-0005-0000-0000-000002080000}"/>
    <cellStyle name="20% - Accent6 3" xfId="9788" hidden="1" xr:uid="{00000000-0005-0000-0000-000003080000}"/>
    <cellStyle name="20% - Accent6 3" xfId="9821" hidden="1" xr:uid="{00000000-0005-0000-0000-000004080000}"/>
    <cellStyle name="20% - Accent6 3" xfId="9854" hidden="1" xr:uid="{00000000-0005-0000-0000-000005080000}"/>
    <cellStyle name="20% - Accent6 3" xfId="9380" hidden="1" xr:uid="{00000000-0005-0000-0000-000006080000}"/>
    <cellStyle name="20% - Accent6 3" xfId="9906" hidden="1" xr:uid="{00000000-0005-0000-0000-000007080000}"/>
    <cellStyle name="20% - Accent6 3" xfId="9939" hidden="1" xr:uid="{00000000-0005-0000-0000-000008080000}"/>
    <cellStyle name="20% - Accent6 3" xfId="9971" hidden="1" xr:uid="{00000000-0005-0000-0000-000009080000}"/>
    <cellStyle name="20% - Accent6 3" xfId="10003" hidden="1" xr:uid="{00000000-0005-0000-0000-00000A080000}"/>
    <cellStyle name="20% - Accent6 3" xfId="10036" hidden="1" xr:uid="{00000000-0005-0000-0000-00000B080000}"/>
    <cellStyle name="20% - Accent6 3" xfId="10068" hidden="1" xr:uid="{00000000-0005-0000-0000-00000C080000}"/>
    <cellStyle name="20% - Accent6 3" xfId="10101" hidden="1" xr:uid="{00000000-0005-0000-0000-00000D080000}"/>
    <cellStyle name="20% - Accent6 3" xfId="10133" hidden="1" xr:uid="{00000000-0005-0000-0000-00000E080000}"/>
    <cellStyle name="20% - Accent6 3" xfId="10166" hidden="1" xr:uid="{00000000-0005-0000-0000-00000F080000}"/>
    <cellStyle name="20% - Accent6 3" xfId="10199" hidden="1" xr:uid="{00000000-0005-0000-0000-000010080000}"/>
    <cellStyle name="20% - Accent6 3" xfId="10232" hidden="1" xr:uid="{00000000-0005-0000-0000-000011080000}"/>
    <cellStyle name="20% - Accent6 3" xfId="10265" hidden="1" xr:uid="{00000000-0005-0000-0000-000012080000}"/>
    <cellStyle name="20% - Accent6 3" xfId="10298" hidden="1" xr:uid="{00000000-0005-0000-0000-000013080000}"/>
    <cellStyle name="20% - Accent6 3" xfId="10331" hidden="1" xr:uid="{00000000-0005-0000-0000-000014080000}"/>
    <cellStyle name="20% - Accent6 3" xfId="10357" hidden="1" xr:uid="{00000000-0005-0000-0000-000015080000}"/>
    <cellStyle name="20% - Accent6 3" xfId="10394" hidden="1" xr:uid="{00000000-0005-0000-0000-000016080000}"/>
    <cellStyle name="20% - Accent6 3" xfId="10427" hidden="1" xr:uid="{00000000-0005-0000-0000-000017080000}"/>
    <cellStyle name="20% - Accent6 3" xfId="10459" hidden="1" xr:uid="{00000000-0005-0000-0000-000018080000}"/>
    <cellStyle name="20% - Accent6 3" xfId="10491" hidden="1" xr:uid="{00000000-0005-0000-0000-000019080000}"/>
    <cellStyle name="20% - Accent6 3" xfId="10524" hidden="1" xr:uid="{00000000-0005-0000-0000-00001A080000}"/>
    <cellStyle name="20% - Accent6 3" xfId="10556" hidden="1" xr:uid="{00000000-0005-0000-0000-00001B080000}"/>
    <cellStyle name="20% - Accent6 3" xfId="10589" hidden="1" xr:uid="{00000000-0005-0000-0000-00001C080000}"/>
    <cellStyle name="20% - Accent6 3" xfId="10621" hidden="1" xr:uid="{00000000-0005-0000-0000-00001D080000}"/>
    <cellStyle name="20% - Accent6 3" xfId="10654" hidden="1" xr:uid="{00000000-0005-0000-0000-00001E080000}"/>
    <cellStyle name="20% - Accent6 3" xfId="10687" hidden="1" xr:uid="{00000000-0005-0000-0000-00001F080000}"/>
    <cellStyle name="20% - Accent6 3" xfId="10720" hidden="1" xr:uid="{00000000-0005-0000-0000-000020080000}"/>
    <cellStyle name="20% - Accent6 3" xfId="10753" hidden="1" xr:uid="{00000000-0005-0000-0000-000021080000}"/>
    <cellStyle name="20% - Accent6 3" xfId="10786" hidden="1" xr:uid="{00000000-0005-0000-0000-000022080000}"/>
    <cellStyle name="20% - Accent6 3" xfId="10819" hidden="1" xr:uid="{00000000-0005-0000-0000-000023080000}"/>
    <cellStyle name="20% - Accent6 3" xfId="10870" hidden="1" xr:uid="{00000000-0005-0000-0000-000024080000}"/>
    <cellStyle name="20% - Accent6 3" xfId="10907" hidden="1" xr:uid="{00000000-0005-0000-0000-000025080000}"/>
    <cellStyle name="20% - Accent6 3" xfId="10940" hidden="1" xr:uid="{00000000-0005-0000-0000-000026080000}"/>
    <cellStyle name="20% - Accent6 3" xfId="10972" hidden="1" xr:uid="{00000000-0005-0000-0000-000027080000}"/>
    <cellStyle name="20% - Accent6 3" xfId="11004" hidden="1" xr:uid="{00000000-0005-0000-0000-000028080000}"/>
    <cellStyle name="20% - Accent6 3" xfId="11037" hidden="1" xr:uid="{00000000-0005-0000-0000-000029080000}"/>
    <cellStyle name="20% - Accent6 3" xfId="11069" hidden="1" xr:uid="{00000000-0005-0000-0000-00002A080000}"/>
    <cellStyle name="20% - Accent6 3" xfId="11102" hidden="1" xr:uid="{00000000-0005-0000-0000-00002B080000}"/>
    <cellStyle name="20% - Accent6 3" xfId="11134" hidden="1" xr:uid="{00000000-0005-0000-0000-00002C080000}"/>
    <cellStyle name="20% - Accent6 3" xfId="11167" hidden="1" xr:uid="{00000000-0005-0000-0000-00002D080000}"/>
    <cellStyle name="20% - Accent6 3" xfId="11200" hidden="1" xr:uid="{00000000-0005-0000-0000-00002E080000}"/>
    <cellStyle name="20% - Accent6 3" xfId="11233" hidden="1" xr:uid="{00000000-0005-0000-0000-00002F080000}"/>
    <cellStyle name="20% - Accent6 3" xfId="11266" hidden="1" xr:uid="{00000000-0005-0000-0000-000030080000}"/>
    <cellStyle name="20% - Accent6 3" xfId="11299" hidden="1" xr:uid="{00000000-0005-0000-0000-000031080000}"/>
    <cellStyle name="20% - Accent6 3" xfId="11332" hidden="1" xr:uid="{00000000-0005-0000-0000-000032080000}"/>
    <cellStyle name="20% - Accent6 3" xfId="10858" hidden="1" xr:uid="{00000000-0005-0000-0000-000033080000}"/>
    <cellStyle name="20% - Accent6 3" xfId="11384" hidden="1" xr:uid="{00000000-0005-0000-0000-000034080000}"/>
    <cellStyle name="20% - Accent6 3" xfId="11417" hidden="1" xr:uid="{00000000-0005-0000-0000-000035080000}"/>
    <cellStyle name="20% - Accent6 3" xfId="11449" hidden="1" xr:uid="{00000000-0005-0000-0000-000036080000}"/>
    <cellStyle name="20% - Accent6 3" xfId="11481" hidden="1" xr:uid="{00000000-0005-0000-0000-000037080000}"/>
    <cellStyle name="20% - Accent6 3" xfId="11514" hidden="1" xr:uid="{00000000-0005-0000-0000-000038080000}"/>
    <cellStyle name="20% - Accent6 3" xfId="11546" hidden="1" xr:uid="{00000000-0005-0000-0000-000039080000}"/>
    <cellStyle name="20% - Accent6 3" xfId="11579" hidden="1" xr:uid="{00000000-0005-0000-0000-00003A080000}"/>
    <cellStyle name="20% - Accent6 3" xfId="11611" hidden="1" xr:uid="{00000000-0005-0000-0000-00003B080000}"/>
    <cellStyle name="20% - Accent6 3" xfId="11644" hidden="1" xr:uid="{00000000-0005-0000-0000-00003C080000}"/>
    <cellStyle name="20% - Accent6 3" xfId="11677" hidden="1" xr:uid="{00000000-0005-0000-0000-00003D080000}"/>
    <cellStyle name="20% - Accent6 3" xfId="11710" hidden="1" xr:uid="{00000000-0005-0000-0000-00003E080000}"/>
    <cellStyle name="20% - Accent6 3" xfId="11743" hidden="1" xr:uid="{00000000-0005-0000-0000-00003F080000}"/>
    <cellStyle name="20% - Accent6 3" xfId="11776" hidden="1" xr:uid="{00000000-0005-0000-0000-000040080000}"/>
    <cellStyle name="20% - Accent6 3" xfId="11809" xr:uid="{00000000-0005-0000-0000-000041080000}"/>
    <cellStyle name="20% - Énfasis1" xfId="25" xr:uid="{00000000-0005-0000-0000-000042080000}"/>
    <cellStyle name="20% - Énfasis2" xfId="26" xr:uid="{00000000-0005-0000-0000-000043080000}"/>
    <cellStyle name="20% - Énfasis3" xfId="27" xr:uid="{00000000-0005-0000-0000-000044080000}"/>
    <cellStyle name="20% - Énfasis4" xfId="28" xr:uid="{00000000-0005-0000-0000-000045080000}"/>
    <cellStyle name="20% - Énfasis5" xfId="29" xr:uid="{00000000-0005-0000-0000-000046080000}"/>
    <cellStyle name="20% - Énfasis6" xfId="30" xr:uid="{00000000-0005-0000-0000-000047080000}"/>
    <cellStyle name="40% - 1. jelölőszín" xfId="31" xr:uid="{00000000-0005-0000-0000-000048080000}"/>
    <cellStyle name="40% - 1. jelölőszín 2" xfId="32" xr:uid="{00000000-0005-0000-0000-000049080000}"/>
    <cellStyle name="40% - 1. jelölőszín_20130128_ITS on reporting_Annex I_CA" xfId="33" xr:uid="{00000000-0005-0000-0000-00004A080000}"/>
    <cellStyle name="40% - 2. jelölőszín" xfId="34" xr:uid="{00000000-0005-0000-0000-00004B080000}"/>
    <cellStyle name="40% - 2. jelölőszín 2" xfId="35" xr:uid="{00000000-0005-0000-0000-00004C080000}"/>
    <cellStyle name="40% - 2. jelölőszín_20130128_ITS on reporting_Annex I_CA" xfId="36" xr:uid="{00000000-0005-0000-0000-00004D080000}"/>
    <cellStyle name="40% - 3. jelölőszín" xfId="37" xr:uid="{00000000-0005-0000-0000-00004E080000}"/>
    <cellStyle name="40% - 3. jelölőszín 2" xfId="38" xr:uid="{00000000-0005-0000-0000-00004F080000}"/>
    <cellStyle name="40% - 3. jelölőszín_20130128_ITS on reporting_Annex I_CA" xfId="39" xr:uid="{00000000-0005-0000-0000-000050080000}"/>
    <cellStyle name="40% - 4. jelölőszín" xfId="40" xr:uid="{00000000-0005-0000-0000-000051080000}"/>
    <cellStyle name="40% - 4. jelölőszín 2" xfId="41" xr:uid="{00000000-0005-0000-0000-000052080000}"/>
    <cellStyle name="40% - 4. jelölőszín_20130128_ITS on reporting_Annex I_CA" xfId="42" xr:uid="{00000000-0005-0000-0000-000053080000}"/>
    <cellStyle name="40% - 5. jelölőszín" xfId="43" xr:uid="{00000000-0005-0000-0000-000054080000}"/>
    <cellStyle name="40% - 5. jelölőszín 2" xfId="44" xr:uid="{00000000-0005-0000-0000-000055080000}"/>
    <cellStyle name="40% - 5. jelölőszín_20130128_ITS on reporting_Annex I_CA" xfId="45" xr:uid="{00000000-0005-0000-0000-000056080000}"/>
    <cellStyle name="40% - 6. jelölőszín" xfId="46" xr:uid="{00000000-0005-0000-0000-000057080000}"/>
    <cellStyle name="40% - 6. jelölőszín 2" xfId="47" xr:uid="{00000000-0005-0000-0000-000058080000}"/>
    <cellStyle name="40% - 6. jelölőszín_20130128_ITS on reporting_Annex I_CA" xfId="48" xr:uid="{00000000-0005-0000-0000-000059080000}"/>
    <cellStyle name="40% - Accent1 2" xfId="49" xr:uid="{00000000-0005-0000-0000-00005A080000}"/>
    <cellStyle name="40% - Accent1 2 2" xfId="1579" xr:uid="{00000000-0005-0000-0000-00005B080000}"/>
    <cellStyle name="40% - Accent1 2 3" xfId="2716" xr:uid="{00000000-0005-0000-0000-00005C080000}"/>
    <cellStyle name="40% - Accent1 3" xfId="215" hidden="1" xr:uid="{00000000-0005-0000-0000-00005D080000}"/>
    <cellStyle name="40% - Accent1 3" xfId="248" hidden="1" xr:uid="{00000000-0005-0000-0000-00005E080000}"/>
    <cellStyle name="40% - Accent1 3" xfId="281" hidden="1" xr:uid="{00000000-0005-0000-0000-00005F080000}"/>
    <cellStyle name="40% - Accent1 3" xfId="314" hidden="1" xr:uid="{00000000-0005-0000-0000-000060080000}"/>
    <cellStyle name="40% - Accent1 3" xfId="347" hidden="1" xr:uid="{00000000-0005-0000-0000-000061080000}"/>
    <cellStyle name="40% - Accent1 3" xfId="381" hidden="1" xr:uid="{00000000-0005-0000-0000-000062080000}"/>
    <cellStyle name="40% - Accent1 3" xfId="414" hidden="1" xr:uid="{00000000-0005-0000-0000-000063080000}"/>
    <cellStyle name="40% - Accent1 3" xfId="447" hidden="1" xr:uid="{00000000-0005-0000-0000-000064080000}"/>
    <cellStyle name="40% - Accent1 3" xfId="480" hidden="1" xr:uid="{00000000-0005-0000-0000-000065080000}"/>
    <cellStyle name="40% - Accent1 3" xfId="513" hidden="1" xr:uid="{00000000-0005-0000-0000-000066080000}"/>
    <cellStyle name="40% - Accent1 3" xfId="546" hidden="1" xr:uid="{00000000-0005-0000-0000-000067080000}"/>
    <cellStyle name="40% - Accent1 3" xfId="579" hidden="1" xr:uid="{00000000-0005-0000-0000-000068080000}"/>
    <cellStyle name="40% - Accent1 3" xfId="616" hidden="1" xr:uid="{00000000-0005-0000-0000-000069080000}"/>
    <cellStyle name="40% - Accent1 3" xfId="649" hidden="1" xr:uid="{00000000-0005-0000-0000-00006A080000}"/>
    <cellStyle name="40% - Accent1 3" xfId="681" hidden="1" xr:uid="{00000000-0005-0000-0000-00006B080000}"/>
    <cellStyle name="40% - Accent1 3" xfId="713" hidden="1" xr:uid="{00000000-0005-0000-0000-00006C080000}"/>
    <cellStyle name="40% - Accent1 3" xfId="746" hidden="1" xr:uid="{00000000-0005-0000-0000-00006D080000}"/>
    <cellStyle name="40% - Accent1 3" xfId="778" hidden="1" xr:uid="{00000000-0005-0000-0000-00006E080000}"/>
    <cellStyle name="40% - Accent1 3" xfId="811" hidden="1" xr:uid="{00000000-0005-0000-0000-00006F080000}"/>
    <cellStyle name="40% - Accent1 3" xfId="843" hidden="1" xr:uid="{00000000-0005-0000-0000-000070080000}"/>
    <cellStyle name="40% - Accent1 3" xfId="876" hidden="1" xr:uid="{00000000-0005-0000-0000-000071080000}"/>
    <cellStyle name="40% - Accent1 3" xfId="909" hidden="1" xr:uid="{00000000-0005-0000-0000-000072080000}"/>
    <cellStyle name="40% - Accent1 3" xfId="942" hidden="1" xr:uid="{00000000-0005-0000-0000-000073080000}"/>
    <cellStyle name="40% - Accent1 3" xfId="975" hidden="1" xr:uid="{00000000-0005-0000-0000-000074080000}"/>
    <cellStyle name="40% - Accent1 3" xfId="1008" hidden="1" xr:uid="{00000000-0005-0000-0000-000075080000}"/>
    <cellStyle name="40% - Accent1 3" xfId="1041" hidden="1" xr:uid="{00000000-0005-0000-0000-000076080000}"/>
    <cellStyle name="40% - Accent1 3" xfId="1084" hidden="1" xr:uid="{00000000-0005-0000-0000-000077080000}"/>
    <cellStyle name="40% - Accent1 3" xfId="1122" hidden="1" xr:uid="{00000000-0005-0000-0000-000078080000}"/>
    <cellStyle name="40% - Accent1 3" xfId="1155" hidden="1" xr:uid="{00000000-0005-0000-0000-000079080000}"/>
    <cellStyle name="40% - Accent1 3" xfId="1187" hidden="1" xr:uid="{00000000-0005-0000-0000-00007A080000}"/>
    <cellStyle name="40% - Accent1 3" xfId="1219" hidden="1" xr:uid="{00000000-0005-0000-0000-00007B080000}"/>
    <cellStyle name="40% - Accent1 3" xfId="1252" hidden="1" xr:uid="{00000000-0005-0000-0000-00007C080000}"/>
    <cellStyle name="40% - Accent1 3" xfId="1284" hidden="1" xr:uid="{00000000-0005-0000-0000-00007D080000}"/>
    <cellStyle name="40% - Accent1 3" xfId="1317" hidden="1" xr:uid="{00000000-0005-0000-0000-00007E080000}"/>
    <cellStyle name="40% - Accent1 3" xfId="1349" hidden="1" xr:uid="{00000000-0005-0000-0000-00007F080000}"/>
    <cellStyle name="40% - Accent1 3" xfId="1382" hidden="1" xr:uid="{00000000-0005-0000-0000-000080080000}"/>
    <cellStyle name="40% - Accent1 3" xfId="1415" hidden="1" xr:uid="{00000000-0005-0000-0000-000081080000}"/>
    <cellStyle name="40% - Accent1 3" xfId="1448" hidden="1" xr:uid="{00000000-0005-0000-0000-000082080000}"/>
    <cellStyle name="40% - Accent1 3" xfId="1481" hidden="1" xr:uid="{00000000-0005-0000-0000-000083080000}"/>
    <cellStyle name="40% - Accent1 3" xfId="1514" hidden="1" xr:uid="{00000000-0005-0000-0000-000084080000}"/>
    <cellStyle name="40% - Accent1 3" xfId="1547" hidden="1" xr:uid="{00000000-0005-0000-0000-000085080000}"/>
    <cellStyle name="40% - Accent1 3" xfId="1761" hidden="1" xr:uid="{00000000-0005-0000-0000-000086080000}"/>
    <cellStyle name="40% - Accent1 3" xfId="1798" hidden="1" xr:uid="{00000000-0005-0000-0000-000087080000}"/>
    <cellStyle name="40% - Accent1 3" xfId="1831" hidden="1" xr:uid="{00000000-0005-0000-0000-000088080000}"/>
    <cellStyle name="40% - Accent1 3" xfId="1863" hidden="1" xr:uid="{00000000-0005-0000-0000-000089080000}"/>
    <cellStyle name="40% - Accent1 3" xfId="1895" hidden="1" xr:uid="{00000000-0005-0000-0000-00008A080000}"/>
    <cellStyle name="40% - Accent1 3" xfId="1928" hidden="1" xr:uid="{00000000-0005-0000-0000-00008B080000}"/>
    <cellStyle name="40% - Accent1 3" xfId="1960" hidden="1" xr:uid="{00000000-0005-0000-0000-00008C080000}"/>
    <cellStyle name="40% - Accent1 3" xfId="1993" hidden="1" xr:uid="{00000000-0005-0000-0000-00008D080000}"/>
    <cellStyle name="40% - Accent1 3" xfId="2025" hidden="1" xr:uid="{00000000-0005-0000-0000-00008E080000}"/>
    <cellStyle name="40% - Accent1 3" xfId="2058" hidden="1" xr:uid="{00000000-0005-0000-0000-00008F080000}"/>
    <cellStyle name="40% - Accent1 3" xfId="2091" hidden="1" xr:uid="{00000000-0005-0000-0000-000090080000}"/>
    <cellStyle name="40% - Accent1 3" xfId="2124" hidden="1" xr:uid="{00000000-0005-0000-0000-000091080000}"/>
    <cellStyle name="40% - Accent1 3" xfId="2157" hidden="1" xr:uid="{00000000-0005-0000-0000-000092080000}"/>
    <cellStyle name="40% - Accent1 3" xfId="2190" hidden="1" xr:uid="{00000000-0005-0000-0000-000093080000}"/>
    <cellStyle name="40% - Accent1 3" xfId="2223" hidden="1" xr:uid="{00000000-0005-0000-0000-000094080000}"/>
    <cellStyle name="40% - Accent1 3" xfId="2238" hidden="1" xr:uid="{00000000-0005-0000-0000-000095080000}"/>
    <cellStyle name="40% - Accent1 3" xfId="2275" hidden="1" xr:uid="{00000000-0005-0000-0000-000096080000}"/>
    <cellStyle name="40% - Accent1 3" xfId="2308" hidden="1" xr:uid="{00000000-0005-0000-0000-000097080000}"/>
    <cellStyle name="40% - Accent1 3" xfId="2340" hidden="1" xr:uid="{00000000-0005-0000-0000-000098080000}"/>
    <cellStyle name="40% - Accent1 3" xfId="2372" hidden="1" xr:uid="{00000000-0005-0000-0000-000099080000}"/>
    <cellStyle name="40% - Accent1 3" xfId="2405" hidden="1" xr:uid="{00000000-0005-0000-0000-00009A080000}"/>
    <cellStyle name="40% - Accent1 3" xfId="2437" hidden="1" xr:uid="{00000000-0005-0000-0000-00009B080000}"/>
    <cellStyle name="40% - Accent1 3" xfId="2470" hidden="1" xr:uid="{00000000-0005-0000-0000-00009C080000}"/>
    <cellStyle name="40% - Accent1 3" xfId="2502" hidden="1" xr:uid="{00000000-0005-0000-0000-00009D080000}"/>
    <cellStyle name="40% - Accent1 3" xfId="2535" hidden="1" xr:uid="{00000000-0005-0000-0000-00009E080000}"/>
    <cellStyle name="40% - Accent1 3" xfId="2568" hidden="1" xr:uid="{00000000-0005-0000-0000-00009F080000}"/>
    <cellStyle name="40% - Accent1 3" xfId="2601" hidden="1" xr:uid="{00000000-0005-0000-0000-0000A0080000}"/>
    <cellStyle name="40% - Accent1 3" xfId="2634" hidden="1" xr:uid="{00000000-0005-0000-0000-0000A1080000}"/>
    <cellStyle name="40% - Accent1 3" xfId="2667" hidden="1" xr:uid="{00000000-0005-0000-0000-0000A2080000}"/>
    <cellStyle name="40% - Accent1 3" xfId="2700" hidden="1" xr:uid="{00000000-0005-0000-0000-0000A3080000}"/>
    <cellStyle name="40% - Accent1 3" xfId="2781" hidden="1" xr:uid="{00000000-0005-0000-0000-0000A4080000}"/>
    <cellStyle name="40% - Accent1 3" xfId="2818" hidden="1" xr:uid="{00000000-0005-0000-0000-0000A5080000}"/>
    <cellStyle name="40% - Accent1 3" xfId="2851" hidden="1" xr:uid="{00000000-0005-0000-0000-0000A6080000}"/>
    <cellStyle name="40% - Accent1 3" xfId="2883" hidden="1" xr:uid="{00000000-0005-0000-0000-0000A7080000}"/>
    <cellStyle name="40% - Accent1 3" xfId="2915" hidden="1" xr:uid="{00000000-0005-0000-0000-0000A8080000}"/>
    <cellStyle name="40% - Accent1 3" xfId="2948" hidden="1" xr:uid="{00000000-0005-0000-0000-0000A9080000}"/>
    <cellStyle name="40% - Accent1 3" xfId="2980" hidden="1" xr:uid="{00000000-0005-0000-0000-0000AA080000}"/>
    <cellStyle name="40% - Accent1 3" xfId="3013" hidden="1" xr:uid="{00000000-0005-0000-0000-0000AB080000}"/>
    <cellStyle name="40% - Accent1 3" xfId="3045" hidden="1" xr:uid="{00000000-0005-0000-0000-0000AC080000}"/>
    <cellStyle name="40% - Accent1 3" xfId="3078" hidden="1" xr:uid="{00000000-0005-0000-0000-0000AD080000}"/>
    <cellStyle name="40% - Accent1 3" xfId="3111" hidden="1" xr:uid="{00000000-0005-0000-0000-0000AE080000}"/>
    <cellStyle name="40% - Accent1 3" xfId="3144" hidden="1" xr:uid="{00000000-0005-0000-0000-0000AF080000}"/>
    <cellStyle name="40% - Accent1 3" xfId="3177" hidden="1" xr:uid="{00000000-0005-0000-0000-0000B0080000}"/>
    <cellStyle name="40% - Accent1 3" xfId="3210" hidden="1" xr:uid="{00000000-0005-0000-0000-0000B1080000}"/>
    <cellStyle name="40% - Accent1 3" xfId="3243" hidden="1" xr:uid="{00000000-0005-0000-0000-0000B2080000}"/>
    <cellStyle name="40% - Accent1 3" xfId="3294" hidden="1" xr:uid="{00000000-0005-0000-0000-0000B3080000}"/>
    <cellStyle name="40% - Accent1 3" xfId="3331" hidden="1" xr:uid="{00000000-0005-0000-0000-0000B4080000}"/>
    <cellStyle name="40% - Accent1 3" xfId="3364" hidden="1" xr:uid="{00000000-0005-0000-0000-0000B5080000}"/>
    <cellStyle name="40% - Accent1 3" xfId="3396" hidden="1" xr:uid="{00000000-0005-0000-0000-0000B6080000}"/>
    <cellStyle name="40% - Accent1 3" xfId="3428" hidden="1" xr:uid="{00000000-0005-0000-0000-0000B7080000}"/>
    <cellStyle name="40% - Accent1 3" xfId="3461" hidden="1" xr:uid="{00000000-0005-0000-0000-0000B8080000}"/>
    <cellStyle name="40% - Accent1 3" xfId="3493" hidden="1" xr:uid="{00000000-0005-0000-0000-0000B9080000}"/>
    <cellStyle name="40% - Accent1 3" xfId="3526" hidden="1" xr:uid="{00000000-0005-0000-0000-0000BA080000}"/>
    <cellStyle name="40% - Accent1 3" xfId="3558" hidden="1" xr:uid="{00000000-0005-0000-0000-0000BB080000}"/>
    <cellStyle name="40% - Accent1 3" xfId="3591" hidden="1" xr:uid="{00000000-0005-0000-0000-0000BC080000}"/>
    <cellStyle name="40% - Accent1 3" xfId="3624" hidden="1" xr:uid="{00000000-0005-0000-0000-0000BD080000}"/>
    <cellStyle name="40% - Accent1 3" xfId="3657" hidden="1" xr:uid="{00000000-0005-0000-0000-0000BE080000}"/>
    <cellStyle name="40% - Accent1 3" xfId="3690" hidden="1" xr:uid="{00000000-0005-0000-0000-0000BF080000}"/>
    <cellStyle name="40% - Accent1 3" xfId="3723" hidden="1" xr:uid="{00000000-0005-0000-0000-0000C0080000}"/>
    <cellStyle name="40% - Accent1 3" xfId="3756" hidden="1" xr:uid="{00000000-0005-0000-0000-0000C1080000}"/>
    <cellStyle name="40% - Accent1 3" xfId="3771" hidden="1" xr:uid="{00000000-0005-0000-0000-0000C2080000}"/>
    <cellStyle name="40% - Accent1 3" xfId="3808" hidden="1" xr:uid="{00000000-0005-0000-0000-0000C3080000}"/>
    <cellStyle name="40% - Accent1 3" xfId="3841" hidden="1" xr:uid="{00000000-0005-0000-0000-0000C4080000}"/>
    <cellStyle name="40% - Accent1 3" xfId="3873" hidden="1" xr:uid="{00000000-0005-0000-0000-0000C5080000}"/>
    <cellStyle name="40% - Accent1 3" xfId="3905" hidden="1" xr:uid="{00000000-0005-0000-0000-0000C6080000}"/>
    <cellStyle name="40% - Accent1 3" xfId="3938" hidden="1" xr:uid="{00000000-0005-0000-0000-0000C7080000}"/>
    <cellStyle name="40% - Accent1 3" xfId="3970" hidden="1" xr:uid="{00000000-0005-0000-0000-0000C8080000}"/>
    <cellStyle name="40% - Accent1 3" xfId="4003" hidden="1" xr:uid="{00000000-0005-0000-0000-0000C9080000}"/>
    <cellStyle name="40% - Accent1 3" xfId="4035" hidden="1" xr:uid="{00000000-0005-0000-0000-0000CA080000}"/>
    <cellStyle name="40% - Accent1 3" xfId="4068" hidden="1" xr:uid="{00000000-0005-0000-0000-0000CB080000}"/>
    <cellStyle name="40% - Accent1 3" xfId="4101" hidden="1" xr:uid="{00000000-0005-0000-0000-0000CC080000}"/>
    <cellStyle name="40% - Accent1 3" xfId="4134" hidden="1" xr:uid="{00000000-0005-0000-0000-0000CD080000}"/>
    <cellStyle name="40% - Accent1 3" xfId="4167" hidden="1" xr:uid="{00000000-0005-0000-0000-0000CE080000}"/>
    <cellStyle name="40% - Accent1 3" xfId="4200" hidden="1" xr:uid="{00000000-0005-0000-0000-0000CF080000}"/>
    <cellStyle name="40% - Accent1 3" xfId="4233" hidden="1" xr:uid="{00000000-0005-0000-0000-0000D0080000}"/>
    <cellStyle name="40% - Accent1 3" xfId="4400" hidden="1" xr:uid="{00000000-0005-0000-0000-0000D1080000}"/>
    <cellStyle name="40% - Accent1 3" xfId="4433" hidden="1" xr:uid="{00000000-0005-0000-0000-0000D2080000}"/>
    <cellStyle name="40% - Accent1 3" xfId="4466" hidden="1" xr:uid="{00000000-0005-0000-0000-0000D3080000}"/>
    <cellStyle name="40% - Accent1 3" xfId="4499" hidden="1" xr:uid="{00000000-0005-0000-0000-0000D4080000}"/>
    <cellStyle name="40% - Accent1 3" xfId="4532" hidden="1" xr:uid="{00000000-0005-0000-0000-0000D5080000}"/>
    <cellStyle name="40% - Accent1 3" xfId="4565" hidden="1" xr:uid="{00000000-0005-0000-0000-0000D6080000}"/>
    <cellStyle name="40% - Accent1 3" xfId="4598" hidden="1" xr:uid="{00000000-0005-0000-0000-0000D7080000}"/>
    <cellStyle name="40% - Accent1 3" xfId="4631" hidden="1" xr:uid="{00000000-0005-0000-0000-0000D8080000}"/>
    <cellStyle name="40% - Accent1 3" xfId="4664" hidden="1" xr:uid="{00000000-0005-0000-0000-0000D9080000}"/>
    <cellStyle name="40% - Accent1 3" xfId="4697" hidden="1" xr:uid="{00000000-0005-0000-0000-0000DA080000}"/>
    <cellStyle name="40% - Accent1 3" xfId="4730" hidden="1" xr:uid="{00000000-0005-0000-0000-0000DB080000}"/>
    <cellStyle name="40% - Accent1 3" xfId="4767" hidden="1" xr:uid="{00000000-0005-0000-0000-0000DC080000}"/>
    <cellStyle name="40% - Accent1 3" xfId="4800" hidden="1" xr:uid="{00000000-0005-0000-0000-0000DD080000}"/>
    <cellStyle name="40% - Accent1 3" xfId="4832" hidden="1" xr:uid="{00000000-0005-0000-0000-0000DE080000}"/>
    <cellStyle name="40% - Accent1 3" xfId="4864" hidden="1" xr:uid="{00000000-0005-0000-0000-0000DF080000}"/>
    <cellStyle name="40% - Accent1 3" xfId="4897" hidden="1" xr:uid="{00000000-0005-0000-0000-0000E0080000}"/>
    <cellStyle name="40% - Accent1 3" xfId="4929" hidden="1" xr:uid="{00000000-0005-0000-0000-0000E1080000}"/>
    <cellStyle name="40% - Accent1 3" xfId="4962" hidden="1" xr:uid="{00000000-0005-0000-0000-0000E2080000}"/>
    <cellStyle name="40% - Accent1 3" xfId="4994" hidden="1" xr:uid="{00000000-0005-0000-0000-0000E3080000}"/>
    <cellStyle name="40% - Accent1 3" xfId="5027" hidden="1" xr:uid="{00000000-0005-0000-0000-0000E4080000}"/>
    <cellStyle name="40% - Accent1 3" xfId="5060" hidden="1" xr:uid="{00000000-0005-0000-0000-0000E5080000}"/>
    <cellStyle name="40% - Accent1 3" xfId="5093" hidden="1" xr:uid="{00000000-0005-0000-0000-0000E6080000}"/>
    <cellStyle name="40% - Accent1 3" xfId="5126" hidden="1" xr:uid="{00000000-0005-0000-0000-0000E7080000}"/>
    <cellStyle name="40% - Accent1 3" xfId="5159" hidden="1" xr:uid="{00000000-0005-0000-0000-0000E8080000}"/>
    <cellStyle name="40% - Accent1 3" xfId="5192" hidden="1" xr:uid="{00000000-0005-0000-0000-0000E9080000}"/>
    <cellStyle name="40% - Accent1 3" xfId="5233" hidden="1" xr:uid="{00000000-0005-0000-0000-0000EA080000}"/>
    <cellStyle name="40% - Accent1 3" xfId="5270" hidden="1" xr:uid="{00000000-0005-0000-0000-0000EB080000}"/>
    <cellStyle name="40% - Accent1 3" xfId="5303" hidden="1" xr:uid="{00000000-0005-0000-0000-0000EC080000}"/>
    <cellStyle name="40% - Accent1 3" xfId="5335" hidden="1" xr:uid="{00000000-0005-0000-0000-0000ED080000}"/>
    <cellStyle name="40% - Accent1 3" xfId="5367" hidden="1" xr:uid="{00000000-0005-0000-0000-0000EE080000}"/>
    <cellStyle name="40% - Accent1 3" xfId="5400" hidden="1" xr:uid="{00000000-0005-0000-0000-0000EF080000}"/>
    <cellStyle name="40% - Accent1 3" xfId="5432" hidden="1" xr:uid="{00000000-0005-0000-0000-0000F0080000}"/>
    <cellStyle name="40% - Accent1 3" xfId="5465" hidden="1" xr:uid="{00000000-0005-0000-0000-0000F1080000}"/>
    <cellStyle name="40% - Accent1 3" xfId="5497" hidden="1" xr:uid="{00000000-0005-0000-0000-0000F2080000}"/>
    <cellStyle name="40% - Accent1 3" xfId="5530" hidden="1" xr:uid="{00000000-0005-0000-0000-0000F3080000}"/>
    <cellStyle name="40% - Accent1 3" xfId="5563" hidden="1" xr:uid="{00000000-0005-0000-0000-0000F4080000}"/>
    <cellStyle name="40% - Accent1 3" xfId="5596" hidden="1" xr:uid="{00000000-0005-0000-0000-0000F5080000}"/>
    <cellStyle name="40% - Accent1 3" xfId="5629" hidden="1" xr:uid="{00000000-0005-0000-0000-0000F6080000}"/>
    <cellStyle name="40% - Accent1 3" xfId="5662" hidden="1" xr:uid="{00000000-0005-0000-0000-0000F7080000}"/>
    <cellStyle name="40% - Accent1 3" xfId="5695" hidden="1" xr:uid="{00000000-0005-0000-0000-0000F8080000}"/>
    <cellStyle name="40% - Accent1 3" xfId="5799" hidden="1" xr:uid="{00000000-0005-0000-0000-0000F9080000}"/>
    <cellStyle name="40% - Accent1 3" xfId="5836" hidden="1" xr:uid="{00000000-0005-0000-0000-0000FA080000}"/>
    <cellStyle name="40% - Accent1 3" xfId="5869" hidden="1" xr:uid="{00000000-0005-0000-0000-0000FB080000}"/>
    <cellStyle name="40% - Accent1 3" xfId="5901" hidden="1" xr:uid="{00000000-0005-0000-0000-0000FC080000}"/>
    <cellStyle name="40% - Accent1 3" xfId="5933" hidden="1" xr:uid="{00000000-0005-0000-0000-0000FD080000}"/>
    <cellStyle name="40% - Accent1 3" xfId="5966" hidden="1" xr:uid="{00000000-0005-0000-0000-0000FE080000}"/>
    <cellStyle name="40% - Accent1 3" xfId="5998" hidden="1" xr:uid="{00000000-0005-0000-0000-0000FF080000}"/>
    <cellStyle name="40% - Accent1 3" xfId="6031" hidden="1" xr:uid="{00000000-0005-0000-0000-000000090000}"/>
    <cellStyle name="40% - Accent1 3" xfId="6063" hidden="1" xr:uid="{00000000-0005-0000-0000-000001090000}"/>
    <cellStyle name="40% - Accent1 3" xfId="6096" hidden="1" xr:uid="{00000000-0005-0000-0000-000002090000}"/>
    <cellStyle name="40% - Accent1 3" xfId="6129" hidden="1" xr:uid="{00000000-0005-0000-0000-000003090000}"/>
    <cellStyle name="40% - Accent1 3" xfId="6162" hidden="1" xr:uid="{00000000-0005-0000-0000-000004090000}"/>
    <cellStyle name="40% - Accent1 3" xfId="6195" hidden="1" xr:uid="{00000000-0005-0000-0000-000005090000}"/>
    <cellStyle name="40% - Accent1 3" xfId="6228" hidden="1" xr:uid="{00000000-0005-0000-0000-000006090000}"/>
    <cellStyle name="40% - Accent1 3" xfId="6261" hidden="1" xr:uid="{00000000-0005-0000-0000-000007090000}"/>
    <cellStyle name="40% - Accent1 3" xfId="6276" hidden="1" xr:uid="{00000000-0005-0000-0000-000008090000}"/>
    <cellStyle name="40% - Accent1 3" xfId="6313" hidden="1" xr:uid="{00000000-0005-0000-0000-000009090000}"/>
    <cellStyle name="40% - Accent1 3" xfId="6346" hidden="1" xr:uid="{00000000-0005-0000-0000-00000A090000}"/>
    <cellStyle name="40% - Accent1 3" xfId="6378" hidden="1" xr:uid="{00000000-0005-0000-0000-00000B090000}"/>
    <cellStyle name="40% - Accent1 3" xfId="6410" hidden="1" xr:uid="{00000000-0005-0000-0000-00000C090000}"/>
    <cellStyle name="40% - Accent1 3" xfId="6443" hidden="1" xr:uid="{00000000-0005-0000-0000-00000D090000}"/>
    <cellStyle name="40% - Accent1 3" xfId="6475" hidden="1" xr:uid="{00000000-0005-0000-0000-00000E090000}"/>
    <cellStyle name="40% - Accent1 3" xfId="6508" hidden="1" xr:uid="{00000000-0005-0000-0000-00000F090000}"/>
    <cellStyle name="40% - Accent1 3" xfId="6540" hidden="1" xr:uid="{00000000-0005-0000-0000-000010090000}"/>
    <cellStyle name="40% - Accent1 3" xfId="6573" hidden="1" xr:uid="{00000000-0005-0000-0000-000011090000}"/>
    <cellStyle name="40% - Accent1 3" xfId="6606" hidden="1" xr:uid="{00000000-0005-0000-0000-000012090000}"/>
    <cellStyle name="40% - Accent1 3" xfId="6639" hidden="1" xr:uid="{00000000-0005-0000-0000-000013090000}"/>
    <cellStyle name="40% - Accent1 3" xfId="6672" hidden="1" xr:uid="{00000000-0005-0000-0000-000014090000}"/>
    <cellStyle name="40% - Accent1 3" xfId="6705" hidden="1" xr:uid="{00000000-0005-0000-0000-000015090000}"/>
    <cellStyle name="40% - Accent1 3" xfId="6738" hidden="1" xr:uid="{00000000-0005-0000-0000-000016090000}"/>
    <cellStyle name="40% - Accent1 3" xfId="6795" hidden="1" xr:uid="{00000000-0005-0000-0000-000017090000}"/>
    <cellStyle name="40% - Accent1 3" xfId="6832" hidden="1" xr:uid="{00000000-0005-0000-0000-000018090000}"/>
    <cellStyle name="40% - Accent1 3" xfId="6865" hidden="1" xr:uid="{00000000-0005-0000-0000-000019090000}"/>
    <cellStyle name="40% - Accent1 3" xfId="6897" hidden="1" xr:uid="{00000000-0005-0000-0000-00001A090000}"/>
    <cellStyle name="40% - Accent1 3" xfId="6929" hidden="1" xr:uid="{00000000-0005-0000-0000-00001B090000}"/>
    <cellStyle name="40% - Accent1 3" xfId="6962" hidden="1" xr:uid="{00000000-0005-0000-0000-00001C090000}"/>
    <cellStyle name="40% - Accent1 3" xfId="6994" hidden="1" xr:uid="{00000000-0005-0000-0000-00001D090000}"/>
    <cellStyle name="40% - Accent1 3" xfId="7027" hidden="1" xr:uid="{00000000-0005-0000-0000-00001E090000}"/>
    <cellStyle name="40% - Accent1 3" xfId="7059" hidden="1" xr:uid="{00000000-0005-0000-0000-00001F090000}"/>
    <cellStyle name="40% - Accent1 3" xfId="7092" hidden="1" xr:uid="{00000000-0005-0000-0000-000020090000}"/>
    <cellStyle name="40% - Accent1 3" xfId="7125" hidden="1" xr:uid="{00000000-0005-0000-0000-000021090000}"/>
    <cellStyle name="40% - Accent1 3" xfId="7158" hidden="1" xr:uid="{00000000-0005-0000-0000-000022090000}"/>
    <cellStyle name="40% - Accent1 3" xfId="7191" hidden="1" xr:uid="{00000000-0005-0000-0000-000023090000}"/>
    <cellStyle name="40% - Accent1 3" xfId="7224" hidden="1" xr:uid="{00000000-0005-0000-0000-000024090000}"/>
    <cellStyle name="40% - Accent1 3" xfId="7257" hidden="1" xr:uid="{00000000-0005-0000-0000-000025090000}"/>
    <cellStyle name="40% - Accent1 3" xfId="7308" hidden="1" xr:uid="{00000000-0005-0000-0000-000026090000}"/>
    <cellStyle name="40% - Accent1 3" xfId="7345" hidden="1" xr:uid="{00000000-0005-0000-0000-000027090000}"/>
    <cellStyle name="40% - Accent1 3" xfId="7378" hidden="1" xr:uid="{00000000-0005-0000-0000-000028090000}"/>
    <cellStyle name="40% - Accent1 3" xfId="7410" hidden="1" xr:uid="{00000000-0005-0000-0000-000029090000}"/>
    <cellStyle name="40% - Accent1 3" xfId="7442" hidden="1" xr:uid="{00000000-0005-0000-0000-00002A090000}"/>
    <cellStyle name="40% - Accent1 3" xfId="7475" hidden="1" xr:uid="{00000000-0005-0000-0000-00002B090000}"/>
    <cellStyle name="40% - Accent1 3" xfId="7507" hidden="1" xr:uid="{00000000-0005-0000-0000-00002C090000}"/>
    <cellStyle name="40% - Accent1 3" xfId="7540" hidden="1" xr:uid="{00000000-0005-0000-0000-00002D090000}"/>
    <cellStyle name="40% - Accent1 3" xfId="7572" hidden="1" xr:uid="{00000000-0005-0000-0000-00002E090000}"/>
    <cellStyle name="40% - Accent1 3" xfId="7605" hidden="1" xr:uid="{00000000-0005-0000-0000-00002F090000}"/>
    <cellStyle name="40% - Accent1 3" xfId="7638" hidden="1" xr:uid="{00000000-0005-0000-0000-000030090000}"/>
    <cellStyle name="40% - Accent1 3" xfId="7671" hidden="1" xr:uid="{00000000-0005-0000-0000-000031090000}"/>
    <cellStyle name="40% - Accent1 3" xfId="7704" hidden="1" xr:uid="{00000000-0005-0000-0000-000032090000}"/>
    <cellStyle name="40% - Accent1 3" xfId="7737" hidden="1" xr:uid="{00000000-0005-0000-0000-000033090000}"/>
    <cellStyle name="40% - Accent1 3" xfId="7770" hidden="1" xr:uid="{00000000-0005-0000-0000-000034090000}"/>
    <cellStyle name="40% - Accent1 3" xfId="7785" hidden="1" xr:uid="{00000000-0005-0000-0000-000035090000}"/>
    <cellStyle name="40% - Accent1 3" xfId="7822" hidden="1" xr:uid="{00000000-0005-0000-0000-000036090000}"/>
    <cellStyle name="40% - Accent1 3" xfId="7855" hidden="1" xr:uid="{00000000-0005-0000-0000-000037090000}"/>
    <cellStyle name="40% - Accent1 3" xfId="7887" hidden="1" xr:uid="{00000000-0005-0000-0000-000038090000}"/>
    <cellStyle name="40% - Accent1 3" xfId="7919" hidden="1" xr:uid="{00000000-0005-0000-0000-000039090000}"/>
    <cellStyle name="40% - Accent1 3" xfId="7952" hidden="1" xr:uid="{00000000-0005-0000-0000-00003A090000}"/>
    <cellStyle name="40% - Accent1 3" xfId="7984" hidden="1" xr:uid="{00000000-0005-0000-0000-00003B090000}"/>
    <cellStyle name="40% - Accent1 3" xfId="8017" hidden="1" xr:uid="{00000000-0005-0000-0000-00003C090000}"/>
    <cellStyle name="40% - Accent1 3" xfId="8049" hidden="1" xr:uid="{00000000-0005-0000-0000-00003D090000}"/>
    <cellStyle name="40% - Accent1 3" xfId="8082" hidden="1" xr:uid="{00000000-0005-0000-0000-00003E090000}"/>
    <cellStyle name="40% - Accent1 3" xfId="8115" hidden="1" xr:uid="{00000000-0005-0000-0000-00003F090000}"/>
    <cellStyle name="40% - Accent1 3" xfId="8148" hidden="1" xr:uid="{00000000-0005-0000-0000-000040090000}"/>
    <cellStyle name="40% - Accent1 3" xfId="8181" hidden="1" xr:uid="{00000000-0005-0000-0000-000041090000}"/>
    <cellStyle name="40% - Accent1 3" xfId="8214" hidden="1" xr:uid="{00000000-0005-0000-0000-000042090000}"/>
    <cellStyle name="40% - Accent1 3" xfId="8247" hidden="1" xr:uid="{00000000-0005-0000-0000-000043090000}"/>
    <cellStyle name="40% - Accent1 3" xfId="4346" hidden="1" xr:uid="{00000000-0005-0000-0000-000044090000}"/>
    <cellStyle name="40% - Accent1 3" xfId="4331" hidden="1" xr:uid="{00000000-0005-0000-0000-000045090000}"/>
    <cellStyle name="40% - Accent1 3" xfId="4316" hidden="1" xr:uid="{00000000-0005-0000-0000-000046090000}"/>
    <cellStyle name="40% - Accent1 3" xfId="4301" hidden="1" xr:uid="{00000000-0005-0000-0000-000047090000}"/>
    <cellStyle name="40% - Accent1 3" xfId="4286" hidden="1" xr:uid="{00000000-0005-0000-0000-000048090000}"/>
    <cellStyle name="40% - Accent1 3" xfId="6750" hidden="1" xr:uid="{00000000-0005-0000-0000-000049090000}"/>
    <cellStyle name="40% - Accent1 3" xfId="8259" hidden="1" xr:uid="{00000000-0005-0000-0000-00004A090000}"/>
    <cellStyle name="40% - Accent1 3" xfId="8292" hidden="1" xr:uid="{00000000-0005-0000-0000-00004B090000}"/>
    <cellStyle name="40% - Accent1 3" xfId="8325" hidden="1" xr:uid="{00000000-0005-0000-0000-00004C090000}"/>
    <cellStyle name="40% - Accent1 3" xfId="8358" hidden="1" xr:uid="{00000000-0005-0000-0000-00004D090000}"/>
    <cellStyle name="40% - Accent1 3" xfId="8391" hidden="1" xr:uid="{00000000-0005-0000-0000-00004E090000}"/>
    <cellStyle name="40% - Accent1 3" xfId="8428" hidden="1" xr:uid="{00000000-0005-0000-0000-00004F090000}"/>
    <cellStyle name="40% - Accent1 3" xfId="8461" hidden="1" xr:uid="{00000000-0005-0000-0000-000050090000}"/>
    <cellStyle name="40% - Accent1 3" xfId="8493" hidden="1" xr:uid="{00000000-0005-0000-0000-000051090000}"/>
    <cellStyle name="40% - Accent1 3" xfId="8525" hidden="1" xr:uid="{00000000-0005-0000-0000-000052090000}"/>
    <cellStyle name="40% - Accent1 3" xfId="8558" hidden="1" xr:uid="{00000000-0005-0000-0000-000053090000}"/>
    <cellStyle name="40% - Accent1 3" xfId="8590" hidden="1" xr:uid="{00000000-0005-0000-0000-000054090000}"/>
    <cellStyle name="40% - Accent1 3" xfId="8623" hidden="1" xr:uid="{00000000-0005-0000-0000-000055090000}"/>
    <cellStyle name="40% - Accent1 3" xfId="8655" hidden="1" xr:uid="{00000000-0005-0000-0000-000056090000}"/>
    <cellStyle name="40% - Accent1 3" xfId="8688" hidden="1" xr:uid="{00000000-0005-0000-0000-000057090000}"/>
    <cellStyle name="40% - Accent1 3" xfId="8721" hidden="1" xr:uid="{00000000-0005-0000-0000-000058090000}"/>
    <cellStyle name="40% - Accent1 3" xfId="8754" hidden="1" xr:uid="{00000000-0005-0000-0000-000059090000}"/>
    <cellStyle name="40% - Accent1 3" xfId="8787" hidden="1" xr:uid="{00000000-0005-0000-0000-00005A090000}"/>
    <cellStyle name="40% - Accent1 3" xfId="8820" hidden="1" xr:uid="{00000000-0005-0000-0000-00005B090000}"/>
    <cellStyle name="40% - Accent1 3" xfId="8853" hidden="1" xr:uid="{00000000-0005-0000-0000-00005C090000}"/>
    <cellStyle name="40% - Accent1 3" xfId="8893" hidden="1" xr:uid="{00000000-0005-0000-0000-00005D090000}"/>
    <cellStyle name="40% - Accent1 3" xfId="8930" hidden="1" xr:uid="{00000000-0005-0000-0000-00005E090000}"/>
    <cellStyle name="40% - Accent1 3" xfId="8963" hidden="1" xr:uid="{00000000-0005-0000-0000-00005F090000}"/>
    <cellStyle name="40% - Accent1 3" xfId="8995" hidden="1" xr:uid="{00000000-0005-0000-0000-000060090000}"/>
    <cellStyle name="40% - Accent1 3" xfId="9027" hidden="1" xr:uid="{00000000-0005-0000-0000-000061090000}"/>
    <cellStyle name="40% - Accent1 3" xfId="9060" hidden="1" xr:uid="{00000000-0005-0000-0000-000062090000}"/>
    <cellStyle name="40% - Accent1 3" xfId="9092" hidden="1" xr:uid="{00000000-0005-0000-0000-000063090000}"/>
    <cellStyle name="40% - Accent1 3" xfId="9125" hidden="1" xr:uid="{00000000-0005-0000-0000-000064090000}"/>
    <cellStyle name="40% - Accent1 3" xfId="9157" hidden="1" xr:uid="{00000000-0005-0000-0000-000065090000}"/>
    <cellStyle name="40% - Accent1 3" xfId="9190" hidden="1" xr:uid="{00000000-0005-0000-0000-000066090000}"/>
    <cellStyle name="40% - Accent1 3" xfId="9223" hidden="1" xr:uid="{00000000-0005-0000-0000-000067090000}"/>
    <cellStyle name="40% - Accent1 3" xfId="9256" hidden="1" xr:uid="{00000000-0005-0000-0000-000068090000}"/>
    <cellStyle name="40% - Accent1 3" xfId="9289" hidden="1" xr:uid="{00000000-0005-0000-0000-000069090000}"/>
    <cellStyle name="40% - Accent1 3" xfId="9322" hidden="1" xr:uid="{00000000-0005-0000-0000-00006A090000}"/>
    <cellStyle name="40% - Accent1 3" xfId="9355" hidden="1" xr:uid="{00000000-0005-0000-0000-00006B090000}"/>
    <cellStyle name="40% - Accent1 3" xfId="9406" hidden="1" xr:uid="{00000000-0005-0000-0000-00006C090000}"/>
    <cellStyle name="40% - Accent1 3" xfId="9443" hidden="1" xr:uid="{00000000-0005-0000-0000-00006D090000}"/>
    <cellStyle name="40% - Accent1 3" xfId="9476" hidden="1" xr:uid="{00000000-0005-0000-0000-00006E090000}"/>
    <cellStyle name="40% - Accent1 3" xfId="9508" hidden="1" xr:uid="{00000000-0005-0000-0000-00006F090000}"/>
    <cellStyle name="40% - Accent1 3" xfId="9540" hidden="1" xr:uid="{00000000-0005-0000-0000-000070090000}"/>
    <cellStyle name="40% - Accent1 3" xfId="9573" hidden="1" xr:uid="{00000000-0005-0000-0000-000071090000}"/>
    <cellStyle name="40% - Accent1 3" xfId="9605" hidden="1" xr:uid="{00000000-0005-0000-0000-000072090000}"/>
    <cellStyle name="40% - Accent1 3" xfId="9638" hidden="1" xr:uid="{00000000-0005-0000-0000-000073090000}"/>
    <cellStyle name="40% - Accent1 3" xfId="9670" hidden="1" xr:uid="{00000000-0005-0000-0000-000074090000}"/>
    <cellStyle name="40% - Accent1 3" xfId="9703" hidden="1" xr:uid="{00000000-0005-0000-0000-000075090000}"/>
    <cellStyle name="40% - Accent1 3" xfId="9736" hidden="1" xr:uid="{00000000-0005-0000-0000-000076090000}"/>
    <cellStyle name="40% - Accent1 3" xfId="9769" hidden="1" xr:uid="{00000000-0005-0000-0000-000077090000}"/>
    <cellStyle name="40% - Accent1 3" xfId="9802" hidden="1" xr:uid="{00000000-0005-0000-0000-000078090000}"/>
    <cellStyle name="40% - Accent1 3" xfId="9835" hidden="1" xr:uid="{00000000-0005-0000-0000-000079090000}"/>
    <cellStyle name="40% - Accent1 3" xfId="9868" hidden="1" xr:uid="{00000000-0005-0000-0000-00007A090000}"/>
    <cellStyle name="40% - Accent1 3" xfId="9883" hidden="1" xr:uid="{00000000-0005-0000-0000-00007B090000}"/>
    <cellStyle name="40% - Accent1 3" xfId="9920" hidden="1" xr:uid="{00000000-0005-0000-0000-00007C090000}"/>
    <cellStyle name="40% - Accent1 3" xfId="9953" hidden="1" xr:uid="{00000000-0005-0000-0000-00007D090000}"/>
    <cellStyle name="40% - Accent1 3" xfId="9985" hidden="1" xr:uid="{00000000-0005-0000-0000-00007E090000}"/>
    <cellStyle name="40% - Accent1 3" xfId="10017" hidden="1" xr:uid="{00000000-0005-0000-0000-00007F090000}"/>
    <cellStyle name="40% - Accent1 3" xfId="10050" hidden="1" xr:uid="{00000000-0005-0000-0000-000080090000}"/>
    <cellStyle name="40% - Accent1 3" xfId="10082" hidden="1" xr:uid="{00000000-0005-0000-0000-000081090000}"/>
    <cellStyle name="40% - Accent1 3" xfId="10115" hidden="1" xr:uid="{00000000-0005-0000-0000-000082090000}"/>
    <cellStyle name="40% - Accent1 3" xfId="10147" hidden="1" xr:uid="{00000000-0005-0000-0000-000083090000}"/>
    <cellStyle name="40% - Accent1 3" xfId="10180" hidden="1" xr:uid="{00000000-0005-0000-0000-000084090000}"/>
    <cellStyle name="40% - Accent1 3" xfId="10213" hidden="1" xr:uid="{00000000-0005-0000-0000-000085090000}"/>
    <cellStyle name="40% - Accent1 3" xfId="10246" hidden="1" xr:uid="{00000000-0005-0000-0000-000086090000}"/>
    <cellStyle name="40% - Accent1 3" xfId="10279" hidden="1" xr:uid="{00000000-0005-0000-0000-000087090000}"/>
    <cellStyle name="40% - Accent1 3" xfId="10312" hidden="1" xr:uid="{00000000-0005-0000-0000-000088090000}"/>
    <cellStyle name="40% - Accent1 3" xfId="10345" hidden="1" xr:uid="{00000000-0005-0000-0000-000089090000}"/>
    <cellStyle name="40% - Accent1 3" xfId="10371" hidden="1" xr:uid="{00000000-0005-0000-0000-00008A090000}"/>
    <cellStyle name="40% - Accent1 3" xfId="10408" hidden="1" xr:uid="{00000000-0005-0000-0000-00008B090000}"/>
    <cellStyle name="40% - Accent1 3" xfId="10441" hidden="1" xr:uid="{00000000-0005-0000-0000-00008C090000}"/>
    <cellStyle name="40% - Accent1 3" xfId="10473" hidden="1" xr:uid="{00000000-0005-0000-0000-00008D090000}"/>
    <cellStyle name="40% - Accent1 3" xfId="10505" hidden="1" xr:uid="{00000000-0005-0000-0000-00008E090000}"/>
    <cellStyle name="40% - Accent1 3" xfId="10538" hidden="1" xr:uid="{00000000-0005-0000-0000-00008F090000}"/>
    <cellStyle name="40% - Accent1 3" xfId="10570" hidden="1" xr:uid="{00000000-0005-0000-0000-000090090000}"/>
    <cellStyle name="40% - Accent1 3" xfId="10603" hidden="1" xr:uid="{00000000-0005-0000-0000-000091090000}"/>
    <cellStyle name="40% - Accent1 3" xfId="10635" hidden="1" xr:uid="{00000000-0005-0000-0000-000092090000}"/>
    <cellStyle name="40% - Accent1 3" xfId="10668" hidden="1" xr:uid="{00000000-0005-0000-0000-000093090000}"/>
    <cellStyle name="40% - Accent1 3" xfId="10701" hidden="1" xr:uid="{00000000-0005-0000-0000-000094090000}"/>
    <cellStyle name="40% - Accent1 3" xfId="10734" hidden="1" xr:uid="{00000000-0005-0000-0000-000095090000}"/>
    <cellStyle name="40% - Accent1 3" xfId="10767" hidden="1" xr:uid="{00000000-0005-0000-0000-000096090000}"/>
    <cellStyle name="40% - Accent1 3" xfId="10800" hidden="1" xr:uid="{00000000-0005-0000-0000-000097090000}"/>
    <cellStyle name="40% - Accent1 3" xfId="10833" hidden="1" xr:uid="{00000000-0005-0000-0000-000098090000}"/>
    <cellStyle name="40% - Accent1 3" xfId="10884" hidden="1" xr:uid="{00000000-0005-0000-0000-000099090000}"/>
    <cellStyle name="40% - Accent1 3" xfId="10921" hidden="1" xr:uid="{00000000-0005-0000-0000-00009A090000}"/>
    <cellStyle name="40% - Accent1 3" xfId="10954" hidden="1" xr:uid="{00000000-0005-0000-0000-00009B090000}"/>
    <cellStyle name="40% - Accent1 3" xfId="10986" hidden="1" xr:uid="{00000000-0005-0000-0000-00009C090000}"/>
    <cellStyle name="40% - Accent1 3" xfId="11018" hidden="1" xr:uid="{00000000-0005-0000-0000-00009D090000}"/>
    <cellStyle name="40% - Accent1 3" xfId="11051" hidden="1" xr:uid="{00000000-0005-0000-0000-00009E090000}"/>
    <cellStyle name="40% - Accent1 3" xfId="11083" hidden="1" xr:uid="{00000000-0005-0000-0000-00009F090000}"/>
    <cellStyle name="40% - Accent1 3" xfId="11116" hidden="1" xr:uid="{00000000-0005-0000-0000-0000A0090000}"/>
    <cellStyle name="40% - Accent1 3" xfId="11148" hidden="1" xr:uid="{00000000-0005-0000-0000-0000A1090000}"/>
    <cellStyle name="40% - Accent1 3" xfId="11181" hidden="1" xr:uid="{00000000-0005-0000-0000-0000A2090000}"/>
    <cellStyle name="40% - Accent1 3" xfId="11214" hidden="1" xr:uid="{00000000-0005-0000-0000-0000A3090000}"/>
    <cellStyle name="40% - Accent1 3" xfId="11247" hidden="1" xr:uid="{00000000-0005-0000-0000-0000A4090000}"/>
    <cellStyle name="40% - Accent1 3" xfId="11280" hidden="1" xr:uid="{00000000-0005-0000-0000-0000A5090000}"/>
    <cellStyle name="40% - Accent1 3" xfId="11313" hidden="1" xr:uid="{00000000-0005-0000-0000-0000A6090000}"/>
    <cellStyle name="40% - Accent1 3" xfId="11346" hidden="1" xr:uid="{00000000-0005-0000-0000-0000A7090000}"/>
    <cellStyle name="40% - Accent1 3" xfId="11361" hidden="1" xr:uid="{00000000-0005-0000-0000-0000A8090000}"/>
    <cellStyle name="40% - Accent1 3" xfId="11398" hidden="1" xr:uid="{00000000-0005-0000-0000-0000A9090000}"/>
    <cellStyle name="40% - Accent1 3" xfId="11431" hidden="1" xr:uid="{00000000-0005-0000-0000-0000AA090000}"/>
    <cellStyle name="40% - Accent1 3" xfId="11463" hidden="1" xr:uid="{00000000-0005-0000-0000-0000AB090000}"/>
    <cellStyle name="40% - Accent1 3" xfId="11495" hidden="1" xr:uid="{00000000-0005-0000-0000-0000AC090000}"/>
    <cellStyle name="40% - Accent1 3" xfId="11528" hidden="1" xr:uid="{00000000-0005-0000-0000-0000AD090000}"/>
    <cellStyle name="40% - Accent1 3" xfId="11560" hidden="1" xr:uid="{00000000-0005-0000-0000-0000AE090000}"/>
    <cellStyle name="40% - Accent1 3" xfId="11593" hidden="1" xr:uid="{00000000-0005-0000-0000-0000AF090000}"/>
    <cellStyle name="40% - Accent1 3" xfId="11625" hidden="1" xr:uid="{00000000-0005-0000-0000-0000B0090000}"/>
    <cellStyle name="40% - Accent1 3" xfId="11658" hidden="1" xr:uid="{00000000-0005-0000-0000-0000B1090000}"/>
    <cellStyle name="40% - Accent1 3" xfId="11691" hidden="1" xr:uid="{00000000-0005-0000-0000-0000B2090000}"/>
    <cellStyle name="40% - Accent1 3" xfId="11724" hidden="1" xr:uid="{00000000-0005-0000-0000-0000B3090000}"/>
    <cellStyle name="40% - Accent1 3" xfId="11757" hidden="1" xr:uid="{00000000-0005-0000-0000-0000B4090000}"/>
    <cellStyle name="40% - Accent1 3" xfId="11790" hidden="1" xr:uid="{00000000-0005-0000-0000-0000B5090000}"/>
    <cellStyle name="40% - Accent1 3" xfId="11823" xr:uid="{00000000-0005-0000-0000-0000B6090000}"/>
    <cellStyle name="40% - Accent2 2" xfId="50" xr:uid="{00000000-0005-0000-0000-0000B7090000}"/>
    <cellStyle name="40% - Accent2 2 2" xfId="1580" xr:uid="{00000000-0005-0000-0000-0000B8090000}"/>
    <cellStyle name="40% - Accent2 2 3" xfId="2717" xr:uid="{00000000-0005-0000-0000-0000B9090000}"/>
    <cellStyle name="40% - Accent2 3" xfId="218" hidden="1" xr:uid="{00000000-0005-0000-0000-0000BA090000}"/>
    <cellStyle name="40% - Accent2 3" xfId="245" hidden="1" xr:uid="{00000000-0005-0000-0000-0000BB090000}"/>
    <cellStyle name="40% - Accent2 3" xfId="278" hidden="1" xr:uid="{00000000-0005-0000-0000-0000BC090000}"/>
    <cellStyle name="40% - Accent2 3" xfId="311" hidden="1" xr:uid="{00000000-0005-0000-0000-0000BD090000}"/>
    <cellStyle name="40% - Accent2 3" xfId="344" hidden="1" xr:uid="{00000000-0005-0000-0000-0000BE090000}"/>
    <cellStyle name="40% - Accent2 3" xfId="378" hidden="1" xr:uid="{00000000-0005-0000-0000-0000BF090000}"/>
    <cellStyle name="40% - Accent2 3" xfId="411" hidden="1" xr:uid="{00000000-0005-0000-0000-0000C0090000}"/>
    <cellStyle name="40% - Accent2 3" xfId="444" hidden="1" xr:uid="{00000000-0005-0000-0000-0000C1090000}"/>
    <cellStyle name="40% - Accent2 3" xfId="477" hidden="1" xr:uid="{00000000-0005-0000-0000-0000C2090000}"/>
    <cellStyle name="40% - Accent2 3" xfId="510" hidden="1" xr:uid="{00000000-0005-0000-0000-0000C3090000}"/>
    <cellStyle name="40% - Accent2 3" xfId="543" hidden="1" xr:uid="{00000000-0005-0000-0000-0000C4090000}"/>
    <cellStyle name="40% - Accent2 3" xfId="576" hidden="1" xr:uid="{00000000-0005-0000-0000-0000C5090000}"/>
    <cellStyle name="40% - Accent2 3" xfId="613" hidden="1" xr:uid="{00000000-0005-0000-0000-0000C6090000}"/>
    <cellStyle name="40% - Accent2 3" xfId="646" hidden="1" xr:uid="{00000000-0005-0000-0000-0000C7090000}"/>
    <cellStyle name="40% - Accent2 3" xfId="678" hidden="1" xr:uid="{00000000-0005-0000-0000-0000C8090000}"/>
    <cellStyle name="40% - Accent2 3" xfId="710" hidden="1" xr:uid="{00000000-0005-0000-0000-0000C9090000}"/>
    <cellStyle name="40% - Accent2 3" xfId="743" hidden="1" xr:uid="{00000000-0005-0000-0000-0000CA090000}"/>
    <cellStyle name="40% - Accent2 3" xfId="775" hidden="1" xr:uid="{00000000-0005-0000-0000-0000CB090000}"/>
    <cellStyle name="40% - Accent2 3" xfId="808" hidden="1" xr:uid="{00000000-0005-0000-0000-0000CC090000}"/>
    <cellStyle name="40% - Accent2 3" xfId="840" hidden="1" xr:uid="{00000000-0005-0000-0000-0000CD090000}"/>
    <cellStyle name="40% - Accent2 3" xfId="873" hidden="1" xr:uid="{00000000-0005-0000-0000-0000CE090000}"/>
    <cellStyle name="40% - Accent2 3" xfId="906" hidden="1" xr:uid="{00000000-0005-0000-0000-0000CF090000}"/>
    <cellStyle name="40% - Accent2 3" xfId="939" hidden="1" xr:uid="{00000000-0005-0000-0000-0000D0090000}"/>
    <cellStyle name="40% - Accent2 3" xfId="972" hidden="1" xr:uid="{00000000-0005-0000-0000-0000D1090000}"/>
    <cellStyle name="40% - Accent2 3" xfId="1005" hidden="1" xr:uid="{00000000-0005-0000-0000-0000D2090000}"/>
    <cellStyle name="40% - Accent2 3" xfId="1038" hidden="1" xr:uid="{00000000-0005-0000-0000-0000D3090000}"/>
    <cellStyle name="40% - Accent2 3" xfId="1081" hidden="1" xr:uid="{00000000-0005-0000-0000-0000D4090000}"/>
    <cellStyle name="40% - Accent2 3" xfId="1119" hidden="1" xr:uid="{00000000-0005-0000-0000-0000D5090000}"/>
    <cellStyle name="40% - Accent2 3" xfId="1152" hidden="1" xr:uid="{00000000-0005-0000-0000-0000D6090000}"/>
    <cellStyle name="40% - Accent2 3" xfId="1184" hidden="1" xr:uid="{00000000-0005-0000-0000-0000D7090000}"/>
    <cellStyle name="40% - Accent2 3" xfId="1216" hidden="1" xr:uid="{00000000-0005-0000-0000-0000D8090000}"/>
    <cellStyle name="40% - Accent2 3" xfId="1249" hidden="1" xr:uid="{00000000-0005-0000-0000-0000D9090000}"/>
    <cellStyle name="40% - Accent2 3" xfId="1281" hidden="1" xr:uid="{00000000-0005-0000-0000-0000DA090000}"/>
    <cellStyle name="40% - Accent2 3" xfId="1314" hidden="1" xr:uid="{00000000-0005-0000-0000-0000DB090000}"/>
    <cellStyle name="40% - Accent2 3" xfId="1346" hidden="1" xr:uid="{00000000-0005-0000-0000-0000DC090000}"/>
    <cellStyle name="40% - Accent2 3" xfId="1379" hidden="1" xr:uid="{00000000-0005-0000-0000-0000DD090000}"/>
    <cellStyle name="40% - Accent2 3" xfId="1412" hidden="1" xr:uid="{00000000-0005-0000-0000-0000DE090000}"/>
    <cellStyle name="40% - Accent2 3" xfId="1445" hidden="1" xr:uid="{00000000-0005-0000-0000-0000DF090000}"/>
    <cellStyle name="40% - Accent2 3" xfId="1478" hidden="1" xr:uid="{00000000-0005-0000-0000-0000E0090000}"/>
    <cellStyle name="40% - Accent2 3" xfId="1511" hidden="1" xr:uid="{00000000-0005-0000-0000-0000E1090000}"/>
    <cellStyle name="40% - Accent2 3" xfId="1544" hidden="1" xr:uid="{00000000-0005-0000-0000-0000E2090000}"/>
    <cellStyle name="40% - Accent2 3" xfId="1758" hidden="1" xr:uid="{00000000-0005-0000-0000-0000E3090000}"/>
    <cellStyle name="40% - Accent2 3" xfId="1795" hidden="1" xr:uid="{00000000-0005-0000-0000-0000E4090000}"/>
    <cellStyle name="40% - Accent2 3" xfId="1828" hidden="1" xr:uid="{00000000-0005-0000-0000-0000E5090000}"/>
    <cellStyle name="40% - Accent2 3" xfId="1860" hidden="1" xr:uid="{00000000-0005-0000-0000-0000E6090000}"/>
    <cellStyle name="40% - Accent2 3" xfId="1892" hidden="1" xr:uid="{00000000-0005-0000-0000-0000E7090000}"/>
    <cellStyle name="40% - Accent2 3" xfId="1925" hidden="1" xr:uid="{00000000-0005-0000-0000-0000E8090000}"/>
    <cellStyle name="40% - Accent2 3" xfId="1957" hidden="1" xr:uid="{00000000-0005-0000-0000-0000E9090000}"/>
    <cellStyle name="40% - Accent2 3" xfId="1990" hidden="1" xr:uid="{00000000-0005-0000-0000-0000EA090000}"/>
    <cellStyle name="40% - Accent2 3" xfId="2022" hidden="1" xr:uid="{00000000-0005-0000-0000-0000EB090000}"/>
    <cellStyle name="40% - Accent2 3" xfId="2055" hidden="1" xr:uid="{00000000-0005-0000-0000-0000EC090000}"/>
    <cellStyle name="40% - Accent2 3" xfId="2088" hidden="1" xr:uid="{00000000-0005-0000-0000-0000ED090000}"/>
    <cellStyle name="40% - Accent2 3" xfId="2121" hidden="1" xr:uid="{00000000-0005-0000-0000-0000EE090000}"/>
    <cellStyle name="40% - Accent2 3" xfId="2154" hidden="1" xr:uid="{00000000-0005-0000-0000-0000EF090000}"/>
    <cellStyle name="40% - Accent2 3" xfId="2187" hidden="1" xr:uid="{00000000-0005-0000-0000-0000F0090000}"/>
    <cellStyle name="40% - Accent2 3" xfId="2220" hidden="1" xr:uid="{00000000-0005-0000-0000-0000F1090000}"/>
    <cellStyle name="40% - Accent2 3" xfId="2235" hidden="1" xr:uid="{00000000-0005-0000-0000-0000F2090000}"/>
    <cellStyle name="40% - Accent2 3" xfId="2272" hidden="1" xr:uid="{00000000-0005-0000-0000-0000F3090000}"/>
    <cellStyle name="40% - Accent2 3" xfId="2305" hidden="1" xr:uid="{00000000-0005-0000-0000-0000F4090000}"/>
    <cellStyle name="40% - Accent2 3" xfId="2337" hidden="1" xr:uid="{00000000-0005-0000-0000-0000F5090000}"/>
    <cellStyle name="40% - Accent2 3" xfId="2369" hidden="1" xr:uid="{00000000-0005-0000-0000-0000F6090000}"/>
    <cellStyle name="40% - Accent2 3" xfId="2402" hidden="1" xr:uid="{00000000-0005-0000-0000-0000F7090000}"/>
    <cellStyle name="40% - Accent2 3" xfId="2434" hidden="1" xr:uid="{00000000-0005-0000-0000-0000F8090000}"/>
    <cellStyle name="40% - Accent2 3" xfId="2467" hidden="1" xr:uid="{00000000-0005-0000-0000-0000F9090000}"/>
    <cellStyle name="40% - Accent2 3" xfId="2499" hidden="1" xr:uid="{00000000-0005-0000-0000-0000FA090000}"/>
    <cellStyle name="40% - Accent2 3" xfId="2532" hidden="1" xr:uid="{00000000-0005-0000-0000-0000FB090000}"/>
    <cellStyle name="40% - Accent2 3" xfId="2565" hidden="1" xr:uid="{00000000-0005-0000-0000-0000FC090000}"/>
    <cellStyle name="40% - Accent2 3" xfId="2598" hidden="1" xr:uid="{00000000-0005-0000-0000-0000FD090000}"/>
    <cellStyle name="40% - Accent2 3" xfId="2631" hidden="1" xr:uid="{00000000-0005-0000-0000-0000FE090000}"/>
    <cellStyle name="40% - Accent2 3" xfId="2664" hidden="1" xr:uid="{00000000-0005-0000-0000-0000FF090000}"/>
    <cellStyle name="40% - Accent2 3" xfId="2697" hidden="1" xr:uid="{00000000-0005-0000-0000-0000000A0000}"/>
    <cellStyle name="40% - Accent2 3" xfId="2778" hidden="1" xr:uid="{00000000-0005-0000-0000-0000010A0000}"/>
    <cellStyle name="40% - Accent2 3" xfId="2815" hidden="1" xr:uid="{00000000-0005-0000-0000-0000020A0000}"/>
    <cellStyle name="40% - Accent2 3" xfId="2848" hidden="1" xr:uid="{00000000-0005-0000-0000-0000030A0000}"/>
    <cellStyle name="40% - Accent2 3" xfId="2880" hidden="1" xr:uid="{00000000-0005-0000-0000-0000040A0000}"/>
    <cellStyle name="40% - Accent2 3" xfId="2912" hidden="1" xr:uid="{00000000-0005-0000-0000-0000050A0000}"/>
    <cellStyle name="40% - Accent2 3" xfId="2945" hidden="1" xr:uid="{00000000-0005-0000-0000-0000060A0000}"/>
    <cellStyle name="40% - Accent2 3" xfId="2977" hidden="1" xr:uid="{00000000-0005-0000-0000-0000070A0000}"/>
    <cellStyle name="40% - Accent2 3" xfId="3010" hidden="1" xr:uid="{00000000-0005-0000-0000-0000080A0000}"/>
    <cellStyle name="40% - Accent2 3" xfId="3042" hidden="1" xr:uid="{00000000-0005-0000-0000-0000090A0000}"/>
    <cellStyle name="40% - Accent2 3" xfId="3075" hidden="1" xr:uid="{00000000-0005-0000-0000-00000A0A0000}"/>
    <cellStyle name="40% - Accent2 3" xfId="3108" hidden="1" xr:uid="{00000000-0005-0000-0000-00000B0A0000}"/>
    <cellStyle name="40% - Accent2 3" xfId="3141" hidden="1" xr:uid="{00000000-0005-0000-0000-00000C0A0000}"/>
    <cellStyle name="40% - Accent2 3" xfId="3174" hidden="1" xr:uid="{00000000-0005-0000-0000-00000D0A0000}"/>
    <cellStyle name="40% - Accent2 3" xfId="3207" hidden="1" xr:uid="{00000000-0005-0000-0000-00000E0A0000}"/>
    <cellStyle name="40% - Accent2 3" xfId="3240" hidden="1" xr:uid="{00000000-0005-0000-0000-00000F0A0000}"/>
    <cellStyle name="40% - Accent2 3" xfId="3291" hidden="1" xr:uid="{00000000-0005-0000-0000-0000100A0000}"/>
    <cellStyle name="40% - Accent2 3" xfId="3328" hidden="1" xr:uid="{00000000-0005-0000-0000-0000110A0000}"/>
    <cellStyle name="40% - Accent2 3" xfId="3361" hidden="1" xr:uid="{00000000-0005-0000-0000-0000120A0000}"/>
    <cellStyle name="40% - Accent2 3" xfId="3393" hidden="1" xr:uid="{00000000-0005-0000-0000-0000130A0000}"/>
    <cellStyle name="40% - Accent2 3" xfId="3425" hidden="1" xr:uid="{00000000-0005-0000-0000-0000140A0000}"/>
    <cellStyle name="40% - Accent2 3" xfId="3458" hidden="1" xr:uid="{00000000-0005-0000-0000-0000150A0000}"/>
    <cellStyle name="40% - Accent2 3" xfId="3490" hidden="1" xr:uid="{00000000-0005-0000-0000-0000160A0000}"/>
    <cellStyle name="40% - Accent2 3" xfId="3523" hidden="1" xr:uid="{00000000-0005-0000-0000-0000170A0000}"/>
    <cellStyle name="40% - Accent2 3" xfId="3555" hidden="1" xr:uid="{00000000-0005-0000-0000-0000180A0000}"/>
    <cellStyle name="40% - Accent2 3" xfId="3588" hidden="1" xr:uid="{00000000-0005-0000-0000-0000190A0000}"/>
    <cellStyle name="40% - Accent2 3" xfId="3621" hidden="1" xr:uid="{00000000-0005-0000-0000-00001A0A0000}"/>
    <cellStyle name="40% - Accent2 3" xfId="3654" hidden="1" xr:uid="{00000000-0005-0000-0000-00001B0A0000}"/>
    <cellStyle name="40% - Accent2 3" xfId="3687" hidden="1" xr:uid="{00000000-0005-0000-0000-00001C0A0000}"/>
    <cellStyle name="40% - Accent2 3" xfId="3720" hidden="1" xr:uid="{00000000-0005-0000-0000-00001D0A0000}"/>
    <cellStyle name="40% - Accent2 3" xfId="3753" hidden="1" xr:uid="{00000000-0005-0000-0000-00001E0A0000}"/>
    <cellStyle name="40% - Accent2 3" xfId="3768" hidden="1" xr:uid="{00000000-0005-0000-0000-00001F0A0000}"/>
    <cellStyle name="40% - Accent2 3" xfId="3805" hidden="1" xr:uid="{00000000-0005-0000-0000-0000200A0000}"/>
    <cellStyle name="40% - Accent2 3" xfId="3838" hidden="1" xr:uid="{00000000-0005-0000-0000-0000210A0000}"/>
    <cellStyle name="40% - Accent2 3" xfId="3870" hidden="1" xr:uid="{00000000-0005-0000-0000-0000220A0000}"/>
    <cellStyle name="40% - Accent2 3" xfId="3902" hidden="1" xr:uid="{00000000-0005-0000-0000-0000230A0000}"/>
    <cellStyle name="40% - Accent2 3" xfId="3935" hidden="1" xr:uid="{00000000-0005-0000-0000-0000240A0000}"/>
    <cellStyle name="40% - Accent2 3" xfId="3967" hidden="1" xr:uid="{00000000-0005-0000-0000-0000250A0000}"/>
    <cellStyle name="40% - Accent2 3" xfId="4000" hidden="1" xr:uid="{00000000-0005-0000-0000-0000260A0000}"/>
    <cellStyle name="40% - Accent2 3" xfId="4032" hidden="1" xr:uid="{00000000-0005-0000-0000-0000270A0000}"/>
    <cellStyle name="40% - Accent2 3" xfId="4065" hidden="1" xr:uid="{00000000-0005-0000-0000-0000280A0000}"/>
    <cellStyle name="40% - Accent2 3" xfId="4098" hidden="1" xr:uid="{00000000-0005-0000-0000-0000290A0000}"/>
    <cellStyle name="40% - Accent2 3" xfId="4131" hidden="1" xr:uid="{00000000-0005-0000-0000-00002A0A0000}"/>
    <cellStyle name="40% - Accent2 3" xfId="4164" hidden="1" xr:uid="{00000000-0005-0000-0000-00002B0A0000}"/>
    <cellStyle name="40% - Accent2 3" xfId="4197" hidden="1" xr:uid="{00000000-0005-0000-0000-00002C0A0000}"/>
    <cellStyle name="40% - Accent2 3" xfId="4230" hidden="1" xr:uid="{00000000-0005-0000-0000-00002D0A0000}"/>
    <cellStyle name="40% - Accent2 3" xfId="4397" hidden="1" xr:uid="{00000000-0005-0000-0000-00002E0A0000}"/>
    <cellStyle name="40% - Accent2 3" xfId="4430" hidden="1" xr:uid="{00000000-0005-0000-0000-00002F0A0000}"/>
    <cellStyle name="40% - Accent2 3" xfId="4463" hidden="1" xr:uid="{00000000-0005-0000-0000-0000300A0000}"/>
    <cellStyle name="40% - Accent2 3" xfId="4496" hidden="1" xr:uid="{00000000-0005-0000-0000-0000310A0000}"/>
    <cellStyle name="40% - Accent2 3" xfId="4529" hidden="1" xr:uid="{00000000-0005-0000-0000-0000320A0000}"/>
    <cellStyle name="40% - Accent2 3" xfId="4562" hidden="1" xr:uid="{00000000-0005-0000-0000-0000330A0000}"/>
    <cellStyle name="40% - Accent2 3" xfId="4595" hidden="1" xr:uid="{00000000-0005-0000-0000-0000340A0000}"/>
    <cellStyle name="40% - Accent2 3" xfId="4628" hidden="1" xr:uid="{00000000-0005-0000-0000-0000350A0000}"/>
    <cellStyle name="40% - Accent2 3" xfId="4661" hidden="1" xr:uid="{00000000-0005-0000-0000-0000360A0000}"/>
    <cellStyle name="40% - Accent2 3" xfId="4694" hidden="1" xr:uid="{00000000-0005-0000-0000-0000370A0000}"/>
    <cellStyle name="40% - Accent2 3" xfId="4727" hidden="1" xr:uid="{00000000-0005-0000-0000-0000380A0000}"/>
    <cellStyle name="40% - Accent2 3" xfId="4764" hidden="1" xr:uid="{00000000-0005-0000-0000-0000390A0000}"/>
    <cellStyle name="40% - Accent2 3" xfId="4797" hidden="1" xr:uid="{00000000-0005-0000-0000-00003A0A0000}"/>
    <cellStyle name="40% - Accent2 3" xfId="4829" hidden="1" xr:uid="{00000000-0005-0000-0000-00003B0A0000}"/>
    <cellStyle name="40% - Accent2 3" xfId="4861" hidden="1" xr:uid="{00000000-0005-0000-0000-00003C0A0000}"/>
    <cellStyle name="40% - Accent2 3" xfId="4894" hidden="1" xr:uid="{00000000-0005-0000-0000-00003D0A0000}"/>
    <cellStyle name="40% - Accent2 3" xfId="4926" hidden="1" xr:uid="{00000000-0005-0000-0000-00003E0A0000}"/>
    <cellStyle name="40% - Accent2 3" xfId="4959" hidden="1" xr:uid="{00000000-0005-0000-0000-00003F0A0000}"/>
    <cellStyle name="40% - Accent2 3" xfId="4991" hidden="1" xr:uid="{00000000-0005-0000-0000-0000400A0000}"/>
    <cellStyle name="40% - Accent2 3" xfId="5024" hidden="1" xr:uid="{00000000-0005-0000-0000-0000410A0000}"/>
    <cellStyle name="40% - Accent2 3" xfId="5057" hidden="1" xr:uid="{00000000-0005-0000-0000-0000420A0000}"/>
    <cellStyle name="40% - Accent2 3" xfId="5090" hidden="1" xr:uid="{00000000-0005-0000-0000-0000430A0000}"/>
    <cellStyle name="40% - Accent2 3" xfId="5123" hidden="1" xr:uid="{00000000-0005-0000-0000-0000440A0000}"/>
    <cellStyle name="40% - Accent2 3" xfId="5156" hidden="1" xr:uid="{00000000-0005-0000-0000-0000450A0000}"/>
    <cellStyle name="40% - Accent2 3" xfId="5189" hidden="1" xr:uid="{00000000-0005-0000-0000-0000460A0000}"/>
    <cellStyle name="40% - Accent2 3" xfId="5230" hidden="1" xr:uid="{00000000-0005-0000-0000-0000470A0000}"/>
    <cellStyle name="40% - Accent2 3" xfId="5267" hidden="1" xr:uid="{00000000-0005-0000-0000-0000480A0000}"/>
    <cellStyle name="40% - Accent2 3" xfId="5300" hidden="1" xr:uid="{00000000-0005-0000-0000-0000490A0000}"/>
    <cellStyle name="40% - Accent2 3" xfId="5332" hidden="1" xr:uid="{00000000-0005-0000-0000-00004A0A0000}"/>
    <cellStyle name="40% - Accent2 3" xfId="5364" hidden="1" xr:uid="{00000000-0005-0000-0000-00004B0A0000}"/>
    <cellStyle name="40% - Accent2 3" xfId="5397" hidden="1" xr:uid="{00000000-0005-0000-0000-00004C0A0000}"/>
    <cellStyle name="40% - Accent2 3" xfId="5429" hidden="1" xr:uid="{00000000-0005-0000-0000-00004D0A0000}"/>
    <cellStyle name="40% - Accent2 3" xfId="5462" hidden="1" xr:uid="{00000000-0005-0000-0000-00004E0A0000}"/>
    <cellStyle name="40% - Accent2 3" xfId="5494" hidden="1" xr:uid="{00000000-0005-0000-0000-00004F0A0000}"/>
    <cellStyle name="40% - Accent2 3" xfId="5527" hidden="1" xr:uid="{00000000-0005-0000-0000-0000500A0000}"/>
    <cellStyle name="40% - Accent2 3" xfId="5560" hidden="1" xr:uid="{00000000-0005-0000-0000-0000510A0000}"/>
    <cellStyle name="40% - Accent2 3" xfId="5593" hidden="1" xr:uid="{00000000-0005-0000-0000-0000520A0000}"/>
    <cellStyle name="40% - Accent2 3" xfId="5626" hidden="1" xr:uid="{00000000-0005-0000-0000-0000530A0000}"/>
    <cellStyle name="40% - Accent2 3" xfId="5659" hidden="1" xr:uid="{00000000-0005-0000-0000-0000540A0000}"/>
    <cellStyle name="40% - Accent2 3" xfId="5692" hidden="1" xr:uid="{00000000-0005-0000-0000-0000550A0000}"/>
    <cellStyle name="40% - Accent2 3" xfId="5796" hidden="1" xr:uid="{00000000-0005-0000-0000-0000560A0000}"/>
    <cellStyle name="40% - Accent2 3" xfId="5833" hidden="1" xr:uid="{00000000-0005-0000-0000-0000570A0000}"/>
    <cellStyle name="40% - Accent2 3" xfId="5866" hidden="1" xr:uid="{00000000-0005-0000-0000-0000580A0000}"/>
    <cellStyle name="40% - Accent2 3" xfId="5898" hidden="1" xr:uid="{00000000-0005-0000-0000-0000590A0000}"/>
    <cellStyle name="40% - Accent2 3" xfId="5930" hidden="1" xr:uid="{00000000-0005-0000-0000-00005A0A0000}"/>
    <cellStyle name="40% - Accent2 3" xfId="5963" hidden="1" xr:uid="{00000000-0005-0000-0000-00005B0A0000}"/>
    <cellStyle name="40% - Accent2 3" xfId="5995" hidden="1" xr:uid="{00000000-0005-0000-0000-00005C0A0000}"/>
    <cellStyle name="40% - Accent2 3" xfId="6028" hidden="1" xr:uid="{00000000-0005-0000-0000-00005D0A0000}"/>
    <cellStyle name="40% - Accent2 3" xfId="6060" hidden="1" xr:uid="{00000000-0005-0000-0000-00005E0A0000}"/>
    <cellStyle name="40% - Accent2 3" xfId="6093" hidden="1" xr:uid="{00000000-0005-0000-0000-00005F0A0000}"/>
    <cellStyle name="40% - Accent2 3" xfId="6126" hidden="1" xr:uid="{00000000-0005-0000-0000-0000600A0000}"/>
    <cellStyle name="40% - Accent2 3" xfId="6159" hidden="1" xr:uid="{00000000-0005-0000-0000-0000610A0000}"/>
    <cellStyle name="40% - Accent2 3" xfId="6192" hidden="1" xr:uid="{00000000-0005-0000-0000-0000620A0000}"/>
    <cellStyle name="40% - Accent2 3" xfId="6225" hidden="1" xr:uid="{00000000-0005-0000-0000-0000630A0000}"/>
    <cellStyle name="40% - Accent2 3" xfId="6258" hidden="1" xr:uid="{00000000-0005-0000-0000-0000640A0000}"/>
    <cellStyle name="40% - Accent2 3" xfId="6273" hidden="1" xr:uid="{00000000-0005-0000-0000-0000650A0000}"/>
    <cellStyle name="40% - Accent2 3" xfId="6310" hidden="1" xr:uid="{00000000-0005-0000-0000-0000660A0000}"/>
    <cellStyle name="40% - Accent2 3" xfId="6343" hidden="1" xr:uid="{00000000-0005-0000-0000-0000670A0000}"/>
    <cellStyle name="40% - Accent2 3" xfId="6375" hidden="1" xr:uid="{00000000-0005-0000-0000-0000680A0000}"/>
    <cellStyle name="40% - Accent2 3" xfId="6407" hidden="1" xr:uid="{00000000-0005-0000-0000-0000690A0000}"/>
    <cellStyle name="40% - Accent2 3" xfId="6440" hidden="1" xr:uid="{00000000-0005-0000-0000-00006A0A0000}"/>
    <cellStyle name="40% - Accent2 3" xfId="6472" hidden="1" xr:uid="{00000000-0005-0000-0000-00006B0A0000}"/>
    <cellStyle name="40% - Accent2 3" xfId="6505" hidden="1" xr:uid="{00000000-0005-0000-0000-00006C0A0000}"/>
    <cellStyle name="40% - Accent2 3" xfId="6537" hidden="1" xr:uid="{00000000-0005-0000-0000-00006D0A0000}"/>
    <cellStyle name="40% - Accent2 3" xfId="6570" hidden="1" xr:uid="{00000000-0005-0000-0000-00006E0A0000}"/>
    <cellStyle name="40% - Accent2 3" xfId="6603" hidden="1" xr:uid="{00000000-0005-0000-0000-00006F0A0000}"/>
    <cellStyle name="40% - Accent2 3" xfId="6636" hidden="1" xr:uid="{00000000-0005-0000-0000-0000700A0000}"/>
    <cellStyle name="40% - Accent2 3" xfId="6669" hidden="1" xr:uid="{00000000-0005-0000-0000-0000710A0000}"/>
    <cellStyle name="40% - Accent2 3" xfId="6702" hidden="1" xr:uid="{00000000-0005-0000-0000-0000720A0000}"/>
    <cellStyle name="40% - Accent2 3" xfId="6735" hidden="1" xr:uid="{00000000-0005-0000-0000-0000730A0000}"/>
    <cellStyle name="40% - Accent2 3" xfId="6792" hidden="1" xr:uid="{00000000-0005-0000-0000-0000740A0000}"/>
    <cellStyle name="40% - Accent2 3" xfId="6829" hidden="1" xr:uid="{00000000-0005-0000-0000-0000750A0000}"/>
    <cellStyle name="40% - Accent2 3" xfId="6862" hidden="1" xr:uid="{00000000-0005-0000-0000-0000760A0000}"/>
    <cellStyle name="40% - Accent2 3" xfId="6894" hidden="1" xr:uid="{00000000-0005-0000-0000-0000770A0000}"/>
    <cellStyle name="40% - Accent2 3" xfId="6926" hidden="1" xr:uid="{00000000-0005-0000-0000-0000780A0000}"/>
    <cellStyle name="40% - Accent2 3" xfId="6959" hidden="1" xr:uid="{00000000-0005-0000-0000-0000790A0000}"/>
    <cellStyle name="40% - Accent2 3" xfId="6991" hidden="1" xr:uid="{00000000-0005-0000-0000-00007A0A0000}"/>
    <cellStyle name="40% - Accent2 3" xfId="7024" hidden="1" xr:uid="{00000000-0005-0000-0000-00007B0A0000}"/>
    <cellStyle name="40% - Accent2 3" xfId="7056" hidden="1" xr:uid="{00000000-0005-0000-0000-00007C0A0000}"/>
    <cellStyle name="40% - Accent2 3" xfId="7089" hidden="1" xr:uid="{00000000-0005-0000-0000-00007D0A0000}"/>
    <cellStyle name="40% - Accent2 3" xfId="7122" hidden="1" xr:uid="{00000000-0005-0000-0000-00007E0A0000}"/>
    <cellStyle name="40% - Accent2 3" xfId="7155" hidden="1" xr:uid="{00000000-0005-0000-0000-00007F0A0000}"/>
    <cellStyle name="40% - Accent2 3" xfId="7188" hidden="1" xr:uid="{00000000-0005-0000-0000-0000800A0000}"/>
    <cellStyle name="40% - Accent2 3" xfId="7221" hidden="1" xr:uid="{00000000-0005-0000-0000-0000810A0000}"/>
    <cellStyle name="40% - Accent2 3" xfId="7254" hidden="1" xr:uid="{00000000-0005-0000-0000-0000820A0000}"/>
    <cellStyle name="40% - Accent2 3" xfId="7305" hidden="1" xr:uid="{00000000-0005-0000-0000-0000830A0000}"/>
    <cellStyle name="40% - Accent2 3" xfId="7342" hidden="1" xr:uid="{00000000-0005-0000-0000-0000840A0000}"/>
    <cellStyle name="40% - Accent2 3" xfId="7375" hidden="1" xr:uid="{00000000-0005-0000-0000-0000850A0000}"/>
    <cellStyle name="40% - Accent2 3" xfId="7407" hidden="1" xr:uid="{00000000-0005-0000-0000-0000860A0000}"/>
    <cellStyle name="40% - Accent2 3" xfId="7439" hidden="1" xr:uid="{00000000-0005-0000-0000-0000870A0000}"/>
    <cellStyle name="40% - Accent2 3" xfId="7472" hidden="1" xr:uid="{00000000-0005-0000-0000-0000880A0000}"/>
    <cellStyle name="40% - Accent2 3" xfId="7504" hidden="1" xr:uid="{00000000-0005-0000-0000-0000890A0000}"/>
    <cellStyle name="40% - Accent2 3" xfId="7537" hidden="1" xr:uid="{00000000-0005-0000-0000-00008A0A0000}"/>
    <cellStyle name="40% - Accent2 3" xfId="7569" hidden="1" xr:uid="{00000000-0005-0000-0000-00008B0A0000}"/>
    <cellStyle name="40% - Accent2 3" xfId="7602" hidden="1" xr:uid="{00000000-0005-0000-0000-00008C0A0000}"/>
    <cellStyle name="40% - Accent2 3" xfId="7635" hidden="1" xr:uid="{00000000-0005-0000-0000-00008D0A0000}"/>
    <cellStyle name="40% - Accent2 3" xfId="7668" hidden="1" xr:uid="{00000000-0005-0000-0000-00008E0A0000}"/>
    <cellStyle name="40% - Accent2 3" xfId="7701" hidden="1" xr:uid="{00000000-0005-0000-0000-00008F0A0000}"/>
    <cellStyle name="40% - Accent2 3" xfId="7734" hidden="1" xr:uid="{00000000-0005-0000-0000-0000900A0000}"/>
    <cellStyle name="40% - Accent2 3" xfId="7767" hidden="1" xr:uid="{00000000-0005-0000-0000-0000910A0000}"/>
    <cellStyle name="40% - Accent2 3" xfId="7782" hidden="1" xr:uid="{00000000-0005-0000-0000-0000920A0000}"/>
    <cellStyle name="40% - Accent2 3" xfId="7819" hidden="1" xr:uid="{00000000-0005-0000-0000-0000930A0000}"/>
    <cellStyle name="40% - Accent2 3" xfId="7852" hidden="1" xr:uid="{00000000-0005-0000-0000-0000940A0000}"/>
    <cellStyle name="40% - Accent2 3" xfId="7884" hidden="1" xr:uid="{00000000-0005-0000-0000-0000950A0000}"/>
    <cellStyle name="40% - Accent2 3" xfId="7916" hidden="1" xr:uid="{00000000-0005-0000-0000-0000960A0000}"/>
    <cellStyle name="40% - Accent2 3" xfId="7949" hidden="1" xr:uid="{00000000-0005-0000-0000-0000970A0000}"/>
    <cellStyle name="40% - Accent2 3" xfId="7981" hidden="1" xr:uid="{00000000-0005-0000-0000-0000980A0000}"/>
    <cellStyle name="40% - Accent2 3" xfId="8014" hidden="1" xr:uid="{00000000-0005-0000-0000-0000990A0000}"/>
    <cellStyle name="40% - Accent2 3" xfId="8046" hidden="1" xr:uid="{00000000-0005-0000-0000-00009A0A0000}"/>
    <cellStyle name="40% - Accent2 3" xfId="8079" hidden="1" xr:uid="{00000000-0005-0000-0000-00009B0A0000}"/>
    <cellStyle name="40% - Accent2 3" xfId="8112" hidden="1" xr:uid="{00000000-0005-0000-0000-00009C0A0000}"/>
    <cellStyle name="40% - Accent2 3" xfId="8145" hidden="1" xr:uid="{00000000-0005-0000-0000-00009D0A0000}"/>
    <cellStyle name="40% - Accent2 3" xfId="8178" hidden="1" xr:uid="{00000000-0005-0000-0000-00009E0A0000}"/>
    <cellStyle name="40% - Accent2 3" xfId="8211" hidden="1" xr:uid="{00000000-0005-0000-0000-00009F0A0000}"/>
    <cellStyle name="40% - Accent2 3" xfId="8244" hidden="1" xr:uid="{00000000-0005-0000-0000-0000A00A0000}"/>
    <cellStyle name="40% - Accent2 3" xfId="5753" hidden="1" xr:uid="{00000000-0005-0000-0000-0000A10A0000}"/>
    <cellStyle name="40% - Accent2 3" xfId="4334" hidden="1" xr:uid="{00000000-0005-0000-0000-0000A20A0000}"/>
    <cellStyle name="40% - Accent2 3" xfId="4319" hidden="1" xr:uid="{00000000-0005-0000-0000-0000A30A0000}"/>
    <cellStyle name="40% - Accent2 3" xfId="4304" hidden="1" xr:uid="{00000000-0005-0000-0000-0000A40A0000}"/>
    <cellStyle name="40% - Accent2 3" xfId="4289" hidden="1" xr:uid="{00000000-0005-0000-0000-0000A50A0000}"/>
    <cellStyle name="40% - Accent2 3" xfId="5719" hidden="1" xr:uid="{00000000-0005-0000-0000-0000A60A0000}"/>
    <cellStyle name="40% - Accent2 3" xfId="5714" hidden="1" xr:uid="{00000000-0005-0000-0000-0000A70A0000}"/>
    <cellStyle name="40% - Accent2 3" xfId="8289" hidden="1" xr:uid="{00000000-0005-0000-0000-0000A80A0000}"/>
    <cellStyle name="40% - Accent2 3" xfId="8322" hidden="1" xr:uid="{00000000-0005-0000-0000-0000A90A0000}"/>
    <cellStyle name="40% - Accent2 3" xfId="8355" hidden="1" xr:uid="{00000000-0005-0000-0000-0000AA0A0000}"/>
    <cellStyle name="40% - Accent2 3" xfId="8388" hidden="1" xr:uid="{00000000-0005-0000-0000-0000AB0A0000}"/>
    <cellStyle name="40% - Accent2 3" xfId="8425" hidden="1" xr:uid="{00000000-0005-0000-0000-0000AC0A0000}"/>
    <cellStyle name="40% - Accent2 3" xfId="8458" hidden="1" xr:uid="{00000000-0005-0000-0000-0000AD0A0000}"/>
    <cellStyle name="40% - Accent2 3" xfId="8490" hidden="1" xr:uid="{00000000-0005-0000-0000-0000AE0A0000}"/>
    <cellStyle name="40% - Accent2 3" xfId="8522" hidden="1" xr:uid="{00000000-0005-0000-0000-0000AF0A0000}"/>
    <cellStyle name="40% - Accent2 3" xfId="8555" hidden="1" xr:uid="{00000000-0005-0000-0000-0000B00A0000}"/>
    <cellStyle name="40% - Accent2 3" xfId="8587" hidden="1" xr:uid="{00000000-0005-0000-0000-0000B10A0000}"/>
    <cellStyle name="40% - Accent2 3" xfId="8620" hidden="1" xr:uid="{00000000-0005-0000-0000-0000B20A0000}"/>
    <cellStyle name="40% - Accent2 3" xfId="8652" hidden="1" xr:uid="{00000000-0005-0000-0000-0000B30A0000}"/>
    <cellStyle name="40% - Accent2 3" xfId="8685" hidden="1" xr:uid="{00000000-0005-0000-0000-0000B40A0000}"/>
    <cellStyle name="40% - Accent2 3" xfId="8718" hidden="1" xr:uid="{00000000-0005-0000-0000-0000B50A0000}"/>
    <cellStyle name="40% - Accent2 3" xfId="8751" hidden="1" xr:uid="{00000000-0005-0000-0000-0000B60A0000}"/>
    <cellStyle name="40% - Accent2 3" xfId="8784" hidden="1" xr:uid="{00000000-0005-0000-0000-0000B70A0000}"/>
    <cellStyle name="40% - Accent2 3" xfId="8817" hidden="1" xr:uid="{00000000-0005-0000-0000-0000B80A0000}"/>
    <cellStyle name="40% - Accent2 3" xfId="8850" hidden="1" xr:uid="{00000000-0005-0000-0000-0000B90A0000}"/>
    <cellStyle name="40% - Accent2 3" xfId="8890" hidden="1" xr:uid="{00000000-0005-0000-0000-0000BA0A0000}"/>
    <cellStyle name="40% - Accent2 3" xfId="8927" hidden="1" xr:uid="{00000000-0005-0000-0000-0000BB0A0000}"/>
    <cellStyle name="40% - Accent2 3" xfId="8960" hidden="1" xr:uid="{00000000-0005-0000-0000-0000BC0A0000}"/>
    <cellStyle name="40% - Accent2 3" xfId="8992" hidden="1" xr:uid="{00000000-0005-0000-0000-0000BD0A0000}"/>
    <cellStyle name="40% - Accent2 3" xfId="9024" hidden="1" xr:uid="{00000000-0005-0000-0000-0000BE0A0000}"/>
    <cellStyle name="40% - Accent2 3" xfId="9057" hidden="1" xr:uid="{00000000-0005-0000-0000-0000BF0A0000}"/>
    <cellStyle name="40% - Accent2 3" xfId="9089" hidden="1" xr:uid="{00000000-0005-0000-0000-0000C00A0000}"/>
    <cellStyle name="40% - Accent2 3" xfId="9122" hidden="1" xr:uid="{00000000-0005-0000-0000-0000C10A0000}"/>
    <cellStyle name="40% - Accent2 3" xfId="9154" hidden="1" xr:uid="{00000000-0005-0000-0000-0000C20A0000}"/>
    <cellStyle name="40% - Accent2 3" xfId="9187" hidden="1" xr:uid="{00000000-0005-0000-0000-0000C30A0000}"/>
    <cellStyle name="40% - Accent2 3" xfId="9220" hidden="1" xr:uid="{00000000-0005-0000-0000-0000C40A0000}"/>
    <cellStyle name="40% - Accent2 3" xfId="9253" hidden="1" xr:uid="{00000000-0005-0000-0000-0000C50A0000}"/>
    <cellStyle name="40% - Accent2 3" xfId="9286" hidden="1" xr:uid="{00000000-0005-0000-0000-0000C60A0000}"/>
    <cellStyle name="40% - Accent2 3" xfId="9319" hidden="1" xr:uid="{00000000-0005-0000-0000-0000C70A0000}"/>
    <cellStyle name="40% - Accent2 3" xfId="9352" hidden="1" xr:uid="{00000000-0005-0000-0000-0000C80A0000}"/>
    <cellStyle name="40% - Accent2 3" xfId="9403" hidden="1" xr:uid="{00000000-0005-0000-0000-0000C90A0000}"/>
    <cellStyle name="40% - Accent2 3" xfId="9440" hidden="1" xr:uid="{00000000-0005-0000-0000-0000CA0A0000}"/>
    <cellStyle name="40% - Accent2 3" xfId="9473" hidden="1" xr:uid="{00000000-0005-0000-0000-0000CB0A0000}"/>
    <cellStyle name="40% - Accent2 3" xfId="9505" hidden="1" xr:uid="{00000000-0005-0000-0000-0000CC0A0000}"/>
    <cellStyle name="40% - Accent2 3" xfId="9537" hidden="1" xr:uid="{00000000-0005-0000-0000-0000CD0A0000}"/>
    <cellStyle name="40% - Accent2 3" xfId="9570" hidden="1" xr:uid="{00000000-0005-0000-0000-0000CE0A0000}"/>
    <cellStyle name="40% - Accent2 3" xfId="9602" hidden="1" xr:uid="{00000000-0005-0000-0000-0000CF0A0000}"/>
    <cellStyle name="40% - Accent2 3" xfId="9635" hidden="1" xr:uid="{00000000-0005-0000-0000-0000D00A0000}"/>
    <cellStyle name="40% - Accent2 3" xfId="9667" hidden="1" xr:uid="{00000000-0005-0000-0000-0000D10A0000}"/>
    <cellStyle name="40% - Accent2 3" xfId="9700" hidden="1" xr:uid="{00000000-0005-0000-0000-0000D20A0000}"/>
    <cellStyle name="40% - Accent2 3" xfId="9733" hidden="1" xr:uid="{00000000-0005-0000-0000-0000D30A0000}"/>
    <cellStyle name="40% - Accent2 3" xfId="9766" hidden="1" xr:uid="{00000000-0005-0000-0000-0000D40A0000}"/>
    <cellStyle name="40% - Accent2 3" xfId="9799" hidden="1" xr:uid="{00000000-0005-0000-0000-0000D50A0000}"/>
    <cellStyle name="40% - Accent2 3" xfId="9832" hidden="1" xr:uid="{00000000-0005-0000-0000-0000D60A0000}"/>
    <cellStyle name="40% - Accent2 3" xfId="9865" hidden="1" xr:uid="{00000000-0005-0000-0000-0000D70A0000}"/>
    <cellStyle name="40% - Accent2 3" xfId="9880" hidden="1" xr:uid="{00000000-0005-0000-0000-0000D80A0000}"/>
    <cellStyle name="40% - Accent2 3" xfId="9917" hidden="1" xr:uid="{00000000-0005-0000-0000-0000D90A0000}"/>
    <cellStyle name="40% - Accent2 3" xfId="9950" hidden="1" xr:uid="{00000000-0005-0000-0000-0000DA0A0000}"/>
    <cellStyle name="40% - Accent2 3" xfId="9982" hidden="1" xr:uid="{00000000-0005-0000-0000-0000DB0A0000}"/>
    <cellStyle name="40% - Accent2 3" xfId="10014" hidden="1" xr:uid="{00000000-0005-0000-0000-0000DC0A0000}"/>
    <cellStyle name="40% - Accent2 3" xfId="10047" hidden="1" xr:uid="{00000000-0005-0000-0000-0000DD0A0000}"/>
    <cellStyle name="40% - Accent2 3" xfId="10079" hidden="1" xr:uid="{00000000-0005-0000-0000-0000DE0A0000}"/>
    <cellStyle name="40% - Accent2 3" xfId="10112" hidden="1" xr:uid="{00000000-0005-0000-0000-0000DF0A0000}"/>
    <cellStyle name="40% - Accent2 3" xfId="10144" hidden="1" xr:uid="{00000000-0005-0000-0000-0000E00A0000}"/>
    <cellStyle name="40% - Accent2 3" xfId="10177" hidden="1" xr:uid="{00000000-0005-0000-0000-0000E10A0000}"/>
    <cellStyle name="40% - Accent2 3" xfId="10210" hidden="1" xr:uid="{00000000-0005-0000-0000-0000E20A0000}"/>
    <cellStyle name="40% - Accent2 3" xfId="10243" hidden="1" xr:uid="{00000000-0005-0000-0000-0000E30A0000}"/>
    <cellStyle name="40% - Accent2 3" xfId="10276" hidden="1" xr:uid="{00000000-0005-0000-0000-0000E40A0000}"/>
    <cellStyle name="40% - Accent2 3" xfId="10309" hidden="1" xr:uid="{00000000-0005-0000-0000-0000E50A0000}"/>
    <cellStyle name="40% - Accent2 3" xfId="10342" hidden="1" xr:uid="{00000000-0005-0000-0000-0000E60A0000}"/>
    <cellStyle name="40% - Accent2 3" xfId="10368" hidden="1" xr:uid="{00000000-0005-0000-0000-0000E70A0000}"/>
    <cellStyle name="40% - Accent2 3" xfId="10405" hidden="1" xr:uid="{00000000-0005-0000-0000-0000E80A0000}"/>
    <cellStyle name="40% - Accent2 3" xfId="10438" hidden="1" xr:uid="{00000000-0005-0000-0000-0000E90A0000}"/>
    <cellStyle name="40% - Accent2 3" xfId="10470" hidden="1" xr:uid="{00000000-0005-0000-0000-0000EA0A0000}"/>
    <cellStyle name="40% - Accent2 3" xfId="10502" hidden="1" xr:uid="{00000000-0005-0000-0000-0000EB0A0000}"/>
    <cellStyle name="40% - Accent2 3" xfId="10535" hidden="1" xr:uid="{00000000-0005-0000-0000-0000EC0A0000}"/>
    <cellStyle name="40% - Accent2 3" xfId="10567" hidden="1" xr:uid="{00000000-0005-0000-0000-0000ED0A0000}"/>
    <cellStyle name="40% - Accent2 3" xfId="10600" hidden="1" xr:uid="{00000000-0005-0000-0000-0000EE0A0000}"/>
    <cellStyle name="40% - Accent2 3" xfId="10632" hidden="1" xr:uid="{00000000-0005-0000-0000-0000EF0A0000}"/>
    <cellStyle name="40% - Accent2 3" xfId="10665" hidden="1" xr:uid="{00000000-0005-0000-0000-0000F00A0000}"/>
    <cellStyle name="40% - Accent2 3" xfId="10698" hidden="1" xr:uid="{00000000-0005-0000-0000-0000F10A0000}"/>
    <cellStyle name="40% - Accent2 3" xfId="10731" hidden="1" xr:uid="{00000000-0005-0000-0000-0000F20A0000}"/>
    <cellStyle name="40% - Accent2 3" xfId="10764" hidden="1" xr:uid="{00000000-0005-0000-0000-0000F30A0000}"/>
    <cellStyle name="40% - Accent2 3" xfId="10797" hidden="1" xr:uid="{00000000-0005-0000-0000-0000F40A0000}"/>
    <cellStyle name="40% - Accent2 3" xfId="10830" hidden="1" xr:uid="{00000000-0005-0000-0000-0000F50A0000}"/>
    <cellStyle name="40% - Accent2 3" xfId="10881" hidden="1" xr:uid="{00000000-0005-0000-0000-0000F60A0000}"/>
    <cellStyle name="40% - Accent2 3" xfId="10918" hidden="1" xr:uid="{00000000-0005-0000-0000-0000F70A0000}"/>
    <cellStyle name="40% - Accent2 3" xfId="10951" hidden="1" xr:uid="{00000000-0005-0000-0000-0000F80A0000}"/>
    <cellStyle name="40% - Accent2 3" xfId="10983" hidden="1" xr:uid="{00000000-0005-0000-0000-0000F90A0000}"/>
    <cellStyle name="40% - Accent2 3" xfId="11015" hidden="1" xr:uid="{00000000-0005-0000-0000-0000FA0A0000}"/>
    <cellStyle name="40% - Accent2 3" xfId="11048" hidden="1" xr:uid="{00000000-0005-0000-0000-0000FB0A0000}"/>
    <cellStyle name="40% - Accent2 3" xfId="11080" hidden="1" xr:uid="{00000000-0005-0000-0000-0000FC0A0000}"/>
    <cellStyle name="40% - Accent2 3" xfId="11113" hidden="1" xr:uid="{00000000-0005-0000-0000-0000FD0A0000}"/>
    <cellStyle name="40% - Accent2 3" xfId="11145" hidden="1" xr:uid="{00000000-0005-0000-0000-0000FE0A0000}"/>
    <cellStyle name="40% - Accent2 3" xfId="11178" hidden="1" xr:uid="{00000000-0005-0000-0000-0000FF0A0000}"/>
    <cellStyle name="40% - Accent2 3" xfId="11211" hidden="1" xr:uid="{00000000-0005-0000-0000-0000000B0000}"/>
    <cellStyle name="40% - Accent2 3" xfId="11244" hidden="1" xr:uid="{00000000-0005-0000-0000-0000010B0000}"/>
    <cellStyle name="40% - Accent2 3" xfId="11277" hidden="1" xr:uid="{00000000-0005-0000-0000-0000020B0000}"/>
    <cellStyle name="40% - Accent2 3" xfId="11310" hidden="1" xr:uid="{00000000-0005-0000-0000-0000030B0000}"/>
    <cellStyle name="40% - Accent2 3" xfId="11343" hidden="1" xr:uid="{00000000-0005-0000-0000-0000040B0000}"/>
    <cellStyle name="40% - Accent2 3" xfId="11358" hidden="1" xr:uid="{00000000-0005-0000-0000-0000050B0000}"/>
    <cellStyle name="40% - Accent2 3" xfId="11395" hidden="1" xr:uid="{00000000-0005-0000-0000-0000060B0000}"/>
    <cellStyle name="40% - Accent2 3" xfId="11428" hidden="1" xr:uid="{00000000-0005-0000-0000-0000070B0000}"/>
    <cellStyle name="40% - Accent2 3" xfId="11460" hidden="1" xr:uid="{00000000-0005-0000-0000-0000080B0000}"/>
    <cellStyle name="40% - Accent2 3" xfId="11492" hidden="1" xr:uid="{00000000-0005-0000-0000-0000090B0000}"/>
    <cellStyle name="40% - Accent2 3" xfId="11525" hidden="1" xr:uid="{00000000-0005-0000-0000-00000A0B0000}"/>
    <cellStyle name="40% - Accent2 3" xfId="11557" hidden="1" xr:uid="{00000000-0005-0000-0000-00000B0B0000}"/>
    <cellStyle name="40% - Accent2 3" xfId="11590" hidden="1" xr:uid="{00000000-0005-0000-0000-00000C0B0000}"/>
    <cellStyle name="40% - Accent2 3" xfId="11622" hidden="1" xr:uid="{00000000-0005-0000-0000-00000D0B0000}"/>
    <cellStyle name="40% - Accent2 3" xfId="11655" hidden="1" xr:uid="{00000000-0005-0000-0000-00000E0B0000}"/>
    <cellStyle name="40% - Accent2 3" xfId="11688" hidden="1" xr:uid="{00000000-0005-0000-0000-00000F0B0000}"/>
    <cellStyle name="40% - Accent2 3" xfId="11721" hidden="1" xr:uid="{00000000-0005-0000-0000-0000100B0000}"/>
    <cellStyle name="40% - Accent2 3" xfId="11754" hidden="1" xr:uid="{00000000-0005-0000-0000-0000110B0000}"/>
    <cellStyle name="40% - Accent2 3" xfId="11787" hidden="1" xr:uid="{00000000-0005-0000-0000-0000120B0000}"/>
    <cellStyle name="40% - Accent2 3" xfId="11820" xr:uid="{00000000-0005-0000-0000-0000130B0000}"/>
    <cellStyle name="40% - Accent3 2" xfId="51" xr:uid="{00000000-0005-0000-0000-0000140B0000}"/>
    <cellStyle name="40% - Accent3 2 2" xfId="1581" xr:uid="{00000000-0005-0000-0000-0000150B0000}"/>
    <cellStyle name="40% - Accent3 2 3" xfId="2718" xr:uid="{00000000-0005-0000-0000-0000160B0000}"/>
    <cellStyle name="40% - Accent3 3" xfId="221" hidden="1" xr:uid="{00000000-0005-0000-0000-0000170B0000}"/>
    <cellStyle name="40% - Accent3 3" xfId="242" hidden="1" xr:uid="{00000000-0005-0000-0000-0000180B0000}"/>
    <cellStyle name="40% - Accent3 3" xfId="275" hidden="1" xr:uid="{00000000-0005-0000-0000-0000190B0000}"/>
    <cellStyle name="40% - Accent3 3" xfId="308" hidden="1" xr:uid="{00000000-0005-0000-0000-00001A0B0000}"/>
    <cellStyle name="40% - Accent3 3" xfId="341" hidden="1" xr:uid="{00000000-0005-0000-0000-00001B0B0000}"/>
    <cellStyle name="40% - Accent3 3" xfId="375" hidden="1" xr:uid="{00000000-0005-0000-0000-00001C0B0000}"/>
    <cellStyle name="40% - Accent3 3" xfId="408" hidden="1" xr:uid="{00000000-0005-0000-0000-00001D0B0000}"/>
    <cellStyle name="40% - Accent3 3" xfId="441" hidden="1" xr:uid="{00000000-0005-0000-0000-00001E0B0000}"/>
    <cellStyle name="40% - Accent3 3" xfId="474" hidden="1" xr:uid="{00000000-0005-0000-0000-00001F0B0000}"/>
    <cellStyle name="40% - Accent3 3" xfId="507" hidden="1" xr:uid="{00000000-0005-0000-0000-0000200B0000}"/>
    <cellStyle name="40% - Accent3 3" xfId="540" hidden="1" xr:uid="{00000000-0005-0000-0000-0000210B0000}"/>
    <cellStyle name="40% - Accent3 3" xfId="573" hidden="1" xr:uid="{00000000-0005-0000-0000-0000220B0000}"/>
    <cellStyle name="40% - Accent3 3" xfId="610" hidden="1" xr:uid="{00000000-0005-0000-0000-0000230B0000}"/>
    <cellStyle name="40% - Accent3 3" xfId="643" hidden="1" xr:uid="{00000000-0005-0000-0000-0000240B0000}"/>
    <cellStyle name="40% - Accent3 3" xfId="675" hidden="1" xr:uid="{00000000-0005-0000-0000-0000250B0000}"/>
    <cellStyle name="40% - Accent3 3" xfId="707" hidden="1" xr:uid="{00000000-0005-0000-0000-0000260B0000}"/>
    <cellStyle name="40% - Accent3 3" xfId="740" hidden="1" xr:uid="{00000000-0005-0000-0000-0000270B0000}"/>
    <cellStyle name="40% - Accent3 3" xfId="772" hidden="1" xr:uid="{00000000-0005-0000-0000-0000280B0000}"/>
    <cellStyle name="40% - Accent3 3" xfId="805" hidden="1" xr:uid="{00000000-0005-0000-0000-0000290B0000}"/>
    <cellStyle name="40% - Accent3 3" xfId="837" hidden="1" xr:uid="{00000000-0005-0000-0000-00002A0B0000}"/>
    <cellStyle name="40% - Accent3 3" xfId="870" hidden="1" xr:uid="{00000000-0005-0000-0000-00002B0B0000}"/>
    <cellStyle name="40% - Accent3 3" xfId="903" hidden="1" xr:uid="{00000000-0005-0000-0000-00002C0B0000}"/>
    <cellStyle name="40% - Accent3 3" xfId="936" hidden="1" xr:uid="{00000000-0005-0000-0000-00002D0B0000}"/>
    <cellStyle name="40% - Accent3 3" xfId="969" hidden="1" xr:uid="{00000000-0005-0000-0000-00002E0B0000}"/>
    <cellStyle name="40% - Accent3 3" xfId="1002" hidden="1" xr:uid="{00000000-0005-0000-0000-00002F0B0000}"/>
    <cellStyle name="40% - Accent3 3" xfId="1035" hidden="1" xr:uid="{00000000-0005-0000-0000-0000300B0000}"/>
    <cellStyle name="40% - Accent3 3" xfId="1078" hidden="1" xr:uid="{00000000-0005-0000-0000-0000310B0000}"/>
    <cellStyle name="40% - Accent3 3" xfId="1116" hidden="1" xr:uid="{00000000-0005-0000-0000-0000320B0000}"/>
    <cellStyle name="40% - Accent3 3" xfId="1149" hidden="1" xr:uid="{00000000-0005-0000-0000-0000330B0000}"/>
    <cellStyle name="40% - Accent3 3" xfId="1181" hidden="1" xr:uid="{00000000-0005-0000-0000-0000340B0000}"/>
    <cellStyle name="40% - Accent3 3" xfId="1213" hidden="1" xr:uid="{00000000-0005-0000-0000-0000350B0000}"/>
    <cellStyle name="40% - Accent3 3" xfId="1246" hidden="1" xr:uid="{00000000-0005-0000-0000-0000360B0000}"/>
    <cellStyle name="40% - Accent3 3" xfId="1278" hidden="1" xr:uid="{00000000-0005-0000-0000-0000370B0000}"/>
    <cellStyle name="40% - Accent3 3" xfId="1311" hidden="1" xr:uid="{00000000-0005-0000-0000-0000380B0000}"/>
    <cellStyle name="40% - Accent3 3" xfId="1343" hidden="1" xr:uid="{00000000-0005-0000-0000-0000390B0000}"/>
    <cellStyle name="40% - Accent3 3" xfId="1376" hidden="1" xr:uid="{00000000-0005-0000-0000-00003A0B0000}"/>
    <cellStyle name="40% - Accent3 3" xfId="1409" hidden="1" xr:uid="{00000000-0005-0000-0000-00003B0B0000}"/>
    <cellStyle name="40% - Accent3 3" xfId="1442" hidden="1" xr:uid="{00000000-0005-0000-0000-00003C0B0000}"/>
    <cellStyle name="40% - Accent3 3" xfId="1475" hidden="1" xr:uid="{00000000-0005-0000-0000-00003D0B0000}"/>
    <cellStyle name="40% - Accent3 3" xfId="1508" hidden="1" xr:uid="{00000000-0005-0000-0000-00003E0B0000}"/>
    <cellStyle name="40% - Accent3 3" xfId="1541" hidden="1" xr:uid="{00000000-0005-0000-0000-00003F0B0000}"/>
    <cellStyle name="40% - Accent3 3" xfId="1755" hidden="1" xr:uid="{00000000-0005-0000-0000-0000400B0000}"/>
    <cellStyle name="40% - Accent3 3" xfId="1792" hidden="1" xr:uid="{00000000-0005-0000-0000-0000410B0000}"/>
    <cellStyle name="40% - Accent3 3" xfId="1825" hidden="1" xr:uid="{00000000-0005-0000-0000-0000420B0000}"/>
    <cellStyle name="40% - Accent3 3" xfId="1857" hidden="1" xr:uid="{00000000-0005-0000-0000-0000430B0000}"/>
    <cellStyle name="40% - Accent3 3" xfId="1889" hidden="1" xr:uid="{00000000-0005-0000-0000-0000440B0000}"/>
    <cellStyle name="40% - Accent3 3" xfId="1922" hidden="1" xr:uid="{00000000-0005-0000-0000-0000450B0000}"/>
    <cellStyle name="40% - Accent3 3" xfId="1954" hidden="1" xr:uid="{00000000-0005-0000-0000-0000460B0000}"/>
    <cellStyle name="40% - Accent3 3" xfId="1987" hidden="1" xr:uid="{00000000-0005-0000-0000-0000470B0000}"/>
    <cellStyle name="40% - Accent3 3" xfId="2019" hidden="1" xr:uid="{00000000-0005-0000-0000-0000480B0000}"/>
    <cellStyle name="40% - Accent3 3" xfId="2052" hidden="1" xr:uid="{00000000-0005-0000-0000-0000490B0000}"/>
    <cellStyle name="40% - Accent3 3" xfId="2085" hidden="1" xr:uid="{00000000-0005-0000-0000-00004A0B0000}"/>
    <cellStyle name="40% - Accent3 3" xfId="2118" hidden="1" xr:uid="{00000000-0005-0000-0000-00004B0B0000}"/>
    <cellStyle name="40% - Accent3 3" xfId="2151" hidden="1" xr:uid="{00000000-0005-0000-0000-00004C0B0000}"/>
    <cellStyle name="40% - Accent3 3" xfId="2184" hidden="1" xr:uid="{00000000-0005-0000-0000-00004D0B0000}"/>
    <cellStyle name="40% - Accent3 3" xfId="2217" hidden="1" xr:uid="{00000000-0005-0000-0000-00004E0B0000}"/>
    <cellStyle name="40% - Accent3 3" xfId="1719" hidden="1" xr:uid="{00000000-0005-0000-0000-00004F0B0000}"/>
    <cellStyle name="40% - Accent3 3" xfId="2269" hidden="1" xr:uid="{00000000-0005-0000-0000-0000500B0000}"/>
    <cellStyle name="40% - Accent3 3" xfId="2302" hidden="1" xr:uid="{00000000-0005-0000-0000-0000510B0000}"/>
    <cellStyle name="40% - Accent3 3" xfId="2334" hidden="1" xr:uid="{00000000-0005-0000-0000-0000520B0000}"/>
    <cellStyle name="40% - Accent3 3" xfId="2366" hidden="1" xr:uid="{00000000-0005-0000-0000-0000530B0000}"/>
    <cellStyle name="40% - Accent3 3" xfId="2399" hidden="1" xr:uid="{00000000-0005-0000-0000-0000540B0000}"/>
    <cellStyle name="40% - Accent3 3" xfId="2431" hidden="1" xr:uid="{00000000-0005-0000-0000-0000550B0000}"/>
    <cellStyle name="40% - Accent3 3" xfId="2464" hidden="1" xr:uid="{00000000-0005-0000-0000-0000560B0000}"/>
    <cellStyle name="40% - Accent3 3" xfId="2496" hidden="1" xr:uid="{00000000-0005-0000-0000-0000570B0000}"/>
    <cellStyle name="40% - Accent3 3" xfId="2529" hidden="1" xr:uid="{00000000-0005-0000-0000-0000580B0000}"/>
    <cellStyle name="40% - Accent3 3" xfId="2562" hidden="1" xr:uid="{00000000-0005-0000-0000-0000590B0000}"/>
    <cellStyle name="40% - Accent3 3" xfId="2595" hidden="1" xr:uid="{00000000-0005-0000-0000-00005A0B0000}"/>
    <cellStyle name="40% - Accent3 3" xfId="2628" hidden="1" xr:uid="{00000000-0005-0000-0000-00005B0B0000}"/>
    <cellStyle name="40% - Accent3 3" xfId="2661" hidden="1" xr:uid="{00000000-0005-0000-0000-00005C0B0000}"/>
    <cellStyle name="40% - Accent3 3" xfId="2694" hidden="1" xr:uid="{00000000-0005-0000-0000-00005D0B0000}"/>
    <cellStyle name="40% - Accent3 3" xfId="2775" hidden="1" xr:uid="{00000000-0005-0000-0000-00005E0B0000}"/>
    <cellStyle name="40% - Accent3 3" xfId="2812" hidden="1" xr:uid="{00000000-0005-0000-0000-00005F0B0000}"/>
    <cellStyle name="40% - Accent3 3" xfId="2845" hidden="1" xr:uid="{00000000-0005-0000-0000-0000600B0000}"/>
    <cellStyle name="40% - Accent3 3" xfId="2877" hidden="1" xr:uid="{00000000-0005-0000-0000-0000610B0000}"/>
    <cellStyle name="40% - Accent3 3" xfId="2909" hidden="1" xr:uid="{00000000-0005-0000-0000-0000620B0000}"/>
    <cellStyle name="40% - Accent3 3" xfId="2942" hidden="1" xr:uid="{00000000-0005-0000-0000-0000630B0000}"/>
    <cellStyle name="40% - Accent3 3" xfId="2974" hidden="1" xr:uid="{00000000-0005-0000-0000-0000640B0000}"/>
    <cellStyle name="40% - Accent3 3" xfId="3007" hidden="1" xr:uid="{00000000-0005-0000-0000-0000650B0000}"/>
    <cellStyle name="40% - Accent3 3" xfId="3039" hidden="1" xr:uid="{00000000-0005-0000-0000-0000660B0000}"/>
    <cellStyle name="40% - Accent3 3" xfId="3072" hidden="1" xr:uid="{00000000-0005-0000-0000-0000670B0000}"/>
    <cellStyle name="40% - Accent3 3" xfId="3105" hidden="1" xr:uid="{00000000-0005-0000-0000-0000680B0000}"/>
    <cellStyle name="40% - Accent3 3" xfId="3138" hidden="1" xr:uid="{00000000-0005-0000-0000-0000690B0000}"/>
    <cellStyle name="40% - Accent3 3" xfId="3171" hidden="1" xr:uid="{00000000-0005-0000-0000-00006A0B0000}"/>
    <cellStyle name="40% - Accent3 3" xfId="3204" hidden="1" xr:uid="{00000000-0005-0000-0000-00006B0B0000}"/>
    <cellStyle name="40% - Accent3 3" xfId="3237" hidden="1" xr:uid="{00000000-0005-0000-0000-00006C0B0000}"/>
    <cellStyle name="40% - Accent3 3" xfId="3288" hidden="1" xr:uid="{00000000-0005-0000-0000-00006D0B0000}"/>
    <cellStyle name="40% - Accent3 3" xfId="3325" hidden="1" xr:uid="{00000000-0005-0000-0000-00006E0B0000}"/>
    <cellStyle name="40% - Accent3 3" xfId="3358" hidden="1" xr:uid="{00000000-0005-0000-0000-00006F0B0000}"/>
    <cellStyle name="40% - Accent3 3" xfId="3390" hidden="1" xr:uid="{00000000-0005-0000-0000-0000700B0000}"/>
    <cellStyle name="40% - Accent3 3" xfId="3422" hidden="1" xr:uid="{00000000-0005-0000-0000-0000710B0000}"/>
    <cellStyle name="40% - Accent3 3" xfId="3455" hidden="1" xr:uid="{00000000-0005-0000-0000-0000720B0000}"/>
    <cellStyle name="40% - Accent3 3" xfId="3487" hidden="1" xr:uid="{00000000-0005-0000-0000-0000730B0000}"/>
    <cellStyle name="40% - Accent3 3" xfId="3520" hidden="1" xr:uid="{00000000-0005-0000-0000-0000740B0000}"/>
    <cellStyle name="40% - Accent3 3" xfId="3552" hidden="1" xr:uid="{00000000-0005-0000-0000-0000750B0000}"/>
    <cellStyle name="40% - Accent3 3" xfId="3585" hidden="1" xr:uid="{00000000-0005-0000-0000-0000760B0000}"/>
    <cellStyle name="40% - Accent3 3" xfId="3618" hidden="1" xr:uid="{00000000-0005-0000-0000-0000770B0000}"/>
    <cellStyle name="40% - Accent3 3" xfId="3651" hidden="1" xr:uid="{00000000-0005-0000-0000-0000780B0000}"/>
    <cellStyle name="40% - Accent3 3" xfId="3684" hidden="1" xr:uid="{00000000-0005-0000-0000-0000790B0000}"/>
    <cellStyle name="40% - Accent3 3" xfId="3717" hidden="1" xr:uid="{00000000-0005-0000-0000-00007A0B0000}"/>
    <cellStyle name="40% - Accent3 3" xfId="3750" hidden="1" xr:uid="{00000000-0005-0000-0000-00007B0B0000}"/>
    <cellStyle name="40% - Accent3 3" xfId="3260" hidden="1" xr:uid="{00000000-0005-0000-0000-00007C0B0000}"/>
    <cellStyle name="40% - Accent3 3" xfId="3802" hidden="1" xr:uid="{00000000-0005-0000-0000-00007D0B0000}"/>
    <cellStyle name="40% - Accent3 3" xfId="3835" hidden="1" xr:uid="{00000000-0005-0000-0000-00007E0B0000}"/>
    <cellStyle name="40% - Accent3 3" xfId="3867" hidden="1" xr:uid="{00000000-0005-0000-0000-00007F0B0000}"/>
    <cellStyle name="40% - Accent3 3" xfId="3899" hidden="1" xr:uid="{00000000-0005-0000-0000-0000800B0000}"/>
    <cellStyle name="40% - Accent3 3" xfId="3932" hidden="1" xr:uid="{00000000-0005-0000-0000-0000810B0000}"/>
    <cellStyle name="40% - Accent3 3" xfId="3964" hidden="1" xr:uid="{00000000-0005-0000-0000-0000820B0000}"/>
    <cellStyle name="40% - Accent3 3" xfId="3997" hidden="1" xr:uid="{00000000-0005-0000-0000-0000830B0000}"/>
    <cellStyle name="40% - Accent3 3" xfId="4029" hidden="1" xr:uid="{00000000-0005-0000-0000-0000840B0000}"/>
    <cellStyle name="40% - Accent3 3" xfId="4062" hidden="1" xr:uid="{00000000-0005-0000-0000-0000850B0000}"/>
    <cellStyle name="40% - Accent3 3" xfId="4095" hidden="1" xr:uid="{00000000-0005-0000-0000-0000860B0000}"/>
    <cellStyle name="40% - Accent3 3" xfId="4128" hidden="1" xr:uid="{00000000-0005-0000-0000-0000870B0000}"/>
    <cellStyle name="40% - Accent3 3" xfId="4161" hidden="1" xr:uid="{00000000-0005-0000-0000-0000880B0000}"/>
    <cellStyle name="40% - Accent3 3" xfId="4194" hidden="1" xr:uid="{00000000-0005-0000-0000-0000890B0000}"/>
    <cellStyle name="40% - Accent3 3" xfId="4227" hidden="1" xr:uid="{00000000-0005-0000-0000-00008A0B0000}"/>
    <cellStyle name="40% - Accent3 3" xfId="4394" hidden="1" xr:uid="{00000000-0005-0000-0000-00008B0B0000}"/>
    <cellStyle name="40% - Accent3 3" xfId="4427" hidden="1" xr:uid="{00000000-0005-0000-0000-00008C0B0000}"/>
    <cellStyle name="40% - Accent3 3" xfId="4460" hidden="1" xr:uid="{00000000-0005-0000-0000-00008D0B0000}"/>
    <cellStyle name="40% - Accent3 3" xfId="4493" hidden="1" xr:uid="{00000000-0005-0000-0000-00008E0B0000}"/>
    <cellStyle name="40% - Accent3 3" xfId="4526" hidden="1" xr:uid="{00000000-0005-0000-0000-00008F0B0000}"/>
    <cellStyle name="40% - Accent3 3" xfId="4559" hidden="1" xr:uid="{00000000-0005-0000-0000-0000900B0000}"/>
    <cellStyle name="40% - Accent3 3" xfId="4592" hidden="1" xr:uid="{00000000-0005-0000-0000-0000910B0000}"/>
    <cellStyle name="40% - Accent3 3" xfId="4625" hidden="1" xr:uid="{00000000-0005-0000-0000-0000920B0000}"/>
    <cellStyle name="40% - Accent3 3" xfId="4658" hidden="1" xr:uid="{00000000-0005-0000-0000-0000930B0000}"/>
    <cellStyle name="40% - Accent3 3" xfId="4691" hidden="1" xr:uid="{00000000-0005-0000-0000-0000940B0000}"/>
    <cellStyle name="40% - Accent3 3" xfId="4724" hidden="1" xr:uid="{00000000-0005-0000-0000-0000950B0000}"/>
    <cellStyle name="40% - Accent3 3" xfId="4761" hidden="1" xr:uid="{00000000-0005-0000-0000-0000960B0000}"/>
    <cellStyle name="40% - Accent3 3" xfId="4794" hidden="1" xr:uid="{00000000-0005-0000-0000-0000970B0000}"/>
    <cellStyle name="40% - Accent3 3" xfId="4826" hidden="1" xr:uid="{00000000-0005-0000-0000-0000980B0000}"/>
    <cellStyle name="40% - Accent3 3" xfId="4858" hidden="1" xr:uid="{00000000-0005-0000-0000-0000990B0000}"/>
    <cellStyle name="40% - Accent3 3" xfId="4891" hidden="1" xr:uid="{00000000-0005-0000-0000-00009A0B0000}"/>
    <cellStyle name="40% - Accent3 3" xfId="4923" hidden="1" xr:uid="{00000000-0005-0000-0000-00009B0B0000}"/>
    <cellStyle name="40% - Accent3 3" xfId="4956" hidden="1" xr:uid="{00000000-0005-0000-0000-00009C0B0000}"/>
    <cellStyle name="40% - Accent3 3" xfId="4988" hidden="1" xr:uid="{00000000-0005-0000-0000-00009D0B0000}"/>
    <cellStyle name="40% - Accent3 3" xfId="5021" hidden="1" xr:uid="{00000000-0005-0000-0000-00009E0B0000}"/>
    <cellStyle name="40% - Accent3 3" xfId="5054" hidden="1" xr:uid="{00000000-0005-0000-0000-00009F0B0000}"/>
    <cellStyle name="40% - Accent3 3" xfId="5087" hidden="1" xr:uid="{00000000-0005-0000-0000-0000A00B0000}"/>
    <cellStyle name="40% - Accent3 3" xfId="5120" hidden="1" xr:uid="{00000000-0005-0000-0000-0000A10B0000}"/>
    <cellStyle name="40% - Accent3 3" xfId="5153" hidden="1" xr:uid="{00000000-0005-0000-0000-0000A20B0000}"/>
    <cellStyle name="40% - Accent3 3" xfId="5186" hidden="1" xr:uid="{00000000-0005-0000-0000-0000A30B0000}"/>
    <cellStyle name="40% - Accent3 3" xfId="5227" hidden="1" xr:uid="{00000000-0005-0000-0000-0000A40B0000}"/>
    <cellStyle name="40% - Accent3 3" xfId="5264" hidden="1" xr:uid="{00000000-0005-0000-0000-0000A50B0000}"/>
    <cellStyle name="40% - Accent3 3" xfId="5297" hidden="1" xr:uid="{00000000-0005-0000-0000-0000A60B0000}"/>
    <cellStyle name="40% - Accent3 3" xfId="5329" hidden="1" xr:uid="{00000000-0005-0000-0000-0000A70B0000}"/>
    <cellStyle name="40% - Accent3 3" xfId="5361" hidden="1" xr:uid="{00000000-0005-0000-0000-0000A80B0000}"/>
    <cellStyle name="40% - Accent3 3" xfId="5394" hidden="1" xr:uid="{00000000-0005-0000-0000-0000A90B0000}"/>
    <cellStyle name="40% - Accent3 3" xfId="5426" hidden="1" xr:uid="{00000000-0005-0000-0000-0000AA0B0000}"/>
    <cellStyle name="40% - Accent3 3" xfId="5459" hidden="1" xr:uid="{00000000-0005-0000-0000-0000AB0B0000}"/>
    <cellStyle name="40% - Accent3 3" xfId="5491" hidden="1" xr:uid="{00000000-0005-0000-0000-0000AC0B0000}"/>
    <cellStyle name="40% - Accent3 3" xfId="5524" hidden="1" xr:uid="{00000000-0005-0000-0000-0000AD0B0000}"/>
    <cellStyle name="40% - Accent3 3" xfId="5557" hidden="1" xr:uid="{00000000-0005-0000-0000-0000AE0B0000}"/>
    <cellStyle name="40% - Accent3 3" xfId="5590" hidden="1" xr:uid="{00000000-0005-0000-0000-0000AF0B0000}"/>
    <cellStyle name="40% - Accent3 3" xfId="5623" hidden="1" xr:uid="{00000000-0005-0000-0000-0000B00B0000}"/>
    <cellStyle name="40% - Accent3 3" xfId="5656" hidden="1" xr:uid="{00000000-0005-0000-0000-0000B10B0000}"/>
    <cellStyle name="40% - Accent3 3" xfId="5689" hidden="1" xr:uid="{00000000-0005-0000-0000-0000B20B0000}"/>
    <cellStyle name="40% - Accent3 3" xfId="5793" hidden="1" xr:uid="{00000000-0005-0000-0000-0000B30B0000}"/>
    <cellStyle name="40% - Accent3 3" xfId="5830" hidden="1" xr:uid="{00000000-0005-0000-0000-0000B40B0000}"/>
    <cellStyle name="40% - Accent3 3" xfId="5863" hidden="1" xr:uid="{00000000-0005-0000-0000-0000B50B0000}"/>
    <cellStyle name="40% - Accent3 3" xfId="5895" hidden="1" xr:uid="{00000000-0005-0000-0000-0000B60B0000}"/>
    <cellStyle name="40% - Accent3 3" xfId="5927" hidden="1" xr:uid="{00000000-0005-0000-0000-0000B70B0000}"/>
    <cellStyle name="40% - Accent3 3" xfId="5960" hidden="1" xr:uid="{00000000-0005-0000-0000-0000B80B0000}"/>
    <cellStyle name="40% - Accent3 3" xfId="5992" hidden="1" xr:uid="{00000000-0005-0000-0000-0000B90B0000}"/>
    <cellStyle name="40% - Accent3 3" xfId="6025" hidden="1" xr:uid="{00000000-0005-0000-0000-0000BA0B0000}"/>
    <cellStyle name="40% - Accent3 3" xfId="6057" hidden="1" xr:uid="{00000000-0005-0000-0000-0000BB0B0000}"/>
    <cellStyle name="40% - Accent3 3" xfId="6090" hidden="1" xr:uid="{00000000-0005-0000-0000-0000BC0B0000}"/>
    <cellStyle name="40% - Accent3 3" xfId="6123" hidden="1" xr:uid="{00000000-0005-0000-0000-0000BD0B0000}"/>
    <cellStyle name="40% - Accent3 3" xfId="6156" hidden="1" xr:uid="{00000000-0005-0000-0000-0000BE0B0000}"/>
    <cellStyle name="40% - Accent3 3" xfId="6189" hidden="1" xr:uid="{00000000-0005-0000-0000-0000BF0B0000}"/>
    <cellStyle name="40% - Accent3 3" xfId="6222" hidden="1" xr:uid="{00000000-0005-0000-0000-0000C00B0000}"/>
    <cellStyle name="40% - Accent3 3" xfId="6255" hidden="1" xr:uid="{00000000-0005-0000-0000-0000C10B0000}"/>
    <cellStyle name="40% - Accent3 3" xfId="5763" hidden="1" xr:uid="{00000000-0005-0000-0000-0000C20B0000}"/>
    <cellStyle name="40% - Accent3 3" xfId="6307" hidden="1" xr:uid="{00000000-0005-0000-0000-0000C30B0000}"/>
    <cellStyle name="40% - Accent3 3" xfId="6340" hidden="1" xr:uid="{00000000-0005-0000-0000-0000C40B0000}"/>
    <cellStyle name="40% - Accent3 3" xfId="6372" hidden="1" xr:uid="{00000000-0005-0000-0000-0000C50B0000}"/>
    <cellStyle name="40% - Accent3 3" xfId="6404" hidden="1" xr:uid="{00000000-0005-0000-0000-0000C60B0000}"/>
    <cellStyle name="40% - Accent3 3" xfId="6437" hidden="1" xr:uid="{00000000-0005-0000-0000-0000C70B0000}"/>
    <cellStyle name="40% - Accent3 3" xfId="6469" hidden="1" xr:uid="{00000000-0005-0000-0000-0000C80B0000}"/>
    <cellStyle name="40% - Accent3 3" xfId="6502" hidden="1" xr:uid="{00000000-0005-0000-0000-0000C90B0000}"/>
    <cellStyle name="40% - Accent3 3" xfId="6534" hidden="1" xr:uid="{00000000-0005-0000-0000-0000CA0B0000}"/>
    <cellStyle name="40% - Accent3 3" xfId="6567" hidden="1" xr:uid="{00000000-0005-0000-0000-0000CB0B0000}"/>
    <cellStyle name="40% - Accent3 3" xfId="6600" hidden="1" xr:uid="{00000000-0005-0000-0000-0000CC0B0000}"/>
    <cellStyle name="40% - Accent3 3" xfId="6633" hidden="1" xr:uid="{00000000-0005-0000-0000-0000CD0B0000}"/>
    <cellStyle name="40% - Accent3 3" xfId="6666" hidden="1" xr:uid="{00000000-0005-0000-0000-0000CE0B0000}"/>
    <cellStyle name="40% - Accent3 3" xfId="6699" hidden="1" xr:uid="{00000000-0005-0000-0000-0000CF0B0000}"/>
    <cellStyle name="40% - Accent3 3" xfId="6732" hidden="1" xr:uid="{00000000-0005-0000-0000-0000D00B0000}"/>
    <cellStyle name="40% - Accent3 3" xfId="6789" hidden="1" xr:uid="{00000000-0005-0000-0000-0000D10B0000}"/>
    <cellStyle name="40% - Accent3 3" xfId="6826" hidden="1" xr:uid="{00000000-0005-0000-0000-0000D20B0000}"/>
    <cellStyle name="40% - Accent3 3" xfId="6859" hidden="1" xr:uid="{00000000-0005-0000-0000-0000D30B0000}"/>
    <cellStyle name="40% - Accent3 3" xfId="6891" hidden="1" xr:uid="{00000000-0005-0000-0000-0000D40B0000}"/>
    <cellStyle name="40% - Accent3 3" xfId="6923" hidden="1" xr:uid="{00000000-0005-0000-0000-0000D50B0000}"/>
    <cellStyle name="40% - Accent3 3" xfId="6956" hidden="1" xr:uid="{00000000-0005-0000-0000-0000D60B0000}"/>
    <cellStyle name="40% - Accent3 3" xfId="6988" hidden="1" xr:uid="{00000000-0005-0000-0000-0000D70B0000}"/>
    <cellStyle name="40% - Accent3 3" xfId="7021" hidden="1" xr:uid="{00000000-0005-0000-0000-0000D80B0000}"/>
    <cellStyle name="40% - Accent3 3" xfId="7053" hidden="1" xr:uid="{00000000-0005-0000-0000-0000D90B0000}"/>
    <cellStyle name="40% - Accent3 3" xfId="7086" hidden="1" xr:uid="{00000000-0005-0000-0000-0000DA0B0000}"/>
    <cellStyle name="40% - Accent3 3" xfId="7119" hidden="1" xr:uid="{00000000-0005-0000-0000-0000DB0B0000}"/>
    <cellStyle name="40% - Accent3 3" xfId="7152" hidden="1" xr:uid="{00000000-0005-0000-0000-0000DC0B0000}"/>
    <cellStyle name="40% - Accent3 3" xfId="7185" hidden="1" xr:uid="{00000000-0005-0000-0000-0000DD0B0000}"/>
    <cellStyle name="40% - Accent3 3" xfId="7218" hidden="1" xr:uid="{00000000-0005-0000-0000-0000DE0B0000}"/>
    <cellStyle name="40% - Accent3 3" xfId="7251" hidden="1" xr:uid="{00000000-0005-0000-0000-0000DF0B0000}"/>
    <cellStyle name="40% - Accent3 3" xfId="7302" hidden="1" xr:uid="{00000000-0005-0000-0000-0000E00B0000}"/>
    <cellStyle name="40% - Accent3 3" xfId="7339" hidden="1" xr:uid="{00000000-0005-0000-0000-0000E10B0000}"/>
    <cellStyle name="40% - Accent3 3" xfId="7372" hidden="1" xr:uid="{00000000-0005-0000-0000-0000E20B0000}"/>
    <cellStyle name="40% - Accent3 3" xfId="7404" hidden="1" xr:uid="{00000000-0005-0000-0000-0000E30B0000}"/>
    <cellStyle name="40% - Accent3 3" xfId="7436" hidden="1" xr:uid="{00000000-0005-0000-0000-0000E40B0000}"/>
    <cellStyle name="40% - Accent3 3" xfId="7469" hidden="1" xr:uid="{00000000-0005-0000-0000-0000E50B0000}"/>
    <cellStyle name="40% - Accent3 3" xfId="7501" hidden="1" xr:uid="{00000000-0005-0000-0000-0000E60B0000}"/>
    <cellStyle name="40% - Accent3 3" xfId="7534" hidden="1" xr:uid="{00000000-0005-0000-0000-0000E70B0000}"/>
    <cellStyle name="40% - Accent3 3" xfId="7566" hidden="1" xr:uid="{00000000-0005-0000-0000-0000E80B0000}"/>
    <cellStyle name="40% - Accent3 3" xfId="7599" hidden="1" xr:uid="{00000000-0005-0000-0000-0000E90B0000}"/>
    <cellStyle name="40% - Accent3 3" xfId="7632" hidden="1" xr:uid="{00000000-0005-0000-0000-0000EA0B0000}"/>
    <cellStyle name="40% - Accent3 3" xfId="7665" hidden="1" xr:uid="{00000000-0005-0000-0000-0000EB0B0000}"/>
    <cellStyle name="40% - Accent3 3" xfId="7698" hidden="1" xr:uid="{00000000-0005-0000-0000-0000EC0B0000}"/>
    <cellStyle name="40% - Accent3 3" xfId="7731" hidden="1" xr:uid="{00000000-0005-0000-0000-0000ED0B0000}"/>
    <cellStyle name="40% - Accent3 3" xfId="7764" hidden="1" xr:uid="{00000000-0005-0000-0000-0000EE0B0000}"/>
    <cellStyle name="40% - Accent3 3" xfId="7274" hidden="1" xr:uid="{00000000-0005-0000-0000-0000EF0B0000}"/>
    <cellStyle name="40% - Accent3 3" xfId="7816" hidden="1" xr:uid="{00000000-0005-0000-0000-0000F00B0000}"/>
    <cellStyle name="40% - Accent3 3" xfId="7849" hidden="1" xr:uid="{00000000-0005-0000-0000-0000F10B0000}"/>
    <cellStyle name="40% - Accent3 3" xfId="7881" hidden="1" xr:uid="{00000000-0005-0000-0000-0000F20B0000}"/>
    <cellStyle name="40% - Accent3 3" xfId="7913" hidden="1" xr:uid="{00000000-0005-0000-0000-0000F30B0000}"/>
    <cellStyle name="40% - Accent3 3" xfId="7946" hidden="1" xr:uid="{00000000-0005-0000-0000-0000F40B0000}"/>
    <cellStyle name="40% - Accent3 3" xfId="7978" hidden="1" xr:uid="{00000000-0005-0000-0000-0000F50B0000}"/>
    <cellStyle name="40% - Accent3 3" xfId="8011" hidden="1" xr:uid="{00000000-0005-0000-0000-0000F60B0000}"/>
    <cellStyle name="40% - Accent3 3" xfId="8043" hidden="1" xr:uid="{00000000-0005-0000-0000-0000F70B0000}"/>
    <cellStyle name="40% - Accent3 3" xfId="8076" hidden="1" xr:uid="{00000000-0005-0000-0000-0000F80B0000}"/>
    <cellStyle name="40% - Accent3 3" xfId="8109" hidden="1" xr:uid="{00000000-0005-0000-0000-0000F90B0000}"/>
    <cellStyle name="40% - Accent3 3" xfId="8142" hidden="1" xr:uid="{00000000-0005-0000-0000-0000FA0B0000}"/>
    <cellStyle name="40% - Accent3 3" xfId="8175" hidden="1" xr:uid="{00000000-0005-0000-0000-0000FB0B0000}"/>
    <cellStyle name="40% - Accent3 3" xfId="8208" hidden="1" xr:uid="{00000000-0005-0000-0000-0000FC0B0000}"/>
    <cellStyle name="40% - Accent3 3" xfId="8241" hidden="1" xr:uid="{00000000-0005-0000-0000-0000FD0B0000}"/>
    <cellStyle name="40% - Accent3 3" xfId="6776" hidden="1" xr:uid="{00000000-0005-0000-0000-0000FE0B0000}"/>
    <cellStyle name="40% - Accent3 3" xfId="4363" hidden="1" xr:uid="{00000000-0005-0000-0000-0000FF0B0000}"/>
    <cellStyle name="40% - Accent3 3" xfId="6766" hidden="1" xr:uid="{00000000-0005-0000-0000-0000000C0000}"/>
    <cellStyle name="40% - Accent3 3" xfId="4307" hidden="1" xr:uid="{00000000-0005-0000-0000-0000010C0000}"/>
    <cellStyle name="40% - Accent3 3" xfId="5722" hidden="1" xr:uid="{00000000-0005-0000-0000-0000020C0000}"/>
    <cellStyle name="40% - Accent3 3" xfId="4265" hidden="1" xr:uid="{00000000-0005-0000-0000-0000030C0000}"/>
    <cellStyle name="40% - Accent3 3" xfId="4245" hidden="1" xr:uid="{00000000-0005-0000-0000-0000040C0000}"/>
    <cellStyle name="40% - Accent3 3" xfId="8286" hidden="1" xr:uid="{00000000-0005-0000-0000-0000050C0000}"/>
    <cellStyle name="40% - Accent3 3" xfId="8319" hidden="1" xr:uid="{00000000-0005-0000-0000-0000060C0000}"/>
    <cellStyle name="40% - Accent3 3" xfId="8352" hidden="1" xr:uid="{00000000-0005-0000-0000-0000070C0000}"/>
    <cellStyle name="40% - Accent3 3" xfId="8385" hidden="1" xr:uid="{00000000-0005-0000-0000-0000080C0000}"/>
    <cellStyle name="40% - Accent3 3" xfId="8422" hidden="1" xr:uid="{00000000-0005-0000-0000-0000090C0000}"/>
    <cellStyle name="40% - Accent3 3" xfId="8455" hidden="1" xr:uid="{00000000-0005-0000-0000-00000A0C0000}"/>
    <cellStyle name="40% - Accent3 3" xfId="8487" hidden="1" xr:uid="{00000000-0005-0000-0000-00000B0C0000}"/>
    <cellStyle name="40% - Accent3 3" xfId="8519" hidden="1" xr:uid="{00000000-0005-0000-0000-00000C0C0000}"/>
    <cellStyle name="40% - Accent3 3" xfId="8552" hidden="1" xr:uid="{00000000-0005-0000-0000-00000D0C0000}"/>
    <cellStyle name="40% - Accent3 3" xfId="8584" hidden="1" xr:uid="{00000000-0005-0000-0000-00000E0C0000}"/>
    <cellStyle name="40% - Accent3 3" xfId="8617" hidden="1" xr:uid="{00000000-0005-0000-0000-00000F0C0000}"/>
    <cellStyle name="40% - Accent3 3" xfId="8649" hidden="1" xr:uid="{00000000-0005-0000-0000-0000100C0000}"/>
    <cellStyle name="40% - Accent3 3" xfId="8682" hidden="1" xr:uid="{00000000-0005-0000-0000-0000110C0000}"/>
    <cellStyle name="40% - Accent3 3" xfId="8715" hidden="1" xr:uid="{00000000-0005-0000-0000-0000120C0000}"/>
    <cellStyle name="40% - Accent3 3" xfId="8748" hidden="1" xr:uid="{00000000-0005-0000-0000-0000130C0000}"/>
    <cellStyle name="40% - Accent3 3" xfId="8781" hidden="1" xr:uid="{00000000-0005-0000-0000-0000140C0000}"/>
    <cellStyle name="40% - Accent3 3" xfId="8814" hidden="1" xr:uid="{00000000-0005-0000-0000-0000150C0000}"/>
    <cellStyle name="40% - Accent3 3" xfId="8847" hidden="1" xr:uid="{00000000-0005-0000-0000-0000160C0000}"/>
    <cellStyle name="40% - Accent3 3" xfId="8887" hidden="1" xr:uid="{00000000-0005-0000-0000-0000170C0000}"/>
    <cellStyle name="40% - Accent3 3" xfId="8924" hidden="1" xr:uid="{00000000-0005-0000-0000-0000180C0000}"/>
    <cellStyle name="40% - Accent3 3" xfId="8957" hidden="1" xr:uid="{00000000-0005-0000-0000-0000190C0000}"/>
    <cellStyle name="40% - Accent3 3" xfId="8989" hidden="1" xr:uid="{00000000-0005-0000-0000-00001A0C0000}"/>
    <cellStyle name="40% - Accent3 3" xfId="9021" hidden="1" xr:uid="{00000000-0005-0000-0000-00001B0C0000}"/>
    <cellStyle name="40% - Accent3 3" xfId="9054" hidden="1" xr:uid="{00000000-0005-0000-0000-00001C0C0000}"/>
    <cellStyle name="40% - Accent3 3" xfId="9086" hidden="1" xr:uid="{00000000-0005-0000-0000-00001D0C0000}"/>
    <cellStyle name="40% - Accent3 3" xfId="9119" hidden="1" xr:uid="{00000000-0005-0000-0000-00001E0C0000}"/>
    <cellStyle name="40% - Accent3 3" xfId="9151" hidden="1" xr:uid="{00000000-0005-0000-0000-00001F0C0000}"/>
    <cellStyle name="40% - Accent3 3" xfId="9184" hidden="1" xr:uid="{00000000-0005-0000-0000-0000200C0000}"/>
    <cellStyle name="40% - Accent3 3" xfId="9217" hidden="1" xr:uid="{00000000-0005-0000-0000-0000210C0000}"/>
    <cellStyle name="40% - Accent3 3" xfId="9250" hidden="1" xr:uid="{00000000-0005-0000-0000-0000220C0000}"/>
    <cellStyle name="40% - Accent3 3" xfId="9283" hidden="1" xr:uid="{00000000-0005-0000-0000-0000230C0000}"/>
    <cellStyle name="40% - Accent3 3" xfId="9316" hidden="1" xr:uid="{00000000-0005-0000-0000-0000240C0000}"/>
    <cellStyle name="40% - Accent3 3" xfId="9349" hidden="1" xr:uid="{00000000-0005-0000-0000-0000250C0000}"/>
    <cellStyle name="40% - Accent3 3" xfId="9400" hidden="1" xr:uid="{00000000-0005-0000-0000-0000260C0000}"/>
    <cellStyle name="40% - Accent3 3" xfId="9437" hidden="1" xr:uid="{00000000-0005-0000-0000-0000270C0000}"/>
    <cellStyle name="40% - Accent3 3" xfId="9470" hidden="1" xr:uid="{00000000-0005-0000-0000-0000280C0000}"/>
    <cellStyle name="40% - Accent3 3" xfId="9502" hidden="1" xr:uid="{00000000-0005-0000-0000-0000290C0000}"/>
    <cellStyle name="40% - Accent3 3" xfId="9534" hidden="1" xr:uid="{00000000-0005-0000-0000-00002A0C0000}"/>
    <cellStyle name="40% - Accent3 3" xfId="9567" hidden="1" xr:uid="{00000000-0005-0000-0000-00002B0C0000}"/>
    <cellStyle name="40% - Accent3 3" xfId="9599" hidden="1" xr:uid="{00000000-0005-0000-0000-00002C0C0000}"/>
    <cellStyle name="40% - Accent3 3" xfId="9632" hidden="1" xr:uid="{00000000-0005-0000-0000-00002D0C0000}"/>
    <cellStyle name="40% - Accent3 3" xfId="9664" hidden="1" xr:uid="{00000000-0005-0000-0000-00002E0C0000}"/>
    <cellStyle name="40% - Accent3 3" xfId="9697" hidden="1" xr:uid="{00000000-0005-0000-0000-00002F0C0000}"/>
    <cellStyle name="40% - Accent3 3" xfId="9730" hidden="1" xr:uid="{00000000-0005-0000-0000-0000300C0000}"/>
    <cellStyle name="40% - Accent3 3" xfId="9763" hidden="1" xr:uid="{00000000-0005-0000-0000-0000310C0000}"/>
    <cellStyle name="40% - Accent3 3" xfId="9796" hidden="1" xr:uid="{00000000-0005-0000-0000-0000320C0000}"/>
    <cellStyle name="40% - Accent3 3" xfId="9829" hidden="1" xr:uid="{00000000-0005-0000-0000-0000330C0000}"/>
    <cellStyle name="40% - Accent3 3" xfId="9862" hidden="1" xr:uid="{00000000-0005-0000-0000-0000340C0000}"/>
    <cellStyle name="40% - Accent3 3" xfId="9372" hidden="1" xr:uid="{00000000-0005-0000-0000-0000350C0000}"/>
    <cellStyle name="40% - Accent3 3" xfId="9914" hidden="1" xr:uid="{00000000-0005-0000-0000-0000360C0000}"/>
    <cellStyle name="40% - Accent3 3" xfId="9947" hidden="1" xr:uid="{00000000-0005-0000-0000-0000370C0000}"/>
    <cellStyle name="40% - Accent3 3" xfId="9979" hidden="1" xr:uid="{00000000-0005-0000-0000-0000380C0000}"/>
    <cellStyle name="40% - Accent3 3" xfId="10011" hidden="1" xr:uid="{00000000-0005-0000-0000-0000390C0000}"/>
    <cellStyle name="40% - Accent3 3" xfId="10044" hidden="1" xr:uid="{00000000-0005-0000-0000-00003A0C0000}"/>
    <cellStyle name="40% - Accent3 3" xfId="10076" hidden="1" xr:uid="{00000000-0005-0000-0000-00003B0C0000}"/>
    <cellStyle name="40% - Accent3 3" xfId="10109" hidden="1" xr:uid="{00000000-0005-0000-0000-00003C0C0000}"/>
    <cellStyle name="40% - Accent3 3" xfId="10141" hidden="1" xr:uid="{00000000-0005-0000-0000-00003D0C0000}"/>
    <cellStyle name="40% - Accent3 3" xfId="10174" hidden="1" xr:uid="{00000000-0005-0000-0000-00003E0C0000}"/>
    <cellStyle name="40% - Accent3 3" xfId="10207" hidden="1" xr:uid="{00000000-0005-0000-0000-00003F0C0000}"/>
    <cellStyle name="40% - Accent3 3" xfId="10240" hidden="1" xr:uid="{00000000-0005-0000-0000-0000400C0000}"/>
    <cellStyle name="40% - Accent3 3" xfId="10273" hidden="1" xr:uid="{00000000-0005-0000-0000-0000410C0000}"/>
    <cellStyle name="40% - Accent3 3" xfId="10306" hidden="1" xr:uid="{00000000-0005-0000-0000-0000420C0000}"/>
    <cellStyle name="40% - Accent3 3" xfId="10339" hidden="1" xr:uid="{00000000-0005-0000-0000-0000430C0000}"/>
    <cellStyle name="40% - Accent3 3" xfId="10365" hidden="1" xr:uid="{00000000-0005-0000-0000-0000440C0000}"/>
    <cellStyle name="40% - Accent3 3" xfId="10402" hidden="1" xr:uid="{00000000-0005-0000-0000-0000450C0000}"/>
    <cellStyle name="40% - Accent3 3" xfId="10435" hidden="1" xr:uid="{00000000-0005-0000-0000-0000460C0000}"/>
    <cellStyle name="40% - Accent3 3" xfId="10467" hidden="1" xr:uid="{00000000-0005-0000-0000-0000470C0000}"/>
    <cellStyle name="40% - Accent3 3" xfId="10499" hidden="1" xr:uid="{00000000-0005-0000-0000-0000480C0000}"/>
    <cellStyle name="40% - Accent3 3" xfId="10532" hidden="1" xr:uid="{00000000-0005-0000-0000-0000490C0000}"/>
    <cellStyle name="40% - Accent3 3" xfId="10564" hidden="1" xr:uid="{00000000-0005-0000-0000-00004A0C0000}"/>
    <cellStyle name="40% - Accent3 3" xfId="10597" hidden="1" xr:uid="{00000000-0005-0000-0000-00004B0C0000}"/>
    <cellStyle name="40% - Accent3 3" xfId="10629" hidden="1" xr:uid="{00000000-0005-0000-0000-00004C0C0000}"/>
    <cellStyle name="40% - Accent3 3" xfId="10662" hidden="1" xr:uid="{00000000-0005-0000-0000-00004D0C0000}"/>
    <cellStyle name="40% - Accent3 3" xfId="10695" hidden="1" xr:uid="{00000000-0005-0000-0000-00004E0C0000}"/>
    <cellStyle name="40% - Accent3 3" xfId="10728" hidden="1" xr:uid="{00000000-0005-0000-0000-00004F0C0000}"/>
    <cellStyle name="40% - Accent3 3" xfId="10761" hidden="1" xr:uid="{00000000-0005-0000-0000-0000500C0000}"/>
    <cellStyle name="40% - Accent3 3" xfId="10794" hidden="1" xr:uid="{00000000-0005-0000-0000-0000510C0000}"/>
    <cellStyle name="40% - Accent3 3" xfId="10827" hidden="1" xr:uid="{00000000-0005-0000-0000-0000520C0000}"/>
    <cellStyle name="40% - Accent3 3" xfId="10878" hidden="1" xr:uid="{00000000-0005-0000-0000-0000530C0000}"/>
    <cellStyle name="40% - Accent3 3" xfId="10915" hidden="1" xr:uid="{00000000-0005-0000-0000-0000540C0000}"/>
    <cellStyle name="40% - Accent3 3" xfId="10948" hidden="1" xr:uid="{00000000-0005-0000-0000-0000550C0000}"/>
    <cellStyle name="40% - Accent3 3" xfId="10980" hidden="1" xr:uid="{00000000-0005-0000-0000-0000560C0000}"/>
    <cellStyle name="40% - Accent3 3" xfId="11012" hidden="1" xr:uid="{00000000-0005-0000-0000-0000570C0000}"/>
    <cellStyle name="40% - Accent3 3" xfId="11045" hidden="1" xr:uid="{00000000-0005-0000-0000-0000580C0000}"/>
    <cellStyle name="40% - Accent3 3" xfId="11077" hidden="1" xr:uid="{00000000-0005-0000-0000-0000590C0000}"/>
    <cellStyle name="40% - Accent3 3" xfId="11110" hidden="1" xr:uid="{00000000-0005-0000-0000-00005A0C0000}"/>
    <cellStyle name="40% - Accent3 3" xfId="11142" hidden="1" xr:uid="{00000000-0005-0000-0000-00005B0C0000}"/>
    <cellStyle name="40% - Accent3 3" xfId="11175" hidden="1" xr:uid="{00000000-0005-0000-0000-00005C0C0000}"/>
    <cellStyle name="40% - Accent3 3" xfId="11208" hidden="1" xr:uid="{00000000-0005-0000-0000-00005D0C0000}"/>
    <cellStyle name="40% - Accent3 3" xfId="11241" hidden="1" xr:uid="{00000000-0005-0000-0000-00005E0C0000}"/>
    <cellStyle name="40% - Accent3 3" xfId="11274" hidden="1" xr:uid="{00000000-0005-0000-0000-00005F0C0000}"/>
    <cellStyle name="40% - Accent3 3" xfId="11307" hidden="1" xr:uid="{00000000-0005-0000-0000-0000600C0000}"/>
    <cellStyle name="40% - Accent3 3" xfId="11340" hidden="1" xr:uid="{00000000-0005-0000-0000-0000610C0000}"/>
    <cellStyle name="40% - Accent3 3" xfId="10850" hidden="1" xr:uid="{00000000-0005-0000-0000-0000620C0000}"/>
    <cellStyle name="40% - Accent3 3" xfId="11392" hidden="1" xr:uid="{00000000-0005-0000-0000-0000630C0000}"/>
    <cellStyle name="40% - Accent3 3" xfId="11425" hidden="1" xr:uid="{00000000-0005-0000-0000-0000640C0000}"/>
    <cellStyle name="40% - Accent3 3" xfId="11457" hidden="1" xr:uid="{00000000-0005-0000-0000-0000650C0000}"/>
    <cellStyle name="40% - Accent3 3" xfId="11489" hidden="1" xr:uid="{00000000-0005-0000-0000-0000660C0000}"/>
    <cellStyle name="40% - Accent3 3" xfId="11522" hidden="1" xr:uid="{00000000-0005-0000-0000-0000670C0000}"/>
    <cellStyle name="40% - Accent3 3" xfId="11554" hidden="1" xr:uid="{00000000-0005-0000-0000-0000680C0000}"/>
    <cellStyle name="40% - Accent3 3" xfId="11587" hidden="1" xr:uid="{00000000-0005-0000-0000-0000690C0000}"/>
    <cellStyle name="40% - Accent3 3" xfId="11619" hidden="1" xr:uid="{00000000-0005-0000-0000-00006A0C0000}"/>
    <cellStyle name="40% - Accent3 3" xfId="11652" hidden="1" xr:uid="{00000000-0005-0000-0000-00006B0C0000}"/>
    <cellStyle name="40% - Accent3 3" xfId="11685" hidden="1" xr:uid="{00000000-0005-0000-0000-00006C0C0000}"/>
    <cellStyle name="40% - Accent3 3" xfId="11718" hidden="1" xr:uid="{00000000-0005-0000-0000-00006D0C0000}"/>
    <cellStyle name="40% - Accent3 3" xfId="11751" hidden="1" xr:uid="{00000000-0005-0000-0000-00006E0C0000}"/>
    <cellStyle name="40% - Accent3 3" xfId="11784" hidden="1" xr:uid="{00000000-0005-0000-0000-00006F0C0000}"/>
    <cellStyle name="40% - Accent3 3" xfId="11817" xr:uid="{00000000-0005-0000-0000-0000700C0000}"/>
    <cellStyle name="40% - Accent4 2" xfId="52" xr:uid="{00000000-0005-0000-0000-0000710C0000}"/>
    <cellStyle name="40% - Accent4 2 2" xfId="1582" xr:uid="{00000000-0005-0000-0000-0000720C0000}"/>
    <cellStyle name="40% - Accent4 2 3" xfId="2719" xr:uid="{00000000-0005-0000-0000-0000730C0000}"/>
    <cellStyle name="40% - Accent4 3" xfId="224" hidden="1" xr:uid="{00000000-0005-0000-0000-0000740C0000}"/>
    <cellStyle name="40% - Accent4 3" xfId="239" hidden="1" xr:uid="{00000000-0005-0000-0000-0000750C0000}"/>
    <cellStyle name="40% - Accent4 3" xfId="272" hidden="1" xr:uid="{00000000-0005-0000-0000-0000760C0000}"/>
    <cellStyle name="40% - Accent4 3" xfId="305" hidden="1" xr:uid="{00000000-0005-0000-0000-0000770C0000}"/>
    <cellStyle name="40% - Accent4 3" xfId="338" hidden="1" xr:uid="{00000000-0005-0000-0000-0000780C0000}"/>
    <cellStyle name="40% - Accent4 3" xfId="372" hidden="1" xr:uid="{00000000-0005-0000-0000-0000790C0000}"/>
    <cellStyle name="40% - Accent4 3" xfId="405" hidden="1" xr:uid="{00000000-0005-0000-0000-00007A0C0000}"/>
    <cellStyle name="40% - Accent4 3" xfId="438" hidden="1" xr:uid="{00000000-0005-0000-0000-00007B0C0000}"/>
    <cellStyle name="40% - Accent4 3" xfId="471" hidden="1" xr:uid="{00000000-0005-0000-0000-00007C0C0000}"/>
    <cellStyle name="40% - Accent4 3" xfId="504" hidden="1" xr:uid="{00000000-0005-0000-0000-00007D0C0000}"/>
    <cellStyle name="40% - Accent4 3" xfId="537" hidden="1" xr:uid="{00000000-0005-0000-0000-00007E0C0000}"/>
    <cellStyle name="40% - Accent4 3" xfId="570" hidden="1" xr:uid="{00000000-0005-0000-0000-00007F0C0000}"/>
    <cellStyle name="40% - Accent4 3" xfId="607" hidden="1" xr:uid="{00000000-0005-0000-0000-0000800C0000}"/>
    <cellStyle name="40% - Accent4 3" xfId="640" hidden="1" xr:uid="{00000000-0005-0000-0000-0000810C0000}"/>
    <cellStyle name="40% - Accent4 3" xfId="672" hidden="1" xr:uid="{00000000-0005-0000-0000-0000820C0000}"/>
    <cellStyle name="40% - Accent4 3" xfId="704" hidden="1" xr:uid="{00000000-0005-0000-0000-0000830C0000}"/>
    <cellStyle name="40% - Accent4 3" xfId="737" hidden="1" xr:uid="{00000000-0005-0000-0000-0000840C0000}"/>
    <cellStyle name="40% - Accent4 3" xfId="769" hidden="1" xr:uid="{00000000-0005-0000-0000-0000850C0000}"/>
    <cellStyle name="40% - Accent4 3" xfId="802" hidden="1" xr:uid="{00000000-0005-0000-0000-0000860C0000}"/>
    <cellStyle name="40% - Accent4 3" xfId="834" hidden="1" xr:uid="{00000000-0005-0000-0000-0000870C0000}"/>
    <cellStyle name="40% - Accent4 3" xfId="867" hidden="1" xr:uid="{00000000-0005-0000-0000-0000880C0000}"/>
    <cellStyle name="40% - Accent4 3" xfId="900" hidden="1" xr:uid="{00000000-0005-0000-0000-0000890C0000}"/>
    <cellStyle name="40% - Accent4 3" xfId="933" hidden="1" xr:uid="{00000000-0005-0000-0000-00008A0C0000}"/>
    <cellStyle name="40% - Accent4 3" xfId="966" hidden="1" xr:uid="{00000000-0005-0000-0000-00008B0C0000}"/>
    <cellStyle name="40% - Accent4 3" xfId="999" hidden="1" xr:uid="{00000000-0005-0000-0000-00008C0C0000}"/>
    <cellStyle name="40% - Accent4 3" xfId="1032" hidden="1" xr:uid="{00000000-0005-0000-0000-00008D0C0000}"/>
    <cellStyle name="40% - Accent4 3" xfId="1075" hidden="1" xr:uid="{00000000-0005-0000-0000-00008E0C0000}"/>
    <cellStyle name="40% - Accent4 3" xfId="1113" hidden="1" xr:uid="{00000000-0005-0000-0000-00008F0C0000}"/>
    <cellStyle name="40% - Accent4 3" xfId="1146" hidden="1" xr:uid="{00000000-0005-0000-0000-0000900C0000}"/>
    <cellStyle name="40% - Accent4 3" xfId="1178" hidden="1" xr:uid="{00000000-0005-0000-0000-0000910C0000}"/>
    <cellStyle name="40% - Accent4 3" xfId="1210" hidden="1" xr:uid="{00000000-0005-0000-0000-0000920C0000}"/>
    <cellStyle name="40% - Accent4 3" xfId="1243" hidden="1" xr:uid="{00000000-0005-0000-0000-0000930C0000}"/>
    <cellStyle name="40% - Accent4 3" xfId="1275" hidden="1" xr:uid="{00000000-0005-0000-0000-0000940C0000}"/>
    <cellStyle name="40% - Accent4 3" xfId="1308" hidden="1" xr:uid="{00000000-0005-0000-0000-0000950C0000}"/>
    <cellStyle name="40% - Accent4 3" xfId="1340" hidden="1" xr:uid="{00000000-0005-0000-0000-0000960C0000}"/>
    <cellStyle name="40% - Accent4 3" xfId="1373" hidden="1" xr:uid="{00000000-0005-0000-0000-0000970C0000}"/>
    <cellStyle name="40% - Accent4 3" xfId="1406" hidden="1" xr:uid="{00000000-0005-0000-0000-0000980C0000}"/>
    <cellStyle name="40% - Accent4 3" xfId="1439" hidden="1" xr:uid="{00000000-0005-0000-0000-0000990C0000}"/>
    <cellStyle name="40% - Accent4 3" xfId="1472" hidden="1" xr:uid="{00000000-0005-0000-0000-00009A0C0000}"/>
    <cellStyle name="40% - Accent4 3" xfId="1505" hidden="1" xr:uid="{00000000-0005-0000-0000-00009B0C0000}"/>
    <cellStyle name="40% - Accent4 3" xfId="1538" hidden="1" xr:uid="{00000000-0005-0000-0000-00009C0C0000}"/>
    <cellStyle name="40% - Accent4 3" xfId="1752" hidden="1" xr:uid="{00000000-0005-0000-0000-00009D0C0000}"/>
    <cellStyle name="40% - Accent4 3" xfId="1789" hidden="1" xr:uid="{00000000-0005-0000-0000-00009E0C0000}"/>
    <cellStyle name="40% - Accent4 3" xfId="1822" hidden="1" xr:uid="{00000000-0005-0000-0000-00009F0C0000}"/>
    <cellStyle name="40% - Accent4 3" xfId="1854" hidden="1" xr:uid="{00000000-0005-0000-0000-0000A00C0000}"/>
    <cellStyle name="40% - Accent4 3" xfId="1886" hidden="1" xr:uid="{00000000-0005-0000-0000-0000A10C0000}"/>
    <cellStyle name="40% - Accent4 3" xfId="1919" hidden="1" xr:uid="{00000000-0005-0000-0000-0000A20C0000}"/>
    <cellStyle name="40% - Accent4 3" xfId="1951" hidden="1" xr:uid="{00000000-0005-0000-0000-0000A30C0000}"/>
    <cellStyle name="40% - Accent4 3" xfId="1984" hidden="1" xr:uid="{00000000-0005-0000-0000-0000A40C0000}"/>
    <cellStyle name="40% - Accent4 3" xfId="2016" hidden="1" xr:uid="{00000000-0005-0000-0000-0000A50C0000}"/>
    <cellStyle name="40% - Accent4 3" xfId="2049" hidden="1" xr:uid="{00000000-0005-0000-0000-0000A60C0000}"/>
    <cellStyle name="40% - Accent4 3" xfId="2082" hidden="1" xr:uid="{00000000-0005-0000-0000-0000A70C0000}"/>
    <cellStyle name="40% - Accent4 3" xfId="2115" hidden="1" xr:uid="{00000000-0005-0000-0000-0000A80C0000}"/>
    <cellStyle name="40% - Accent4 3" xfId="2148" hidden="1" xr:uid="{00000000-0005-0000-0000-0000A90C0000}"/>
    <cellStyle name="40% - Accent4 3" xfId="2181" hidden="1" xr:uid="{00000000-0005-0000-0000-0000AA0C0000}"/>
    <cellStyle name="40% - Accent4 3" xfId="2214" hidden="1" xr:uid="{00000000-0005-0000-0000-0000AB0C0000}"/>
    <cellStyle name="40% - Accent4 3" xfId="1730" hidden="1" xr:uid="{00000000-0005-0000-0000-0000AC0C0000}"/>
    <cellStyle name="40% - Accent4 3" xfId="2266" hidden="1" xr:uid="{00000000-0005-0000-0000-0000AD0C0000}"/>
    <cellStyle name="40% - Accent4 3" xfId="2299" hidden="1" xr:uid="{00000000-0005-0000-0000-0000AE0C0000}"/>
    <cellStyle name="40% - Accent4 3" xfId="2331" hidden="1" xr:uid="{00000000-0005-0000-0000-0000AF0C0000}"/>
    <cellStyle name="40% - Accent4 3" xfId="2363" hidden="1" xr:uid="{00000000-0005-0000-0000-0000B00C0000}"/>
    <cellStyle name="40% - Accent4 3" xfId="2396" hidden="1" xr:uid="{00000000-0005-0000-0000-0000B10C0000}"/>
    <cellStyle name="40% - Accent4 3" xfId="2428" hidden="1" xr:uid="{00000000-0005-0000-0000-0000B20C0000}"/>
    <cellStyle name="40% - Accent4 3" xfId="2461" hidden="1" xr:uid="{00000000-0005-0000-0000-0000B30C0000}"/>
    <cellStyle name="40% - Accent4 3" xfId="2493" hidden="1" xr:uid="{00000000-0005-0000-0000-0000B40C0000}"/>
    <cellStyle name="40% - Accent4 3" xfId="2526" hidden="1" xr:uid="{00000000-0005-0000-0000-0000B50C0000}"/>
    <cellStyle name="40% - Accent4 3" xfId="2559" hidden="1" xr:uid="{00000000-0005-0000-0000-0000B60C0000}"/>
    <cellStyle name="40% - Accent4 3" xfId="2592" hidden="1" xr:uid="{00000000-0005-0000-0000-0000B70C0000}"/>
    <cellStyle name="40% - Accent4 3" xfId="2625" hidden="1" xr:uid="{00000000-0005-0000-0000-0000B80C0000}"/>
    <cellStyle name="40% - Accent4 3" xfId="2658" hidden="1" xr:uid="{00000000-0005-0000-0000-0000B90C0000}"/>
    <cellStyle name="40% - Accent4 3" xfId="2691" hidden="1" xr:uid="{00000000-0005-0000-0000-0000BA0C0000}"/>
    <cellStyle name="40% - Accent4 3" xfId="2772" hidden="1" xr:uid="{00000000-0005-0000-0000-0000BB0C0000}"/>
    <cellStyle name="40% - Accent4 3" xfId="2809" hidden="1" xr:uid="{00000000-0005-0000-0000-0000BC0C0000}"/>
    <cellStyle name="40% - Accent4 3" xfId="2842" hidden="1" xr:uid="{00000000-0005-0000-0000-0000BD0C0000}"/>
    <cellStyle name="40% - Accent4 3" xfId="2874" hidden="1" xr:uid="{00000000-0005-0000-0000-0000BE0C0000}"/>
    <cellStyle name="40% - Accent4 3" xfId="2906" hidden="1" xr:uid="{00000000-0005-0000-0000-0000BF0C0000}"/>
    <cellStyle name="40% - Accent4 3" xfId="2939" hidden="1" xr:uid="{00000000-0005-0000-0000-0000C00C0000}"/>
    <cellStyle name="40% - Accent4 3" xfId="2971" hidden="1" xr:uid="{00000000-0005-0000-0000-0000C10C0000}"/>
    <cellStyle name="40% - Accent4 3" xfId="3004" hidden="1" xr:uid="{00000000-0005-0000-0000-0000C20C0000}"/>
    <cellStyle name="40% - Accent4 3" xfId="3036" hidden="1" xr:uid="{00000000-0005-0000-0000-0000C30C0000}"/>
    <cellStyle name="40% - Accent4 3" xfId="3069" hidden="1" xr:uid="{00000000-0005-0000-0000-0000C40C0000}"/>
    <cellStyle name="40% - Accent4 3" xfId="3102" hidden="1" xr:uid="{00000000-0005-0000-0000-0000C50C0000}"/>
    <cellStyle name="40% - Accent4 3" xfId="3135" hidden="1" xr:uid="{00000000-0005-0000-0000-0000C60C0000}"/>
    <cellStyle name="40% - Accent4 3" xfId="3168" hidden="1" xr:uid="{00000000-0005-0000-0000-0000C70C0000}"/>
    <cellStyle name="40% - Accent4 3" xfId="3201" hidden="1" xr:uid="{00000000-0005-0000-0000-0000C80C0000}"/>
    <cellStyle name="40% - Accent4 3" xfId="3234" hidden="1" xr:uid="{00000000-0005-0000-0000-0000C90C0000}"/>
    <cellStyle name="40% - Accent4 3" xfId="3285" hidden="1" xr:uid="{00000000-0005-0000-0000-0000CA0C0000}"/>
    <cellStyle name="40% - Accent4 3" xfId="3322" hidden="1" xr:uid="{00000000-0005-0000-0000-0000CB0C0000}"/>
    <cellStyle name="40% - Accent4 3" xfId="3355" hidden="1" xr:uid="{00000000-0005-0000-0000-0000CC0C0000}"/>
    <cellStyle name="40% - Accent4 3" xfId="3387" hidden="1" xr:uid="{00000000-0005-0000-0000-0000CD0C0000}"/>
    <cellStyle name="40% - Accent4 3" xfId="3419" hidden="1" xr:uid="{00000000-0005-0000-0000-0000CE0C0000}"/>
    <cellStyle name="40% - Accent4 3" xfId="3452" hidden="1" xr:uid="{00000000-0005-0000-0000-0000CF0C0000}"/>
    <cellStyle name="40% - Accent4 3" xfId="3484" hidden="1" xr:uid="{00000000-0005-0000-0000-0000D00C0000}"/>
    <cellStyle name="40% - Accent4 3" xfId="3517" hidden="1" xr:uid="{00000000-0005-0000-0000-0000D10C0000}"/>
    <cellStyle name="40% - Accent4 3" xfId="3549" hidden="1" xr:uid="{00000000-0005-0000-0000-0000D20C0000}"/>
    <cellStyle name="40% - Accent4 3" xfId="3582" hidden="1" xr:uid="{00000000-0005-0000-0000-0000D30C0000}"/>
    <cellStyle name="40% - Accent4 3" xfId="3615" hidden="1" xr:uid="{00000000-0005-0000-0000-0000D40C0000}"/>
    <cellStyle name="40% - Accent4 3" xfId="3648" hidden="1" xr:uid="{00000000-0005-0000-0000-0000D50C0000}"/>
    <cellStyle name="40% - Accent4 3" xfId="3681" hidden="1" xr:uid="{00000000-0005-0000-0000-0000D60C0000}"/>
    <cellStyle name="40% - Accent4 3" xfId="3714" hidden="1" xr:uid="{00000000-0005-0000-0000-0000D70C0000}"/>
    <cellStyle name="40% - Accent4 3" xfId="3747" hidden="1" xr:uid="{00000000-0005-0000-0000-0000D80C0000}"/>
    <cellStyle name="40% - Accent4 3" xfId="3263" hidden="1" xr:uid="{00000000-0005-0000-0000-0000D90C0000}"/>
    <cellStyle name="40% - Accent4 3" xfId="3799" hidden="1" xr:uid="{00000000-0005-0000-0000-0000DA0C0000}"/>
    <cellStyle name="40% - Accent4 3" xfId="3832" hidden="1" xr:uid="{00000000-0005-0000-0000-0000DB0C0000}"/>
    <cellStyle name="40% - Accent4 3" xfId="3864" hidden="1" xr:uid="{00000000-0005-0000-0000-0000DC0C0000}"/>
    <cellStyle name="40% - Accent4 3" xfId="3896" hidden="1" xr:uid="{00000000-0005-0000-0000-0000DD0C0000}"/>
    <cellStyle name="40% - Accent4 3" xfId="3929" hidden="1" xr:uid="{00000000-0005-0000-0000-0000DE0C0000}"/>
    <cellStyle name="40% - Accent4 3" xfId="3961" hidden="1" xr:uid="{00000000-0005-0000-0000-0000DF0C0000}"/>
    <cellStyle name="40% - Accent4 3" xfId="3994" hidden="1" xr:uid="{00000000-0005-0000-0000-0000E00C0000}"/>
    <cellStyle name="40% - Accent4 3" xfId="4026" hidden="1" xr:uid="{00000000-0005-0000-0000-0000E10C0000}"/>
    <cellStyle name="40% - Accent4 3" xfId="4059" hidden="1" xr:uid="{00000000-0005-0000-0000-0000E20C0000}"/>
    <cellStyle name="40% - Accent4 3" xfId="4092" hidden="1" xr:uid="{00000000-0005-0000-0000-0000E30C0000}"/>
    <cellStyle name="40% - Accent4 3" xfId="4125" hidden="1" xr:uid="{00000000-0005-0000-0000-0000E40C0000}"/>
    <cellStyle name="40% - Accent4 3" xfId="4158" hidden="1" xr:uid="{00000000-0005-0000-0000-0000E50C0000}"/>
    <cellStyle name="40% - Accent4 3" xfId="4191" hidden="1" xr:uid="{00000000-0005-0000-0000-0000E60C0000}"/>
    <cellStyle name="40% - Accent4 3" xfId="4224" hidden="1" xr:uid="{00000000-0005-0000-0000-0000E70C0000}"/>
    <cellStyle name="40% - Accent4 3" xfId="4391" hidden="1" xr:uid="{00000000-0005-0000-0000-0000E80C0000}"/>
    <cellStyle name="40% - Accent4 3" xfId="4424" hidden="1" xr:uid="{00000000-0005-0000-0000-0000E90C0000}"/>
    <cellStyle name="40% - Accent4 3" xfId="4457" hidden="1" xr:uid="{00000000-0005-0000-0000-0000EA0C0000}"/>
    <cellStyle name="40% - Accent4 3" xfId="4490" hidden="1" xr:uid="{00000000-0005-0000-0000-0000EB0C0000}"/>
    <cellStyle name="40% - Accent4 3" xfId="4523" hidden="1" xr:uid="{00000000-0005-0000-0000-0000EC0C0000}"/>
    <cellStyle name="40% - Accent4 3" xfId="4556" hidden="1" xr:uid="{00000000-0005-0000-0000-0000ED0C0000}"/>
    <cellStyle name="40% - Accent4 3" xfId="4589" hidden="1" xr:uid="{00000000-0005-0000-0000-0000EE0C0000}"/>
    <cellStyle name="40% - Accent4 3" xfId="4622" hidden="1" xr:uid="{00000000-0005-0000-0000-0000EF0C0000}"/>
    <cellStyle name="40% - Accent4 3" xfId="4655" hidden="1" xr:uid="{00000000-0005-0000-0000-0000F00C0000}"/>
    <cellStyle name="40% - Accent4 3" xfId="4688" hidden="1" xr:uid="{00000000-0005-0000-0000-0000F10C0000}"/>
    <cellStyle name="40% - Accent4 3" xfId="4721" hidden="1" xr:uid="{00000000-0005-0000-0000-0000F20C0000}"/>
    <cellStyle name="40% - Accent4 3" xfId="4758" hidden="1" xr:uid="{00000000-0005-0000-0000-0000F30C0000}"/>
    <cellStyle name="40% - Accent4 3" xfId="4791" hidden="1" xr:uid="{00000000-0005-0000-0000-0000F40C0000}"/>
    <cellStyle name="40% - Accent4 3" xfId="4823" hidden="1" xr:uid="{00000000-0005-0000-0000-0000F50C0000}"/>
    <cellStyle name="40% - Accent4 3" xfId="4855" hidden="1" xr:uid="{00000000-0005-0000-0000-0000F60C0000}"/>
    <cellStyle name="40% - Accent4 3" xfId="4888" hidden="1" xr:uid="{00000000-0005-0000-0000-0000F70C0000}"/>
    <cellStyle name="40% - Accent4 3" xfId="4920" hidden="1" xr:uid="{00000000-0005-0000-0000-0000F80C0000}"/>
    <cellStyle name="40% - Accent4 3" xfId="4953" hidden="1" xr:uid="{00000000-0005-0000-0000-0000F90C0000}"/>
    <cellStyle name="40% - Accent4 3" xfId="4985" hidden="1" xr:uid="{00000000-0005-0000-0000-0000FA0C0000}"/>
    <cellStyle name="40% - Accent4 3" xfId="5018" hidden="1" xr:uid="{00000000-0005-0000-0000-0000FB0C0000}"/>
    <cellStyle name="40% - Accent4 3" xfId="5051" hidden="1" xr:uid="{00000000-0005-0000-0000-0000FC0C0000}"/>
    <cellStyle name="40% - Accent4 3" xfId="5084" hidden="1" xr:uid="{00000000-0005-0000-0000-0000FD0C0000}"/>
    <cellStyle name="40% - Accent4 3" xfId="5117" hidden="1" xr:uid="{00000000-0005-0000-0000-0000FE0C0000}"/>
    <cellStyle name="40% - Accent4 3" xfId="5150" hidden="1" xr:uid="{00000000-0005-0000-0000-0000FF0C0000}"/>
    <cellStyle name="40% - Accent4 3" xfId="5183" hidden="1" xr:uid="{00000000-0005-0000-0000-0000000D0000}"/>
    <cellStyle name="40% - Accent4 3" xfId="5224" hidden="1" xr:uid="{00000000-0005-0000-0000-0000010D0000}"/>
    <cellStyle name="40% - Accent4 3" xfId="5261" hidden="1" xr:uid="{00000000-0005-0000-0000-0000020D0000}"/>
    <cellStyle name="40% - Accent4 3" xfId="5294" hidden="1" xr:uid="{00000000-0005-0000-0000-0000030D0000}"/>
    <cellStyle name="40% - Accent4 3" xfId="5326" hidden="1" xr:uid="{00000000-0005-0000-0000-0000040D0000}"/>
    <cellStyle name="40% - Accent4 3" xfId="5358" hidden="1" xr:uid="{00000000-0005-0000-0000-0000050D0000}"/>
    <cellStyle name="40% - Accent4 3" xfId="5391" hidden="1" xr:uid="{00000000-0005-0000-0000-0000060D0000}"/>
    <cellStyle name="40% - Accent4 3" xfId="5423" hidden="1" xr:uid="{00000000-0005-0000-0000-0000070D0000}"/>
    <cellStyle name="40% - Accent4 3" xfId="5456" hidden="1" xr:uid="{00000000-0005-0000-0000-0000080D0000}"/>
    <cellStyle name="40% - Accent4 3" xfId="5488" hidden="1" xr:uid="{00000000-0005-0000-0000-0000090D0000}"/>
    <cellStyle name="40% - Accent4 3" xfId="5521" hidden="1" xr:uid="{00000000-0005-0000-0000-00000A0D0000}"/>
    <cellStyle name="40% - Accent4 3" xfId="5554" hidden="1" xr:uid="{00000000-0005-0000-0000-00000B0D0000}"/>
    <cellStyle name="40% - Accent4 3" xfId="5587" hidden="1" xr:uid="{00000000-0005-0000-0000-00000C0D0000}"/>
    <cellStyle name="40% - Accent4 3" xfId="5620" hidden="1" xr:uid="{00000000-0005-0000-0000-00000D0D0000}"/>
    <cellStyle name="40% - Accent4 3" xfId="5653" hidden="1" xr:uid="{00000000-0005-0000-0000-00000E0D0000}"/>
    <cellStyle name="40% - Accent4 3" xfId="5686" hidden="1" xr:uid="{00000000-0005-0000-0000-00000F0D0000}"/>
    <cellStyle name="40% - Accent4 3" xfId="5790" hidden="1" xr:uid="{00000000-0005-0000-0000-0000100D0000}"/>
    <cellStyle name="40% - Accent4 3" xfId="5827" hidden="1" xr:uid="{00000000-0005-0000-0000-0000110D0000}"/>
    <cellStyle name="40% - Accent4 3" xfId="5860" hidden="1" xr:uid="{00000000-0005-0000-0000-0000120D0000}"/>
    <cellStyle name="40% - Accent4 3" xfId="5892" hidden="1" xr:uid="{00000000-0005-0000-0000-0000130D0000}"/>
    <cellStyle name="40% - Accent4 3" xfId="5924" hidden="1" xr:uid="{00000000-0005-0000-0000-0000140D0000}"/>
    <cellStyle name="40% - Accent4 3" xfId="5957" hidden="1" xr:uid="{00000000-0005-0000-0000-0000150D0000}"/>
    <cellStyle name="40% - Accent4 3" xfId="5989" hidden="1" xr:uid="{00000000-0005-0000-0000-0000160D0000}"/>
    <cellStyle name="40% - Accent4 3" xfId="6022" hidden="1" xr:uid="{00000000-0005-0000-0000-0000170D0000}"/>
    <cellStyle name="40% - Accent4 3" xfId="6054" hidden="1" xr:uid="{00000000-0005-0000-0000-0000180D0000}"/>
    <cellStyle name="40% - Accent4 3" xfId="6087" hidden="1" xr:uid="{00000000-0005-0000-0000-0000190D0000}"/>
    <cellStyle name="40% - Accent4 3" xfId="6120" hidden="1" xr:uid="{00000000-0005-0000-0000-00001A0D0000}"/>
    <cellStyle name="40% - Accent4 3" xfId="6153" hidden="1" xr:uid="{00000000-0005-0000-0000-00001B0D0000}"/>
    <cellStyle name="40% - Accent4 3" xfId="6186" hidden="1" xr:uid="{00000000-0005-0000-0000-00001C0D0000}"/>
    <cellStyle name="40% - Accent4 3" xfId="6219" hidden="1" xr:uid="{00000000-0005-0000-0000-00001D0D0000}"/>
    <cellStyle name="40% - Accent4 3" xfId="6252" hidden="1" xr:uid="{00000000-0005-0000-0000-00001E0D0000}"/>
    <cellStyle name="40% - Accent4 3" xfId="5768" hidden="1" xr:uid="{00000000-0005-0000-0000-00001F0D0000}"/>
    <cellStyle name="40% - Accent4 3" xfId="6304" hidden="1" xr:uid="{00000000-0005-0000-0000-0000200D0000}"/>
    <cellStyle name="40% - Accent4 3" xfId="6337" hidden="1" xr:uid="{00000000-0005-0000-0000-0000210D0000}"/>
    <cellStyle name="40% - Accent4 3" xfId="6369" hidden="1" xr:uid="{00000000-0005-0000-0000-0000220D0000}"/>
    <cellStyle name="40% - Accent4 3" xfId="6401" hidden="1" xr:uid="{00000000-0005-0000-0000-0000230D0000}"/>
    <cellStyle name="40% - Accent4 3" xfId="6434" hidden="1" xr:uid="{00000000-0005-0000-0000-0000240D0000}"/>
    <cellStyle name="40% - Accent4 3" xfId="6466" hidden="1" xr:uid="{00000000-0005-0000-0000-0000250D0000}"/>
    <cellStyle name="40% - Accent4 3" xfId="6499" hidden="1" xr:uid="{00000000-0005-0000-0000-0000260D0000}"/>
    <cellStyle name="40% - Accent4 3" xfId="6531" hidden="1" xr:uid="{00000000-0005-0000-0000-0000270D0000}"/>
    <cellStyle name="40% - Accent4 3" xfId="6564" hidden="1" xr:uid="{00000000-0005-0000-0000-0000280D0000}"/>
    <cellStyle name="40% - Accent4 3" xfId="6597" hidden="1" xr:uid="{00000000-0005-0000-0000-0000290D0000}"/>
    <cellStyle name="40% - Accent4 3" xfId="6630" hidden="1" xr:uid="{00000000-0005-0000-0000-00002A0D0000}"/>
    <cellStyle name="40% - Accent4 3" xfId="6663" hidden="1" xr:uid="{00000000-0005-0000-0000-00002B0D0000}"/>
    <cellStyle name="40% - Accent4 3" xfId="6696" hidden="1" xr:uid="{00000000-0005-0000-0000-00002C0D0000}"/>
    <cellStyle name="40% - Accent4 3" xfId="6729" hidden="1" xr:uid="{00000000-0005-0000-0000-00002D0D0000}"/>
    <cellStyle name="40% - Accent4 3" xfId="6786" hidden="1" xr:uid="{00000000-0005-0000-0000-00002E0D0000}"/>
    <cellStyle name="40% - Accent4 3" xfId="6823" hidden="1" xr:uid="{00000000-0005-0000-0000-00002F0D0000}"/>
    <cellStyle name="40% - Accent4 3" xfId="6856" hidden="1" xr:uid="{00000000-0005-0000-0000-0000300D0000}"/>
    <cellStyle name="40% - Accent4 3" xfId="6888" hidden="1" xr:uid="{00000000-0005-0000-0000-0000310D0000}"/>
    <cellStyle name="40% - Accent4 3" xfId="6920" hidden="1" xr:uid="{00000000-0005-0000-0000-0000320D0000}"/>
    <cellStyle name="40% - Accent4 3" xfId="6953" hidden="1" xr:uid="{00000000-0005-0000-0000-0000330D0000}"/>
    <cellStyle name="40% - Accent4 3" xfId="6985" hidden="1" xr:uid="{00000000-0005-0000-0000-0000340D0000}"/>
    <cellStyle name="40% - Accent4 3" xfId="7018" hidden="1" xr:uid="{00000000-0005-0000-0000-0000350D0000}"/>
    <cellStyle name="40% - Accent4 3" xfId="7050" hidden="1" xr:uid="{00000000-0005-0000-0000-0000360D0000}"/>
    <cellStyle name="40% - Accent4 3" xfId="7083" hidden="1" xr:uid="{00000000-0005-0000-0000-0000370D0000}"/>
    <cellStyle name="40% - Accent4 3" xfId="7116" hidden="1" xr:uid="{00000000-0005-0000-0000-0000380D0000}"/>
    <cellStyle name="40% - Accent4 3" xfId="7149" hidden="1" xr:uid="{00000000-0005-0000-0000-0000390D0000}"/>
    <cellStyle name="40% - Accent4 3" xfId="7182" hidden="1" xr:uid="{00000000-0005-0000-0000-00003A0D0000}"/>
    <cellStyle name="40% - Accent4 3" xfId="7215" hidden="1" xr:uid="{00000000-0005-0000-0000-00003B0D0000}"/>
    <cellStyle name="40% - Accent4 3" xfId="7248" hidden="1" xr:uid="{00000000-0005-0000-0000-00003C0D0000}"/>
    <cellStyle name="40% - Accent4 3" xfId="7299" hidden="1" xr:uid="{00000000-0005-0000-0000-00003D0D0000}"/>
    <cellStyle name="40% - Accent4 3" xfId="7336" hidden="1" xr:uid="{00000000-0005-0000-0000-00003E0D0000}"/>
    <cellStyle name="40% - Accent4 3" xfId="7369" hidden="1" xr:uid="{00000000-0005-0000-0000-00003F0D0000}"/>
    <cellStyle name="40% - Accent4 3" xfId="7401" hidden="1" xr:uid="{00000000-0005-0000-0000-0000400D0000}"/>
    <cellStyle name="40% - Accent4 3" xfId="7433" hidden="1" xr:uid="{00000000-0005-0000-0000-0000410D0000}"/>
    <cellStyle name="40% - Accent4 3" xfId="7466" hidden="1" xr:uid="{00000000-0005-0000-0000-0000420D0000}"/>
    <cellStyle name="40% - Accent4 3" xfId="7498" hidden="1" xr:uid="{00000000-0005-0000-0000-0000430D0000}"/>
    <cellStyle name="40% - Accent4 3" xfId="7531" hidden="1" xr:uid="{00000000-0005-0000-0000-0000440D0000}"/>
    <cellStyle name="40% - Accent4 3" xfId="7563" hidden="1" xr:uid="{00000000-0005-0000-0000-0000450D0000}"/>
    <cellStyle name="40% - Accent4 3" xfId="7596" hidden="1" xr:uid="{00000000-0005-0000-0000-0000460D0000}"/>
    <cellStyle name="40% - Accent4 3" xfId="7629" hidden="1" xr:uid="{00000000-0005-0000-0000-0000470D0000}"/>
    <cellStyle name="40% - Accent4 3" xfId="7662" hidden="1" xr:uid="{00000000-0005-0000-0000-0000480D0000}"/>
    <cellStyle name="40% - Accent4 3" xfId="7695" hidden="1" xr:uid="{00000000-0005-0000-0000-0000490D0000}"/>
    <cellStyle name="40% - Accent4 3" xfId="7728" hidden="1" xr:uid="{00000000-0005-0000-0000-00004A0D0000}"/>
    <cellStyle name="40% - Accent4 3" xfId="7761" hidden="1" xr:uid="{00000000-0005-0000-0000-00004B0D0000}"/>
    <cellStyle name="40% - Accent4 3" xfId="7277" hidden="1" xr:uid="{00000000-0005-0000-0000-00004C0D0000}"/>
    <cellStyle name="40% - Accent4 3" xfId="7813" hidden="1" xr:uid="{00000000-0005-0000-0000-00004D0D0000}"/>
    <cellStyle name="40% - Accent4 3" xfId="7846" hidden="1" xr:uid="{00000000-0005-0000-0000-00004E0D0000}"/>
    <cellStyle name="40% - Accent4 3" xfId="7878" hidden="1" xr:uid="{00000000-0005-0000-0000-00004F0D0000}"/>
    <cellStyle name="40% - Accent4 3" xfId="7910" hidden="1" xr:uid="{00000000-0005-0000-0000-0000500D0000}"/>
    <cellStyle name="40% - Accent4 3" xfId="7943" hidden="1" xr:uid="{00000000-0005-0000-0000-0000510D0000}"/>
    <cellStyle name="40% - Accent4 3" xfId="7975" hidden="1" xr:uid="{00000000-0005-0000-0000-0000520D0000}"/>
    <cellStyle name="40% - Accent4 3" xfId="8008" hidden="1" xr:uid="{00000000-0005-0000-0000-0000530D0000}"/>
    <cellStyle name="40% - Accent4 3" xfId="8040" hidden="1" xr:uid="{00000000-0005-0000-0000-0000540D0000}"/>
    <cellStyle name="40% - Accent4 3" xfId="8073" hidden="1" xr:uid="{00000000-0005-0000-0000-0000550D0000}"/>
    <cellStyle name="40% - Accent4 3" xfId="8106" hidden="1" xr:uid="{00000000-0005-0000-0000-0000560D0000}"/>
    <cellStyle name="40% - Accent4 3" xfId="8139" hidden="1" xr:uid="{00000000-0005-0000-0000-0000570D0000}"/>
    <cellStyle name="40% - Accent4 3" xfId="8172" hidden="1" xr:uid="{00000000-0005-0000-0000-0000580D0000}"/>
    <cellStyle name="40% - Accent4 3" xfId="8205" hidden="1" xr:uid="{00000000-0005-0000-0000-0000590D0000}"/>
    <cellStyle name="40% - Accent4 3" xfId="8238" hidden="1" xr:uid="{00000000-0005-0000-0000-00005A0D0000}"/>
    <cellStyle name="40% - Accent4 3" xfId="4349" hidden="1" xr:uid="{00000000-0005-0000-0000-00005B0D0000}"/>
    <cellStyle name="40% - Accent4 3" xfId="4337" hidden="1" xr:uid="{00000000-0005-0000-0000-00005C0D0000}"/>
    <cellStyle name="40% - Accent4 3" xfId="6767" hidden="1" xr:uid="{00000000-0005-0000-0000-00005D0D0000}"/>
    <cellStyle name="40% - Accent4 3" xfId="6760" hidden="1" xr:uid="{00000000-0005-0000-0000-00005E0D0000}"/>
    <cellStyle name="40% - Accent4 3" xfId="4292" hidden="1" xr:uid="{00000000-0005-0000-0000-00005F0D0000}"/>
    <cellStyle name="40% - Accent4 3" xfId="4378" hidden="1" xr:uid="{00000000-0005-0000-0000-0000600D0000}"/>
    <cellStyle name="40% - Accent4 3" xfId="4248" hidden="1" xr:uid="{00000000-0005-0000-0000-0000610D0000}"/>
    <cellStyle name="40% - Accent4 3" xfId="8283" hidden="1" xr:uid="{00000000-0005-0000-0000-0000620D0000}"/>
    <cellStyle name="40% - Accent4 3" xfId="8316" hidden="1" xr:uid="{00000000-0005-0000-0000-0000630D0000}"/>
    <cellStyle name="40% - Accent4 3" xfId="8349" hidden="1" xr:uid="{00000000-0005-0000-0000-0000640D0000}"/>
    <cellStyle name="40% - Accent4 3" xfId="8382" hidden="1" xr:uid="{00000000-0005-0000-0000-0000650D0000}"/>
    <cellStyle name="40% - Accent4 3" xfId="8419" hidden="1" xr:uid="{00000000-0005-0000-0000-0000660D0000}"/>
    <cellStyle name="40% - Accent4 3" xfId="8452" hidden="1" xr:uid="{00000000-0005-0000-0000-0000670D0000}"/>
    <cellStyle name="40% - Accent4 3" xfId="8484" hidden="1" xr:uid="{00000000-0005-0000-0000-0000680D0000}"/>
    <cellStyle name="40% - Accent4 3" xfId="8516" hidden="1" xr:uid="{00000000-0005-0000-0000-0000690D0000}"/>
    <cellStyle name="40% - Accent4 3" xfId="8549" hidden="1" xr:uid="{00000000-0005-0000-0000-00006A0D0000}"/>
    <cellStyle name="40% - Accent4 3" xfId="8581" hidden="1" xr:uid="{00000000-0005-0000-0000-00006B0D0000}"/>
    <cellStyle name="40% - Accent4 3" xfId="8614" hidden="1" xr:uid="{00000000-0005-0000-0000-00006C0D0000}"/>
    <cellStyle name="40% - Accent4 3" xfId="8646" hidden="1" xr:uid="{00000000-0005-0000-0000-00006D0D0000}"/>
    <cellStyle name="40% - Accent4 3" xfId="8679" hidden="1" xr:uid="{00000000-0005-0000-0000-00006E0D0000}"/>
    <cellStyle name="40% - Accent4 3" xfId="8712" hidden="1" xr:uid="{00000000-0005-0000-0000-00006F0D0000}"/>
    <cellStyle name="40% - Accent4 3" xfId="8745" hidden="1" xr:uid="{00000000-0005-0000-0000-0000700D0000}"/>
    <cellStyle name="40% - Accent4 3" xfId="8778" hidden="1" xr:uid="{00000000-0005-0000-0000-0000710D0000}"/>
    <cellStyle name="40% - Accent4 3" xfId="8811" hidden="1" xr:uid="{00000000-0005-0000-0000-0000720D0000}"/>
    <cellStyle name="40% - Accent4 3" xfId="8844" hidden="1" xr:uid="{00000000-0005-0000-0000-0000730D0000}"/>
    <cellStyle name="40% - Accent4 3" xfId="8884" hidden="1" xr:uid="{00000000-0005-0000-0000-0000740D0000}"/>
    <cellStyle name="40% - Accent4 3" xfId="8921" hidden="1" xr:uid="{00000000-0005-0000-0000-0000750D0000}"/>
    <cellStyle name="40% - Accent4 3" xfId="8954" hidden="1" xr:uid="{00000000-0005-0000-0000-0000760D0000}"/>
    <cellStyle name="40% - Accent4 3" xfId="8986" hidden="1" xr:uid="{00000000-0005-0000-0000-0000770D0000}"/>
    <cellStyle name="40% - Accent4 3" xfId="9018" hidden="1" xr:uid="{00000000-0005-0000-0000-0000780D0000}"/>
    <cellStyle name="40% - Accent4 3" xfId="9051" hidden="1" xr:uid="{00000000-0005-0000-0000-0000790D0000}"/>
    <cellStyle name="40% - Accent4 3" xfId="9083" hidden="1" xr:uid="{00000000-0005-0000-0000-00007A0D0000}"/>
    <cellStyle name="40% - Accent4 3" xfId="9116" hidden="1" xr:uid="{00000000-0005-0000-0000-00007B0D0000}"/>
    <cellStyle name="40% - Accent4 3" xfId="9148" hidden="1" xr:uid="{00000000-0005-0000-0000-00007C0D0000}"/>
    <cellStyle name="40% - Accent4 3" xfId="9181" hidden="1" xr:uid="{00000000-0005-0000-0000-00007D0D0000}"/>
    <cellStyle name="40% - Accent4 3" xfId="9214" hidden="1" xr:uid="{00000000-0005-0000-0000-00007E0D0000}"/>
    <cellStyle name="40% - Accent4 3" xfId="9247" hidden="1" xr:uid="{00000000-0005-0000-0000-00007F0D0000}"/>
    <cellStyle name="40% - Accent4 3" xfId="9280" hidden="1" xr:uid="{00000000-0005-0000-0000-0000800D0000}"/>
    <cellStyle name="40% - Accent4 3" xfId="9313" hidden="1" xr:uid="{00000000-0005-0000-0000-0000810D0000}"/>
    <cellStyle name="40% - Accent4 3" xfId="9346" hidden="1" xr:uid="{00000000-0005-0000-0000-0000820D0000}"/>
    <cellStyle name="40% - Accent4 3" xfId="9397" hidden="1" xr:uid="{00000000-0005-0000-0000-0000830D0000}"/>
    <cellStyle name="40% - Accent4 3" xfId="9434" hidden="1" xr:uid="{00000000-0005-0000-0000-0000840D0000}"/>
    <cellStyle name="40% - Accent4 3" xfId="9467" hidden="1" xr:uid="{00000000-0005-0000-0000-0000850D0000}"/>
    <cellStyle name="40% - Accent4 3" xfId="9499" hidden="1" xr:uid="{00000000-0005-0000-0000-0000860D0000}"/>
    <cellStyle name="40% - Accent4 3" xfId="9531" hidden="1" xr:uid="{00000000-0005-0000-0000-0000870D0000}"/>
    <cellStyle name="40% - Accent4 3" xfId="9564" hidden="1" xr:uid="{00000000-0005-0000-0000-0000880D0000}"/>
    <cellStyle name="40% - Accent4 3" xfId="9596" hidden="1" xr:uid="{00000000-0005-0000-0000-0000890D0000}"/>
    <cellStyle name="40% - Accent4 3" xfId="9629" hidden="1" xr:uid="{00000000-0005-0000-0000-00008A0D0000}"/>
    <cellStyle name="40% - Accent4 3" xfId="9661" hidden="1" xr:uid="{00000000-0005-0000-0000-00008B0D0000}"/>
    <cellStyle name="40% - Accent4 3" xfId="9694" hidden="1" xr:uid="{00000000-0005-0000-0000-00008C0D0000}"/>
    <cellStyle name="40% - Accent4 3" xfId="9727" hidden="1" xr:uid="{00000000-0005-0000-0000-00008D0D0000}"/>
    <cellStyle name="40% - Accent4 3" xfId="9760" hidden="1" xr:uid="{00000000-0005-0000-0000-00008E0D0000}"/>
    <cellStyle name="40% - Accent4 3" xfId="9793" hidden="1" xr:uid="{00000000-0005-0000-0000-00008F0D0000}"/>
    <cellStyle name="40% - Accent4 3" xfId="9826" hidden="1" xr:uid="{00000000-0005-0000-0000-0000900D0000}"/>
    <cellStyle name="40% - Accent4 3" xfId="9859" hidden="1" xr:uid="{00000000-0005-0000-0000-0000910D0000}"/>
    <cellStyle name="40% - Accent4 3" xfId="9375" hidden="1" xr:uid="{00000000-0005-0000-0000-0000920D0000}"/>
    <cellStyle name="40% - Accent4 3" xfId="9911" hidden="1" xr:uid="{00000000-0005-0000-0000-0000930D0000}"/>
    <cellStyle name="40% - Accent4 3" xfId="9944" hidden="1" xr:uid="{00000000-0005-0000-0000-0000940D0000}"/>
    <cellStyle name="40% - Accent4 3" xfId="9976" hidden="1" xr:uid="{00000000-0005-0000-0000-0000950D0000}"/>
    <cellStyle name="40% - Accent4 3" xfId="10008" hidden="1" xr:uid="{00000000-0005-0000-0000-0000960D0000}"/>
    <cellStyle name="40% - Accent4 3" xfId="10041" hidden="1" xr:uid="{00000000-0005-0000-0000-0000970D0000}"/>
    <cellStyle name="40% - Accent4 3" xfId="10073" hidden="1" xr:uid="{00000000-0005-0000-0000-0000980D0000}"/>
    <cellStyle name="40% - Accent4 3" xfId="10106" hidden="1" xr:uid="{00000000-0005-0000-0000-0000990D0000}"/>
    <cellStyle name="40% - Accent4 3" xfId="10138" hidden="1" xr:uid="{00000000-0005-0000-0000-00009A0D0000}"/>
    <cellStyle name="40% - Accent4 3" xfId="10171" hidden="1" xr:uid="{00000000-0005-0000-0000-00009B0D0000}"/>
    <cellStyle name="40% - Accent4 3" xfId="10204" hidden="1" xr:uid="{00000000-0005-0000-0000-00009C0D0000}"/>
    <cellStyle name="40% - Accent4 3" xfId="10237" hidden="1" xr:uid="{00000000-0005-0000-0000-00009D0D0000}"/>
    <cellStyle name="40% - Accent4 3" xfId="10270" hidden="1" xr:uid="{00000000-0005-0000-0000-00009E0D0000}"/>
    <cellStyle name="40% - Accent4 3" xfId="10303" hidden="1" xr:uid="{00000000-0005-0000-0000-00009F0D0000}"/>
    <cellStyle name="40% - Accent4 3" xfId="10336" hidden="1" xr:uid="{00000000-0005-0000-0000-0000A00D0000}"/>
    <cellStyle name="40% - Accent4 3" xfId="10362" hidden="1" xr:uid="{00000000-0005-0000-0000-0000A10D0000}"/>
    <cellStyle name="40% - Accent4 3" xfId="10399" hidden="1" xr:uid="{00000000-0005-0000-0000-0000A20D0000}"/>
    <cellStyle name="40% - Accent4 3" xfId="10432" hidden="1" xr:uid="{00000000-0005-0000-0000-0000A30D0000}"/>
    <cellStyle name="40% - Accent4 3" xfId="10464" hidden="1" xr:uid="{00000000-0005-0000-0000-0000A40D0000}"/>
    <cellStyle name="40% - Accent4 3" xfId="10496" hidden="1" xr:uid="{00000000-0005-0000-0000-0000A50D0000}"/>
    <cellStyle name="40% - Accent4 3" xfId="10529" hidden="1" xr:uid="{00000000-0005-0000-0000-0000A60D0000}"/>
    <cellStyle name="40% - Accent4 3" xfId="10561" hidden="1" xr:uid="{00000000-0005-0000-0000-0000A70D0000}"/>
    <cellStyle name="40% - Accent4 3" xfId="10594" hidden="1" xr:uid="{00000000-0005-0000-0000-0000A80D0000}"/>
    <cellStyle name="40% - Accent4 3" xfId="10626" hidden="1" xr:uid="{00000000-0005-0000-0000-0000A90D0000}"/>
    <cellStyle name="40% - Accent4 3" xfId="10659" hidden="1" xr:uid="{00000000-0005-0000-0000-0000AA0D0000}"/>
    <cellStyle name="40% - Accent4 3" xfId="10692" hidden="1" xr:uid="{00000000-0005-0000-0000-0000AB0D0000}"/>
    <cellStyle name="40% - Accent4 3" xfId="10725" hidden="1" xr:uid="{00000000-0005-0000-0000-0000AC0D0000}"/>
    <cellStyle name="40% - Accent4 3" xfId="10758" hidden="1" xr:uid="{00000000-0005-0000-0000-0000AD0D0000}"/>
    <cellStyle name="40% - Accent4 3" xfId="10791" hidden="1" xr:uid="{00000000-0005-0000-0000-0000AE0D0000}"/>
    <cellStyle name="40% - Accent4 3" xfId="10824" hidden="1" xr:uid="{00000000-0005-0000-0000-0000AF0D0000}"/>
    <cellStyle name="40% - Accent4 3" xfId="10875" hidden="1" xr:uid="{00000000-0005-0000-0000-0000B00D0000}"/>
    <cellStyle name="40% - Accent4 3" xfId="10912" hidden="1" xr:uid="{00000000-0005-0000-0000-0000B10D0000}"/>
    <cellStyle name="40% - Accent4 3" xfId="10945" hidden="1" xr:uid="{00000000-0005-0000-0000-0000B20D0000}"/>
    <cellStyle name="40% - Accent4 3" xfId="10977" hidden="1" xr:uid="{00000000-0005-0000-0000-0000B30D0000}"/>
    <cellStyle name="40% - Accent4 3" xfId="11009" hidden="1" xr:uid="{00000000-0005-0000-0000-0000B40D0000}"/>
    <cellStyle name="40% - Accent4 3" xfId="11042" hidden="1" xr:uid="{00000000-0005-0000-0000-0000B50D0000}"/>
    <cellStyle name="40% - Accent4 3" xfId="11074" hidden="1" xr:uid="{00000000-0005-0000-0000-0000B60D0000}"/>
    <cellStyle name="40% - Accent4 3" xfId="11107" hidden="1" xr:uid="{00000000-0005-0000-0000-0000B70D0000}"/>
    <cellStyle name="40% - Accent4 3" xfId="11139" hidden="1" xr:uid="{00000000-0005-0000-0000-0000B80D0000}"/>
    <cellStyle name="40% - Accent4 3" xfId="11172" hidden="1" xr:uid="{00000000-0005-0000-0000-0000B90D0000}"/>
    <cellStyle name="40% - Accent4 3" xfId="11205" hidden="1" xr:uid="{00000000-0005-0000-0000-0000BA0D0000}"/>
    <cellStyle name="40% - Accent4 3" xfId="11238" hidden="1" xr:uid="{00000000-0005-0000-0000-0000BB0D0000}"/>
    <cellStyle name="40% - Accent4 3" xfId="11271" hidden="1" xr:uid="{00000000-0005-0000-0000-0000BC0D0000}"/>
    <cellStyle name="40% - Accent4 3" xfId="11304" hidden="1" xr:uid="{00000000-0005-0000-0000-0000BD0D0000}"/>
    <cellStyle name="40% - Accent4 3" xfId="11337" hidden="1" xr:uid="{00000000-0005-0000-0000-0000BE0D0000}"/>
    <cellStyle name="40% - Accent4 3" xfId="10853" hidden="1" xr:uid="{00000000-0005-0000-0000-0000BF0D0000}"/>
    <cellStyle name="40% - Accent4 3" xfId="11389" hidden="1" xr:uid="{00000000-0005-0000-0000-0000C00D0000}"/>
    <cellStyle name="40% - Accent4 3" xfId="11422" hidden="1" xr:uid="{00000000-0005-0000-0000-0000C10D0000}"/>
    <cellStyle name="40% - Accent4 3" xfId="11454" hidden="1" xr:uid="{00000000-0005-0000-0000-0000C20D0000}"/>
    <cellStyle name="40% - Accent4 3" xfId="11486" hidden="1" xr:uid="{00000000-0005-0000-0000-0000C30D0000}"/>
    <cellStyle name="40% - Accent4 3" xfId="11519" hidden="1" xr:uid="{00000000-0005-0000-0000-0000C40D0000}"/>
    <cellStyle name="40% - Accent4 3" xfId="11551" hidden="1" xr:uid="{00000000-0005-0000-0000-0000C50D0000}"/>
    <cellStyle name="40% - Accent4 3" xfId="11584" hidden="1" xr:uid="{00000000-0005-0000-0000-0000C60D0000}"/>
    <cellStyle name="40% - Accent4 3" xfId="11616" hidden="1" xr:uid="{00000000-0005-0000-0000-0000C70D0000}"/>
    <cellStyle name="40% - Accent4 3" xfId="11649" hidden="1" xr:uid="{00000000-0005-0000-0000-0000C80D0000}"/>
    <cellStyle name="40% - Accent4 3" xfId="11682" hidden="1" xr:uid="{00000000-0005-0000-0000-0000C90D0000}"/>
    <cellStyle name="40% - Accent4 3" xfId="11715" hidden="1" xr:uid="{00000000-0005-0000-0000-0000CA0D0000}"/>
    <cellStyle name="40% - Accent4 3" xfId="11748" hidden="1" xr:uid="{00000000-0005-0000-0000-0000CB0D0000}"/>
    <cellStyle name="40% - Accent4 3" xfId="11781" hidden="1" xr:uid="{00000000-0005-0000-0000-0000CC0D0000}"/>
    <cellStyle name="40% - Accent4 3" xfId="11814" xr:uid="{00000000-0005-0000-0000-0000CD0D0000}"/>
    <cellStyle name="40% - Accent5 2" xfId="53" xr:uid="{00000000-0005-0000-0000-0000CE0D0000}"/>
    <cellStyle name="40% - Accent5 2 2" xfId="1583" xr:uid="{00000000-0005-0000-0000-0000CF0D0000}"/>
    <cellStyle name="40% - Accent5 2 3" xfId="2720" xr:uid="{00000000-0005-0000-0000-0000D00D0000}"/>
    <cellStyle name="40% - Accent5 3" xfId="227" hidden="1" xr:uid="{00000000-0005-0000-0000-0000D10D0000}"/>
    <cellStyle name="40% - Accent5 3" xfId="236" hidden="1" xr:uid="{00000000-0005-0000-0000-0000D20D0000}"/>
    <cellStyle name="40% - Accent5 3" xfId="269" hidden="1" xr:uid="{00000000-0005-0000-0000-0000D30D0000}"/>
    <cellStyle name="40% - Accent5 3" xfId="302" hidden="1" xr:uid="{00000000-0005-0000-0000-0000D40D0000}"/>
    <cellStyle name="40% - Accent5 3" xfId="335" hidden="1" xr:uid="{00000000-0005-0000-0000-0000D50D0000}"/>
    <cellStyle name="40% - Accent5 3" xfId="369" hidden="1" xr:uid="{00000000-0005-0000-0000-0000D60D0000}"/>
    <cellStyle name="40% - Accent5 3" xfId="402" hidden="1" xr:uid="{00000000-0005-0000-0000-0000D70D0000}"/>
    <cellStyle name="40% - Accent5 3" xfId="435" hidden="1" xr:uid="{00000000-0005-0000-0000-0000D80D0000}"/>
    <cellStyle name="40% - Accent5 3" xfId="468" hidden="1" xr:uid="{00000000-0005-0000-0000-0000D90D0000}"/>
    <cellStyle name="40% - Accent5 3" xfId="501" hidden="1" xr:uid="{00000000-0005-0000-0000-0000DA0D0000}"/>
    <cellStyle name="40% - Accent5 3" xfId="534" hidden="1" xr:uid="{00000000-0005-0000-0000-0000DB0D0000}"/>
    <cellStyle name="40% - Accent5 3" xfId="567" hidden="1" xr:uid="{00000000-0005-0000-0000-0000DC0D0000}"/>
    <cellStyle name="40% - Accent5 3" xfId="604" hidden="1" xr:uid="{00000000-0005-0000-0000-0000DD0D0000}"/>
    <cellStyle name="40% - Accent5 3" xfId="637" hidden="1" xr:uid="{00000000-0005-0000-0000-0000DE0D0000}"/>
    <cellStyle name="40% - Accent5 3" xfId="669" hidden="1" xr:uid="{00000000-0005-0000-0000-0000DF0D0000}"/>
    <cellStyle name="40% - Accent5 3" xfId="701" hidden="1" xr:uid="{00000000-0005-0000-0000-0000E00D0000}"/>
    <cellStyle name="40% - Accent5 3" xfId="734" hidden="1" xr:uid="{00000000-0005-0000-0000-0000E10D0000}"/>
    <cellStyle name="40% - Accent5 3" xfId="766" hidden="1" xr:uid="{00000000-0005-0000-0000-0000E20D0000}"/>
    <cellStyle name="40% - Accent5 3" xfId="799" hidden="1" xr:uid="{00000000-0005-0000-0000-0000E30D0000}"/>
    <cellStyle name="40% - Accent5 3" xfId="831" hidden="1" xr:uid="{00000000-0005-0000-0000-0000E40D0000}"/>
    <cellStyle name="40% - Accent5 3" xfId="864" hidden="1" xr:uid="{00000000-0005-0000-0000-0000E50D0000}"/>
    <cellStyle name="40% - Accent5 3" xfId="897" hidden="1" xr:uid="{00000000-0005-0000-0000-0000E60D0000}"/>
    <cellStyle name="40% - Accent5 3" xfId="930" hidden="1" xr:uid="{00000000-0005-0000-0000-0000E70D0000}"/>
    <cellStyle name="40% - Accent5 3" xfId="963" hidden="1" xr:uid="{00000000-0005-0000-0000-0000E80D0000}"/>
    <cellStyle name="40% - Accent5 3" xfId="996" hidden="1" xr:uid="{00000000-0005-0000-0000-0000E90D0000}"/>
    <cellStyle name="40% - Accent5 3" xfId="1029" hidden="1" xr:uid="{00000000-0005-0000-0000-0000EA0D0000}"/>
    <cellStyle name="40% - Accent5 3" xfId="1072" hidden="1" xr:uid="{00000000-0005-0000-0000-0000EB0D0000}"/>
    <cellStyle name="40% - Accent5 3" xfId="1110" hidden="1" xr:uid="{00000000-0005-0000-0000-0000EC0D0000}"/>
    <cellStyle name="40% - Accent5 3" xfId="1143" hidden="1" xr:uid="{00000000-0005-0000-0000-0000ED0D0000}"/>
    <cellStyle name="40% - Accent5 3" xfId="1175" hidden="1" xr:uid="{00000000-0005-0000-0000-0000EE0D0000}"/>
    <cellStyle name="40% - Accent5 3" xfId="1207" hidden="1" xr:uid="{00000000-0005-0000-0000-0000EF0D0000}"/>
    <cellStyle name="40% - Accent5 3" xfId="1240" hidden="1" xr:uid="{00000000-0005-0000-0000-0000F00D0000}"/>
    <cellStyle name="40% - Accent5 3" xfId="1272" hidden="1" xr:uid="{00000000-0005-0000-0000-0000F10D0000}"/>
    <cellStyle name="40% - Accent5 3" xfId="1305" hidden="1" xr:uid="{00000000-0005-0000-0000-0000F20D0000}"/>
    <cellStyle name="40% - Accent5 3" xfId="1337" hidden="1" xr:uid="{00000000-0005-0000-0000-0000F30D0000}"/>
    <cellStyle name="40% - Accent5 3" xfId="1370" hidden="1" xr:uid="{00000000-0005-0000-0000-0000F40D0000}"/>
    <cellStyle name="40% - Accent5 3" xfId="1403" hidden="1" xr:uid="{00000000-0005-0000-0000-0000F50D0000}"/>
    <cellStyle name="40% - Accent5 3" xfId="1436" hidden="1" xr:uid="{00000000-0005-0000-0000-0000F60D0000}"/>
    <cellStyle name="40% - Accent5 3" xfId="1469" hidden="1" xr:uid="{00000000-0005-0000-0000-0000F70D0000}"/>
    <cellStyle name="40% - Accent5 3" xfId="1502" hidden="1" xr:uid="{00000000-0005-0000-0000-0000F80D0000}"/>
    <cellStyle name="40% - Accent5 3" xfId="1535" hidden="1" xr:uid="{00000000-0005-0000-0000-0000F90D0000}"/>
    <cellStyle name="40% - Accent5 3" xfId="1749" hidden="1" xr:uid="{00000000-0005-0000-0000-0000FA0D0000}"/>
    <cellStyle name="40% - Accent5 3" xfId="1786" hidden="1" xr:uid="{00000000-0005-0000-0000-0000FB0D0000}"/>
    <cellStyle name="40% - Accent5 3" xfId="1819" hidden="1" xr:uid="{00000000-0005-0000-0000-0000FC0D0000}"/>
    <cellStyle name="40% - Accent5 3" xfId="1851" hidden="1" xr:uid="{00000000-0005-0000-0000-0000FD0D0000}"/>
    <cellStyle name="40% - Accent5 3" xfId="1883" hidden="1" xr:uid="{00000000-0005-0000-0000-0000FE0D0000}"/>
    <cellStyle name="40% - Accent5 3" xfId="1916" hidden="1" xr:uid="{00000000-0005-0000-0000-0000FF0D0000}"/>
    <cellStyle name="40% - Accent5 3" xfId="1948" hidden="1" xr:uid="{00000000-0005-0000-0000-0000000E0000}"/>
    <cellStyle name="40% - Accent5 3" xfId="1981" hidden="1" xr:uid="{00000000-0005-0000-0000-0000010E0000}"/>
    <cellStyle name="40% - Accent5 3" xfId="2013" hidden="1" xr:uid="{00000000-0005-0000-0000-0000020E0000}"/>
    <cellStyle name="40% - Accent5 3" xfId="2046" hidden="1" xr:uid="{00000000-0005-0000-0000-0000030E0000}"/>
    <cellStyle name="40% - Accent5 3" xfId="2079" hidden="1" xr:uid="{00000000-0005-0000-0000-0000040E0000}"/>
    <cellStyle name="40% - Accent5 3" xfId="2112" hidden="1" xr:uid="{00000000-0005-0000-0000-0000050E0000}"/>
    <cellStyle name="40% - Accent5 3" xfId="2145" hidden="1" xr:uid="{00000000-0005-0000-0000-0000060E0000}"/>
    <cellStyle name="40% - Accent5 3" xfId="2178" hidden="1" xr:uid="{00000000-0005-0000-0000-0000070E0000}"/>
    <cellStyle name="40% - Accent5 3" xfId="2211" hidden="1" xr:uid="{00000000-0005-0000-0000-0000080E0000}"/>
    <cellStyle name="40% - Accent5 3" xfId="1733" hidden="1" xr:uid="{00000000-0005-0000-0000-0000090E0000}"/>
    <cellStyle name="40% - Accent5 3" xfId="2263" hidden="1" xr:uid="{00000000-0005-0000-0000-00000A0E0000}"/>
    <cellStyle name="40% - Accent5 3" xfId="2296" hidden="1" xr:uid="{00000000-0005-0000-0000-00000B0E0000}"/>
    <cellStyle name="40% - Accent5 3" xfId="2328" hidden="1" xr:uid="{00000000-0005-0000-0000-00000C0E0000}"/>
    <cellStyle name="40% - Accent5 3" xfId="2360" hidden="1" xr:uid="{00000000-0005-0000-0000-00000D0E0000}"/>
    <cellStyle name="40% - Accent5 3" xfId="2393" hidden="1" xr:uid="{00000000-0005-0000-0000-00000E0E0000}"/>
    <cellStyle name="40% - Accent5 3" xfId="2425" hidden="1" xr:uid="{00000000-0005-0000-0000-00000F0E0000}"/>
    <cellStyle name="40% - Accent5 3" xfId="2458" hidden="1" xr:uid="{00000000-0005-0000-0000-0000100E0000}"/>
    <cellStyle name="40% - Accent5 3" xfId="2490" hidden="1" xr:uid="{00000000-0005-0000-0000-0000110E0000}"/>
    <cellStyle name="40% - Accent5 3" xfId="2523" hidden="1" xr:uid="{00000000-0005-0000-0000-0000120E0000}"/>
    <cellStyle name="40% - Accent5 3" xfId="2556" hidden="1" xr:uid="{00000000-0005-0000-0000-0000130E0000}"/>
    <cellStyle name="40% - Accent5 3" xfId="2589" hidden="1" xr:uid="{00000000-0005-0000-0000-0000140E0000}"/>
    <cellStyle name="40% - Accent5 3" xfId="2622" hidden="1" xr:uid="{00000000-0005-0000-0000-0000150E0000}"/>
    <cellStyle name="40% - Accent5 3" xfId="2655" hidden="1" xr:uid="{00000000-0005-0000-0000-0000160E0000}"/>
    <cellStyle name="40% - Accent5 3" xfId="2688" hidden="1" xr:uid="{00000000-0005-0000-0000-0000170E0000}"/>
    <cellStyle name="40% - Accent5 3" xfId="2769" hidden="1" xr:uid="{00000000-0005-0000-0000-0000180E0000}"/>
    <cellStyle name="40% - Accent5 3" xfId="2806" hidden="1" xr:uid="{00000000-0005-0000-0000-0000190E0000}"/>
    <cellStyle name="40% - Accent5 3" xfId="2839" hidden="1" xr:uid="{00000000-0005-0000-0000-00001A0E0000}"/>
    <cellStyle name="40% - Accent5 3" xfId="2871" hidden="1" xr:uid="{00000000-0005-0000-0000-00001B0E0000}"/>
    <cellStyle name="40% - Accent5 3" xfId="2903" hidden="1" xr:uid="{00000000-0005-0000-0000-00001C0E0000}"/>
    <cellStyle name="40% - Accent5 3" xfId="2936" hidden="1" xr:uid="{00000000-0005-0000-0000-00001D0E0000}"/>
    <cellStyle name="40% - Accent5 3" xfId="2968" hidden="1" xr:uid="{00000000-0005-0000-0000-00001E0E0000}"/>
    <cellStyle name="40% - Accent5 3" xfId="3001" hidden="1" xr:uid="{00000000-0005-0000-0000-00001F0E0000}"/>
    <cellStyle name="40% - Accent5 3" xfId="3033" hidden="1" xr:uid="{00000000-0005-0000-0000-0000200E0000}"/>
    <cellStyle name="40% - Accent5 3" xfId="3066" hidden="1" xr:uid="{00000000-0005-0000-0000-0000210E0000}"/>
    <cellStyle name="40% - Accent5 3" xfId="3099" hidden="1" xr:uid="{00000000-0005-0000-0000-0000220E0000}"/>
    <cellStyle name="40% - Accent5 3" xfId="3132" hidden="1" xr:uid="{00000000-0005-0000-0000-0000230E0000}"/>
    <cellStyle name="40% - Accent5 3" xfId="3165" hidden="1" xr:uid="{00000000-0005-0000-0000-0000240E0000}"/>
    <cellStyle name="40% - Accent5 3" xfId="3198" hidden="1" xr:uid="{00000000-0005-0000-0000-0000250E0000}"/>
    <cellStyle name="40% - Accent5 3" xfId="3231" hidden="1" xr:uid="{00000000-0005-0000-0000-0000260E0000}"/>
    <cellStyle name="40% - Accent5 3" xfId="3282" hidden="1" xr:uid="{00000000-0005-0000-0000-0000270E0000}"/>
    <cellStyle name="40% - Accent5 3" xfId="3319" hidden="1" xr:uid="{00000000-0005-0000-0000-0000280E0000}"/>
    <cellStyle name="40% - Accent5 3" xfId="3352" hidden="1" xr:uid="{00000000-0005-0000-0000-0000290E0000}"/>
    <cellStyle name="40% - Accent5 3" xfId="3384" hidden="1" xr:uid="{00000000-0005-0000-0000-00002A0E0000}"/>
    <cellStyle name="40% - Accent5 3" xfId="3416" hidden="1" xr:uid="{00000000-0005-0000-0000-00002B0E0000}"/>
    <cellStyle name="40% - Accent5 3" xfId="3449" hidden="1" xr:uid="{00000000-0005-0000-0000-00002C0E0000}"/>
    <cellStyle name="40% - Accent5 3" xfId="3481" hidden="1" xr:uid="{00000000-0005-0000-0000-00002D0E0000}"/>
    <cellStyle name="40% - Accent5 3" xfId="3514" hidden="1" xr:uid="{00000000-0005-0000-0000-00002E0E0000}"/>
    <cellStyle name="40% - Accent5 3" xfId="3546" hidden="1" xr:uid="{00000000-0005-0000-0000-00002F0E0000}"/>
    <cellStyle name="40% - Accent5 3" xfId="3579" hidden="1" xr:uid="{00000000-0005-0000-0000-0000300E0000}"/>
    <cellStyle name="40% - Accent5 3" xfId="3612" hidden="1" xr:uid="{00000000-0005-0000-0000-0000310E0000}"/>
    <cellStyle name="40% - Accent5 3" xfId="3645" hidden="1" xr:uid="{00000000-0005-0000-0000-0000320E0000}"/>
    <cellStyle name="40% - Accent5 3" xfId="3678" hidden="1" xr:uid="{00000000-0005-0000-0000-0000330E0000}"/>
    <cellStyle name="40% - Accent5 3" xfId="3711" hidden="1" xr:uid="{00000000-0005-0000-0000-0000340E0000}"/>
    <cellStyle name="40% - Accent5 3" xfId="3744" hidden="1" xr:uid="{00000000-0005-0000-0000-0000350E0000}"/>
    <cellStyle name="40% - Accent5 3" xfId="3266" hidden="1" xr:uid="{00000000-0005-0000-0000-0000360E0000}"/>
    <cellStyle name="40% - Accent5 3" xfId="3796" hidden="1" xr:uid="{00000000-0005-0000-0000-0000370E0000}"/>
    <cellStyle name="40% - Accent5 3" xfId="3829" hidden="1" xr:uid="{00000000-0005-0000-0000-0000380E0000}"/>
    <cellStyle name="40% - Accent5 3" xfId="3861" hidden="1" xr:uid="{00000000-0005-0000-0000-0000390E0000}"/>
    <cellStyle name="40% - Accent5 3" xfId="3893" hidden="1" xr:uid="{00000000-0005-0000-0000-00003A0E0000}"/>
    <cellStyle name="40% - Accent5 3" xfId="3926" hidden="1" xr:uid="{00000000-0005-0000-0000-00003B0E0000}"/>
    <cellStyle name="40% - Accent5 3" xfId="3958" hidden="1" xr:uid="{00000000-0005-0000-0000-00003C0E0000}"/>
    <cellStyle name="40% - Accent5 3" xfId="3991" hidden="1" xr:uid="{00000000-0005-0000-0000-00003D0E0000}"/>
    <cellStyle name="40% - Accent5 3" xfId="4023" hidden="1" xr:uid="{00000000-0005-0000-0000-00003E0E0000}"/>
    <cellStyle name="40% - Accent5 3" xfId="4056" hidden="1" xr:uid="{00000000-0005-0000-0000-00003F0E0000}"/>
    <cellStyle name="40% - Accent5 3" xfId="4089" hidden="1" xr:uid="{00000000-0005-0000-0000-0000400E0000}"/>
    <cellStyle name="40% - Accent5 3" xfId="4122" hidden="1" xr:uid="{00000000-0005-0000-0000-0000410E0000}"/>
    <cellStyle name="40% - Accent5 3" xfId="4155" hidden="1" xr:uid="{00000000-0005-0000-0000-0000420E0000}"/>
    <cellStyle name="40% - Accent5 3" xfId="4188" hidden="1" xr:uid="{00000000-0005-0000-0000-0000430E0000}"/>
    <cellStyle name="40% - Accent5 3" xfId="4221" hidden="1" xr:uid="{00000000-0005-0000-0000-0000440E0000}"/>
    <cellStyle name="40% - Accent5 3" xfId="4388" hidden="1" xr:uid="{00000000-0005-0000-0000-0000450E0000}"/>
    <cellStyle name="40% - Accent5 3" xfId="4421" hidden="1" xr:uid="{00000000-0005-0000-0000-0000460E0000}"/>
    <cellStyle name="40% - Accent5 3" xfId="4454" hidden="1" xr:uid="{00000000-0005-0000-0000-0000470E0000}"/>
    <cellStyle name="40% - Accent5 3" xfId="4487" hidden="1" xr:uid="{00000000-0005-0000-0000-0000480E0000}"/>
    <cellStyle name="40% - Accent5 3" xfId="4520" hidden="1" xr:uid="{00000000-0005-0000-0000-0000490E0000}"/>
    <cellStyle name="40% - Accent5 3" xfId="4553" hidden="1" xr:uid="{00000000-0005-0000-0000-00004A0E0000}"/>
    <cellStyle name="40% - Accent5 3" xfId="4586" hidden="1" xr:uid="{00000000-0005-0000-0000-00004B0E0000}"/>
    <cellStyle name="40% - Accent5 3" xfId="4619" hidden="1" xr:uid="{00000000-0005-0000-0000-00004C0E0000}"/>
    <cellStyle name="40% - Accent5 3" xfId="4652" hidden="1" xr:uid="{00000000-0005-0000-0000-00004D0E0000}"/>
    <cellStyle name="40% - Accent5 3" xfId="4685" hidden="1" xr:uid="{00000000-0005-0000-0000-00004E0E0000}"/>
    <cellStyle name="40% - Accent5 3" xfId="4718" hidden="1" xr:uid="{00000000-0005-0000-0000-00004F0E0000}"/>
    <cellStyle name="40% - Accent5 3" xfId="4755" hidden="1" xr:uid="{00000000-0005-0000-0000-0000500E0000}"/>
    <cellStyle name="40% - Accent5 3" xfId="4788" hidden="1" xr:uid="{00000000-0005-0000-0000-0000510E0000}"/>
    <cellStyle name="40% - Accent5 3" xfId="4820" hidden="1" xr:uid="{00000000-0005-0000-0000-0000520E0000}"/>
    <cellStyle name="40% - Accent5 3" xfId="4852" hidden="1" xr:uid="{00000000-0005-0000-0000-0000530E0000}"/>
    <cellStyle name="40% - Accent5 3" xfId="4885" hidden="1" xr:uid="{00000000-0005-0000-0000-0000540E0000}"/>
    <cellStyle name="40% - Accent5 3" xfId="4917" hidden="1" xr:uid="{00000000-0005-0000-0000-0000550E0000}"/>
    <cellStyle name="40% - Accent5 3" xfId="4950" hidden="1" xr:uid="{00000000-0005-0000-0000-0000560E0000}"/>
    <cellStyle name="40% - Accent5 3" xfId="4982" hidden="1" xr:uid="{00000000-0005-0000-0000-0000570E0000}"/>
    <cellStyle name="40% - Accent5 3" xfId="5015" hidden="1" xr:uid="{00000000-0005-0000-0000-0000580E0000}"/>
    <cellStyle name="40% - Accent5 3" xfId="5048" hidden="1" xr:uid="{00000000-0005-0000-0000-0000590E0000}"/>
    <cellStyle name="40% - Accent5 3" xfId="5081" hidden="1" xr:uid="{00000000-0005-0000-0000-00005A0E0000}"/>
    <cellStyle name="40% - Accent5 3" xfId="5114" hidden="1" xr:uid="{00000000-0005-0000-0000-00005B0E0000}"/>
    <cellStyle name="40% - Accent5 3" xfId="5147" hidden="1" xr:uid="{00000000-0005-0000-0000-00005C0E0000}"/>
    <cellStyle name="40% - Accent5 3" xfId="5180" hidden="1" xr:uid="{00000000-0005-0000-0000-00005D0E0000}"/>
    <cellStyle name="40% - Accent5 3" xfId="5221" hidden="1" xr:uid="{00000000-0005-0000-0000-00005E0E0000}"/>
    <cellStyle name="40% - Accent5 3" xfId="5258" hidden="1" xr:uid="{00000000-0005-0000-0000-00005F0E0000}"/>
    <cellStyle name="40% - Accent5 3" xfId="5291" hidden="1" xr:uid="{00000000-0005-0000-0000-0000600E0000}"/>
    <cellStyle name="40% - Accent5 3" xfId="5323" hidden="1" xr:uid="{00000000-0005-0000-0000-0000610E0000}"/>
    <cellStyle name="40% - Accent5 3" xfId="5355" hidden="1" xr:uid="{00000000-0005-0000-0000-0000620E0000}"/>
    <cellStyle name="40% - Accent5 3" xfId="5388" hidden="1" xr:uid="{00000000-0005-0000-0000-0000630E0000}"/>
    <cellStyle name="40% - Accent5 3" xfId="5420" hidden="1" xr:uid="{00000000-0005-0000-0000-0000640E0000}"/>
    <cellStyle name="40% - Accent5 3" xfId="5453" hidden="1" xr:uid="{00000000-0005-0000-0000-0000650E0000}"/>
    <cellStyle name="40% - Accent5 3" xfId="5485" hidden="1" xr:uid="{00000000-0005-0000-0000-0000660E0000}"/>
    <cellStyle name="40% - Accent5 3" xfId="5518" hidden="1" xr:uid="{00000000-0005-0000-0000-0000670E0000}"/>
    <cellStyle name="40% - Accent5 3" xfId="5551" hidden="1" xr:uid="{00000000-0005-0000-0000-0000680E0000}"/>
    <cellStyle name="40% - Accent5 3" xfId="5584" hidden="1" xr:uid="{00000000-0005-0000-0000-0000690E0000}"/>
    <cellStyle name="40% - Accent5 3" xfId="5617" hidden="1" xr:uid="{00000000-0005-0000-0000-00006A0E0000}"/>
    <cellStyle name="40% - Accent5 3" xfId="5650" hidden="1" xr:uid="{00000000-0005-0000-0000-00006B0E0000}"/>
    <cellStyle name="40% - Accent5 3" xfId="5683" hidden="1" xr:uid="{00000000-0005-0000-0000-00006C0E0000}"/>
    <cellStyle name="40% - Accent5 3" xfId="5787" hidden="1" xr:uid="{00000000-0005-0000-0000-00006D0E0000}"/>
    <cellStyle name="40% - Accent5 3" xfId="5824" hidden="1" xr:uid="{00000000-0005-0000-0000-00006E0E0000}"/>
    <cellStyle name="40% - Accent5 3" xfId="5857" hidden="1" xr:uid="{00000000-0005-0000-0000-00006F0E0000}"/>
    <cellStyle name="40% - Accent5 3" xfId="5889" hidden="1" xr:uid="{00000000-0005-0000-0000-0000700E0000}"/>
    <cellStyle name="40% - Accent5 3" xfId="5921" hidden="1" xr:uid="{00000000-0005-0000-0000-0000710E0000}"/>
    <cellStyle name="40% - Accent5 3" xfId="5954" hidden="1" xr:uid="{00000000-0005-0000-0000-0000720E0000}"/>
    <cellStyle name="40% - Accent5 3" xfId="5986" hidden="1" xr:uid="{00000000-0005-0000-0000-0000730E0000}"/>
    <cellStyle name="40% - Accent5 3" xfId="6019" hidden="1" xr:uid="{00000000-0005-0000-0000-0000740E0000}"/>
    <cellStyle name="40% - Accent5 3" xfId="6051" hidden="1" xr:uid="{00000000-0005-0000-0000-0000750E0000}"/>
    <cellStyle name="40% - Accent5 3" xfId="6084" hidden="1" xr:uid="{00000000-0005-0000-0000-0000760E0000}"/>
    <cellStyle name="40% - Accent5 3" xfId="6117" hidden="1" xr:uid="{00000000-0005-0000-0000-0000770E0000}"/>
    <cellStyle name="40% - Accent5 3" xfId="6150" hidden="1" xr:uid="{00000000-0005-0000-0000-0000780E0000}"/>
    <cellStyle name="40% - Accent5 3" xfId="6183" hidden="1" xr:uid="{00000000-0005-0000-0000-0000790E0000}"/>
    <cellStyle name="40% - Accent5 3" xfId="6216" hidden="1" xr:uid="{00000000-0005-0000-0000-00007A0E0000}"/>
    <cellStyle name="40% - Accent5 3" xfId="6249" hidden="1" xr:uid="{00000000-0005-0000-0000-00007B0E0000}"/>
    <cellStyle name="40% - Accent5 3" xfId="5771" hidden="1" xr:uid="{00000000-0005-0000-0000-00007C0E0000}"/>
    <cellStyle name="40% - Accent5 3" xfId="6301" hidden="1" xr:uid="{00000000-0005-0000-0000-00007D0E0000}"/>
    <cellStyle name="40% - Accent5 3" xfId="6334" hidden="1" xr:uid="{00000000-0005-0000-0000-00007E0E0000}"/>
    <cellStyle name="40% - Accent5 3" xfId="6366" hidden="1" xr:uid="{00000000-0005-0000-0000-00007F0E0000}"/>
    <cellStyle name="40% - Accent5 3" xfId="6398" hidden="1" xr:uid="{00000000-0005-0000-0000-0000800E0000}"/>
    <cellStyle name="40% - Accent5 3" xfId="6431" hidden="1" xr:uid="{00000000-0005-0000-0000-0000810E0000}"/>
    <cellStyle name="40% - Accent5 3" xfId="6463" hidden="1" xr:uid="{00000000-0005-0000-0000-0000820E0000}"/>
    <cellStyle name="40% - Accent5 3" xfId="6496" hidden="1" xr:uid="{00000000-0005-0000-0000-0000830E0000}"/>
    <cellStyle name="40% - Accent5 3" xfId="6528" hidden="1" xr:uid="{00000000-0005-0000-0000-0000840E0000}"/>
    <cellStyle name="40% - Accent5 3" xfId="6561" hidden="1" xr:uid="{00000000-0005-0000-0000-0000850E0000}"/>
    <cellStyle name="40% - Accent5 3" xfId="6594" hidden="1" xr:uid="{00000000-0005-0000-0000-0000860E0000}"/>
    <cellStyle name="40% - Accent5 3" xfId="6627" hidden="1" xr:uid="{00000000-0005-0000-0000-0000870E0000}"/>
    <cellStyle name="40% - Accent5 3" xfId="6660" hidden="1" xr:uid="{00000000-0005-0000-0000-0000880E0000}"/>
    <cellStyle name="40% - Accent5 3" xfId="6693" hidden="1" xr:uid="{00000000-0005-0000-0000-0000890E0000}"/>
    <cellStyle name="40% - Accent5 3" xfId="6726" hidden="1" xr:uid="{00000000-0005-0000-0000-00008A0E0000}"/>
    <cellStyle name="40% - Accent5 3" xfId="6783" hidden="1" xr:uid="{00000000-0005-0000-0000-00008B0E0000}"/>
    <cellStyle name="40% - Accent5 3" xfId="6820" hidden="1" xr:uid="{00000000-0005-0000-0000-00008C0E0000}"/>
    <cellStyle name="40% - Accent5 3" xfId="6853" hidden="1" xr:uid="{00000000-0005-0000-0000-00008D0E0000}"/>
    <cellStyle name="40% - Accent5 3" xfId="6885" hidden="1" xr:uid="{00000000-0005-0000-0000-00008E0E0000}"/>
    <cellStyle name="40% - Accent5 3" xfId="6917" hidden="1" xr:uid="{00000000-0005-0000-0000-00008F0E0000}"/>
    <cellStyle name="40% - Accent5 3" xfId="6950" hidden="1" xr:uid="{00000000-0005-0000-0000-0000900E0000}"/>
    <cellStyle name="40% - Accent5 3" xfId="6982" hidden="1" xr:uid="{00000000-0005-0000-0000-0000910E0000}"/>
    <cellStyle name="40% - Accent5 3" xfId="7015" hidden="1" xr:uid="{00000000-0005-0000-0000-0000920E0000}"/>
    <cellStyle name="40% - Accent5 3" xfId="7047" hidden="1" xr:uid="{00000000-0005-0000-0000-0000930E0000}"/>
    <cellStyle name="40% - Accent5 3" xfId="7080" hidden="1" xr:uid="{00000000-0005-0000-0000-0000940E0000}"/>
    <cellStyle name="40% - Accent5 3" xfId="7113" hidden="1" xr:uid="{00000000-0005-0000-0000-0000950E0000}"/>
    <cellStyle name="40% - Accent5 3" xfId="7146" hidden="1" xr:uid="{00000000-0005-0000-0000-0000960E0000}"/>
    <cellStyle name="40% - Accent5 3" xfId="7179" hidden="1" xr:uid="{00000000-0005-0000-0000-0000970E0000}"/>
    <cellStyle name="40% - Accent5 3" xfId="7212" hidden="1" xr:uid="{00000000-0005-0000-0000-0000980E0000}"/>
    <cellStyle name="40% - Accent5 3" xfId="7245" hidden="1" xr:uid="{00000000-0005-0000-0000-0000990E0000}"/>
    <cellStyle name="40% - Accent5 3" xfId="7296" hidden="1" xr:uid="{00000000-0005-0000-0000-00009A0E0000}"/>
    <cellStyle name="40% - Accent5 3" xfId="7333" hidden="1" xr:uid="{00000000-0005-0000-0000-00009B0E0000}"/>
    <cellStyle name="40% - Accent5 3" xfId="7366" hidden="1" xr:uid="{00000000-0005-0000-0000-00009C0E0000}"/>
    <cellStyle name="40% - Accent5 3" xfId="7398" hidden="1" xr:uid="{00000000-0005-0000-0000-00009D0E0000}"/>
    <cellStyle name="40% - Accent5 3" xfId="7430" hidden="1" xr:uid="{00000000-0005-0000-0000-00009E0E0000}"/>
    <cellStyle name="40% - Accent5 3" xfId="7463" hidden="1" xr:uid="{00000000-0005-0000-0000-00009F0E0000}"/>
    <cellStyle name="40% - Accent5 3" xfId="7495" hidden="1" xr:uid="{00000000-0005-0000-0000-0000A00E0000}"/>
    <cellStyle name="40% - Accent5 3" xfId="7528" hidden="1" xr:uid="{00000000-0005-0000-0000-0000A10E0000}"/>
    <cellStyle name="40% - Accent5 3" xfId="7560" hidden="1" xr:uid="{00000000-0005-0000-0000-0000A20E0000}"/>
    <cellStyle name="40% - Accent5 3" xfId="7593" hidden="1" xr:uid="{00000000-0005-0000-0000-0000A30E0000}"/>
    <cellStyle name="40% - Accent5 3" xfId="7626" hidden="1" xr:uid="{00000000-0005-0000-0000-0000A40E0000}"/>
    <cellStyle name="40% - Accent5 3" xfId="7659" hidden="1" xr:uid="{00000000-0005-0000-0000-0000A50E0000}"/>
    <cellStyle name="40% - Accent5 3" xfId="7692" hidden="1" xr:uid="{00000000-0005-0000-0000-0000A60E0000}"/>
    <cellStyle name="40% - Accent5 3" xfId="7725" hidden="1" xr:uid="{00000000-0005-0000-0000-0000A70E0000}"/>
    <cellStyle name="40% - Accent5 3" xfId="7758" hidden="1" xr:uid="{00000000-0005-0000-0000-0000A80E0000}"/>
    <cellStyle name="40% - Accent5 3" xfId="7280" hidden="1" xr:uid="{00000000-0005-0000-0000-0000A90E0000}"/>
    <cellStyle name="40% - Accent5 3" xfId="7810" hidden="1" xr:uid="{00000000-0005-0000-0000-0000AA0E0000}"/>
    <cellStyle name="40% - Accent5 3" xfId="7843" hidden="1" xr:uid="{00000000-0005-0000-0000-0000AB0E0000}"/>
    <cellStyle name="40% - Accent5 3" xfId="7875" hidden="1" xr:uid="{00000000-0005-0000-0000-0000AC0E0000}"/>
    <cellStyle name="40% - Accent5 3" xfId="7907" hidden="1" xr:uid="{00000000-0005-0000-0000-0000AD0E0000}"/>
    <cellStyle name="40% - Accent5 3" xfId="7940" hidden="1" xr:uid="{00000000-0005-0000-0000-0000AE0E0000}"/>
    <cellStyle name="40% - Accent5 3" xfId="7972" hidden="1" xr:uid="{00000000-0005-0000-0000-0000AF0E0000}"/>
    <cellStyle name="40% - Accent5 3" xfId="8005" hidden="1" xr:uid="{00000000-0005-0000-0000-0000B00E0000}"/>
    <cellStyle name="40% - Accent5 3" xfId="8037" hidden="1" xr:uid="{00000000-0005-0000-0000-0000B10E0000}"/>
    <cellStyle name="40% - Accent5 3" xfId="8070" hidden="1" xr:uid="{00000000-0005-0000-0000-0000B20E0000}"/>
    <cellStyle name="40% - Accent5 3" xfId="8103" hidden="1" xr:uid="{00000000-0005-0000-0000-0000B30E0000}"/>
    <cellStyle name="40% - Accent5 3" xfId="8136" hidden="1" xr:uid="{00000000-0005-0000-0000-0000B40E0000}"/>
    <cellStyle name="40% - Accent5 3" xfId="8169" hidden="1" xr:uid="{00000000-0005-0000-0000-0000B50E0000}"/>
    <cellStyle name="40% - Accent5 3" xfId="8202" hidden="1" xr:uid="{00000000-0005-0000-0000-0000B60E0000}"/>
    <cellStyle name="40% - Accent5 3" xfId="8235" hidden="1" xr:uid="{00000000-0005-0000-0000-0000B70E0000}"/>
    <cellStyle name="40% - Accent5 3" xfId="5756" hidden="1" xr:uid="{00000000-0005-0000-0000-0000B80E0000}"/>
    <cellStyle name="40% - Accent5 3" xfId="5209" hidden="1" xr:uid="{00000000-0005-0000-0000-0000B90E0000}"/>
    <cellStyle name="40% - Accent5 3" xfId="6768" hidden="1" xr:uid="{00000000-0005-0000-0000-0000BA0E0000}"/>
    <cellStyle name="40% - Accent5 3" xfId="5729" hidden="1" xr:uid="{00000000-0005-0000-0000-0000BB0E0000}"/>
    <cellStyle name="40% - Accent5 3" xfId="4370" hidden="1" xr:uid="{00000000-0005-0000-0000-0000BC0E0000}"/>
    <cellStyle name="40% - Accent5 3" xfId="6753" hidden="1" xr:uid="{00000000-0005-0000-0000-0000BD0E0000}"/>
    <cellStyle name="40% - Accent5 3" xfId="4251" hidden="1" xr:uid="{00000000-0005-0000-0000-0000BE0E0000}"/>
    <cellStyle name="40% - Accent5 3" xfId="8280" hidden="1" xr:uid="{00000000-0005-0000-0000-0000BF0E0000}"/>
    <cellStyle name="40% - Accent5 3" xfId="8313" hidden="1" xr:uid="{00000000-0005-0000-0000-0000C00E0000}"/>
    <cellStyle name="40% - Accent5 3" xfId="8346" hidden="1" xr:uid="{00000000-0005-0000-0000-0000C10E0000}"/>
    <cellStyle name="40% - Accent5 3" xfId="8379" hidden="1" xr:uid="{00000000-0005-0000-0000-0000C20E0000}"/>
    <cellStyle name="40% - Accent5 3" xfId="8416" hidden="1" xr:uid="{00000000-0005-0000-0000-0000C30E0000}"/>
    <cellStyle name="40% - Accent5 3" xfId="8449" hidden="1" xr:uid="{00000000-0005-0000-0000-0000C40E0000}"/>
    <cellStyle name="40% - Accent5 3" xfId="8481" hidden="1" xr:uid="{00000000-0005-0000-0000-0000C50E0000}"/>
    <cellStyle name="40% - Accent5 3" xfId="8513" hidden="1" xr:uid="{00000000-0005-0000-0000-0000C60E0000}"/>
    <cellStyle name="40% - Accent5 3" xfId="8546" hidden="1" xr:uid="{00000000-0005-0000-0000-0000C70E0000}"/>
    <cellStyle name="40% - Accent5 3" xfId="8578" hidden="1" xr:uid="{00000000-0005-0000-0000-0000C80E0000}"/>
    <cellStyle name="40% - Accent5 3" xfId="8611" hidden="1" xr:uid="{00000000-0005-0000-0000-0000C90E0000}"/>
    <cellStyle name="40% - Accent5 3" xfId="8643" hidden="1" xr:uid="{00000000-0005-0000-0000-0000CA0E0000}"/>
    <cellStyle name="40% - Accent5 3" xfId="8676" hidden="1" xr:uid="{00000000-0005-0000-0000-0000CB0E0000}"/>
    <cellStyle name="40% - Accent5 3" xfId="8709" hidden="1" xr:uid="{00000000-0005-0000-0000-0000CC0E0000}"/>
    <cellStyle name="40% - Accent5 3" xfId="8742" hidden="1" xr:uid="{00000000-0005-0000-0000-0000CD0E0000}"/>
    <cellStyle name="40% - Accent5 3" xfId="8775" hidden="1" xr:uid="{00000000-0005-0000-0000-0000CE0E0000}"/>
    <cellStyle name="40% - Accent5 3" xfId="8808" hidden="1" xr:uid="{00000000-0005-0000-0000-0000CF0E0000}"/>
    <cellStyle name="40% - Accent5 3" xfId="8841" hidden="1" xr:uid="{00000000-0005-0000-0000-0000D00E0000}"/>
    <cellStyle name="40% - Accent5 3" xfId="8881" hidden="1" xr:uid="{00000000-0005-0000-0000-0000D10E0000}"/>
    <cellStyle name="40% - Accent5 3" xfId="8918" hidden="1" xr:uid="{00000000-0005-0000-0000-0000D20E0000}"/>
    <cellStyle name="40% - Accent5 3" xfId="8951" hidden="1" xr:uid="{00000000-0005-0000-0000-0000D30E0000}"/>
    <cellStyle name="40% - Accent5 3" xfId="8983" hidden="1" xr:uid="{00000000-0005-0000-0000-0000D40E0000}"/>
    <cellStyle name="40% - Accent5 3" xfId="9015" hidden="1" xr:uid="{00000000-0005-0000-0000-0000D50E0000}"/>
    <cellStyle name="40% - Accent5 3" xfId="9048" hidden="1" xr:uid="{00000000-0005-0000-0000-0000D60E0000}"/>
    <cellStyle name="40% - Accent5 3" xfId="9080" hidden="1" xr:uid="{00000000-0005-0000-0000-0000D70E0000}"/>
    <cellStyle name="40% - Accent5 3" xfId="9113" hidden="1" xr:uid="{00000000-0005-0000-0000-0000D80E0000}"/>
    <cellStyle name="40% - Accent5 3" xfId="9145" hidden="1" xr:uid="{00000000-0005-0000-0000-0000D90E0000}"/>
    <cellStyle name="40% - Accent5 3" xfId="9178" hidden="1" xr:uid="{00000000-0005-0000-0000-0000DA0E0000}"/>
    <cellStyle name="40% - Accent5 3" xfId="9211" hidden="1" xr:uid="{00000000-0005-0000-0000-0000DB0E0000}"/>
    <cellStyle name="40% - Accent5 3" xfId="9244" hidden="1" xr:uid="{00000000-0005-0000-0000-0000DC0E0000}"/>
    <cellStyle name="40% - Accent5 3" xfId="9277" hidden="1" xr:uid="{00000000-0005-0000-0000-0000DD0E0000}"/>
    <cellStyle name="40% - Accent5 3" xfId="9310" hidden="1" xr:uid="{00000000-0005-0000-0000-0000DE0E0000}"/>
    <cellStyle name="40% - Accent5 3" xfId="9343" hidden="1" xr:uid="{00000000-0005-0000-0000-0000DF0E0000}"/>
    <cellStyle name="40% - Accent5 3" xfId="9394" hidden="1" xr:uid="{00000000-0005-0000-0000-0000E00E0000}"/>
    <cellStyle name="40% - Accent5 3" xfId="9431" hidden="1" xr:uid="{00000000-0005-0000-0000-0000E10E0000}"/>
    <cellStyle name="40% - Accent5 3" xfId="9464" hidden="1" xr:uid="{00000000-0005-0000-0000-0000E20E0000}"/>
    <cellStyle name="40% - Accent5 3" xfId="9496" hidden="1" xr:uid="{00000000-0005-0000-0000-0000E30E0000}"/>
    <cellStyle name="40% - Accent5 3" xfId="9528" hidden="1" xr:uid="{00000000-0005-0000-0000-0000E40E0000}"/>
    <cellStyle name="40% - Accent5 3" xfId="9561" hidden="1" xr:uid="{00000000-0005-0000-0000-0000E50E0000}"/>
    <cellStyle name="40% - Accent5 3" xfId="9593" hidden="1" xr:uid="{00000000-0005-0000-0000-0000E60E0000}"/>
    <cellStyle name="40% - Accent5 3" xfId="9626" hidden="1" xr:uid="{00000000-0005-0000-0000-0000E70E0000}"/>
    <cellStyle name="40% - Accent5 3" xfId="9658" hidden="1" xr:uid="{00000000-0005-0000-0000-0000E80E0000}"/>
    <cellStyle name="40% - Accent5 3" xfId="9691" hidden="1" xr:uid="{00000000-0005-0000-0000-0000E90E0000}"/>
    <cellStyle name="40% - Accent5 3" xfId="9724" hidden="1" xr:uid="{00000000-0005-0000-0000-0000EA0E0000}"/>
    <cellStyle name="40% - Accent5 3" xfId="9757" hidden="1" xr:uid="{00000000-0005-0000-0000-0000EB0E0000}"/>
    <cellStyle name="40% - Accent5 3" xfId="9790" hidden="1" xr:uid="{00000000-0005-0000-0000-0000EC0E0000}"/>
    <cellStyle name="40% - Accent5 3" xfId="9823" hidden="1" xr:uid="{00000000-0005-0000-0000-0000ED0E0000}"/>
    <cellStyle name="40% - Accent5 3" xfId="9856" hidden="1" xr:uid="{00000000-0005-0000-0000-0000EE0E0000}"/>
    <cellStyle name="40% - Accent5 3" xfId="9378" hidden="1" xr:uid="{00000000-0005-0000-0000-0000EF0E0000}"/>
    <cellStyle name="40% - Accent5 3" xfId="9908" hidden="1" xr:uid="{00000000-0005-0000-0000-0000F00E0000}"/>
    <cellStyle name="40% - Accent5 3" xfId="9941" hidden="1" xr:uid="{00000000-0005-0000-0000-0000F10E0000}"/>
    <cellStyle name="40% - Accent5 3" xfId="9973" hidden="1" xr:uid="{00000000-0005-0000-0000-0000F20E0000}"/>
    <cellStyle name="40% - Accent5 3" xfId="10005" hidden="1" xr:uid="{00000000-0005-0000-0000-0000F30E0000}"/>
    <cellStyle name="40% - Accent5 3" xfId="10038" hidden="1" xr:uid="{00000000-0005-0000-0000-0000F40E0000}"/>
    <cellStyle name="40% - Accent5 3" xfId="10070" hidden="1" xr:uid="{00000000-0005-0000-0000-0000F50E0000}"/>
    <cellStyle name="40% - Accent5 3" xfId="10103" hidden="1" xr:uid="{00000000-0005-0000-0000-0000F60E0000}"/>
    <cellStyle name="40% - Accent5 3" xfId="10135" hidden="1" xr:uid="{00000000-0005-0000-0000-0000F70E0000}"/>
    <cellStyle name="40% - Accent5 3" xfId="10168" hidden="1" xr:uid="{00000000-0005-0000-0000-0000F80E0000}"/>
    <cellStyle name="40% - Accent5 3" xfId="10201" hidden="1" xr:uid="{00000000-0005-0000-0000-0000F90E0000}"/>
    <cellStyle name="40% - Accent5 3" xfId="10234" hidden="1" xr:uid="{00000000-0005-0000-0000-0000FA0E0000}"/>
    <cellStyle name="40% - Accent5 3" xfId="10267" hidden="1" xr:uid="{00000000-0005-0000-0000-0000FB0E0000}"/>
    <cellStyle name="40% - Accent5 3" xfId="10300" hidden="1" xr:uid="{00000000-0005-0000-0000-0000FC0E0000}"/>
    <cellStyle name="40% - Accent5 3" xfId="10333" hidden="1" xr:uid="{00000000-0005-0000-0000-0000FD0E0000}"/>
    <cellStyle name="40% - Accent5 3" xfId="10359" hidden="1" xr:uid="{00000000-0005-0000-0000-0000FE0E0000}"/>
    <cellStyle name="40% - Accent5 3" xfId="10396" hidden="1" xr:uid="{00000000-0005-0000-0000-0000FF0E0000}"/>
    <cellStyle name="40% - Accent5 3" xfId="10429" hidden="1" xr:uid="{00000000-0005-0000-0000-0000000F0000}"/>
    <cellStyle name="40% - Accent5 3" xfId="10461" hidden="1" xr:uid="{00000000-0005-0000-0000-0000010F0000}"/>
    <cellStyle name="40% - Accent5 3" xfId="10493" hidden="1" xr:uid="{00000000-0005-0000-0000-0000020F0000}"/>
    <cellStyle name="40% - Accent5 3" xfId="10526" hidden="1" xr:uid="{00000000-0005-0000-0000-0000030F0000}"/>
    <cellStyle name="40% - Accent5 3" xfId="10558" hidden="1" xr:uid="{00000000-0005-0000-0000-0000040F0000}"/>
    <cellStyle name="40% - Accent5 3" xfId="10591" hidden="1" xr:uid="{00000000-0005-0000-0000-0000050F0000}"/>
    <cellStyle name="40% - Accent5 3" xfId="10623" hidden="1" xr:uid="{00000000-0005-0000-0000-0000060F0000}"/>
    <cellStyle name="40% - Accent5 3" xfId="10656" hidden="1" xr:uid="{00000000-0005-0000-0000-0000070F0000}"/>
    <cellStyle name="40% - Accent5 3" xfId="10689" hidden="1" xr:uid="{00000000-0005-0000-0000-0000080F0000}"/>
    <cellStyle name="40% - Accent5 3" xfId="10722" hidden="1" xr:uid="{00000000-0005-0000-0000-0000090F0000}"/>
    <cellStyle name="40% - Accent5 3" xfId="10755" hidden="1" xr:uid="{00000000-0005-0000-0000-00000A0F0000}"/>
    <cellStyle name="40% - Accent5 3" xfId="10788" hidden="1" xr:uid="{00000000-0005-0000-0000-00000B0F0000}"/>
    <cellStyle name="40% - Accent5 3" xfId="10821" hidden="1" xr:uid="{00000000-0005-0000-0000-00000C0F0000}"/>
    <cellStyle name="40% - Accent5 3" xfId="10872" hidden="1" xr:uid="{00000000-0005-0000-0000-00000D0F0000}"/>
    <cellStyle name="40% - Accent5 3" xfId="10909" hidden="1" xr:uid="{00000000-0005-0000-0000-00000E0F0000}"/>
    <cellStyle name="40% - Accent5 3" xfId="10942" hidden="1" xr:uid="{00000000-0005-0000-0000-00000F0F0000}"/>
    <cellStyle name="40% - Accent5 3" xfId="10974" hidden="1" xr:uid="{00000000-0005-0000-0000-0000100F0000}"/>
    <cellStyle name="40% - Accent5 3" xfId="11006" hidden="1" xr:uid="{00000000-0005-0000-0000-0000110F0000}"/>
    <cellStyle name="40% - Accent5 3" xfId="11039" hidden="1" xr:uid="{00000000-0005-0000-0000-0000120F0000}"/>
    <cellStyle name="40% - Accent5 3" xfId="11071" hidden="1" xr:uid="{00000000-0005-0000-0000-0000130F0000}"/>
    <cellStyle name="40% - Accent5 3" xfId="11104" hidden="1" xr:uid="{00000000-0005-0000-0000-0000140F0000}"/>
    <cellStyle name="40% - Accent5 3" xfId="11136" hidden="1" xr:uid="{00000000-0005-0000-0000-0000150F0000}"/>
    <cellStyle name="40% - Accent5 3" xfId="11169" hidden="1" xr:uid="{00000000-0005-0000-0000-0000160F0000}"/>
    <cellStyle name="40% - Accent5 3" xfId="11202" hidden="1" xr:uid="{00000000-0005-0000-0000-0000170F0000}"/>
    <cellStyle name="40% - Accent5 3" xfId="11235" hidden="1" xr:uid="{00000000-0005-0000-0000-0000180F0000}"/>
    <cellStyle name="40% - Accent5 3" xfId="11268" hidden="1" xr:uid="{00000000-0005-0000-0000-0000190F0000}"/>
    <cellStyle name="40% - Accent5 3" xfId="11301" hidden="1" xr:uid="{00000000-0005-0000-0000-00001A0F0000}"/>
    <cellStyle name="40% - Accent5 3" xfId="11334" hidden="1" xr:uid="{00000000-0005-0000-0000-00001B0F0000}"/>
    <cellStyle name="40% - Accent5 3" xfId="10856" hidden="1" xr:uid="{00000000-0005-0000-0000-00001C0F0000}"/>
    <cellStyle name="40% - Accent5 3" xfId="11386" hidden="1" xr:uid="{00000000-0005-0000-0000-00001D0F0000}"/>
    <cellStyle name="40% - Accent5 3" xfId="11419" hidden="1" xr:uid="{00000000-0005-0000-0000-00001E0F0000}"/>
    <cellStyle name="40% - Accent5 3" xfId="11451" hidden="1" xr:uid="{00000000-0005-0000-0000-00001F0F0000}"/>
    <cellStyle name="40% - Accent5 3" xfId="11483" hidden="1" xr:uid="{00000000-0005-0000-0000-0000200F0000}"/>
    <cellStyle name="40% - Accent5 3" xfId="11516" hidden="1" xr:uid="{00000000-0005-0000-0000-0000210F0000}"/>
    <cellStyle name="40% - Accent5 3" xfId="11548" hidden="1" xr:uid="{00000000-0005-0000-0000-0000220F0000}"/>
    <cellStyle name="40% - Accent5 3" xfId="11581" hidden="1" xr:uid="{00000000-0005-0000-0000-0000230F0000}"/>
    <cellStyle name="40% - Accent5 3" xfId="11613" hidden="1" xr:uid="{00000000-0005-0000-0000-0000240F0000}"/>
    <cellStyle name="40% - Accent5 3" xfId="11646" hidden="1" xr:uid="{00000000-0005-0000-0000-0000250F0000}"/>
    <cellStyle name="40% - Accent5 3" xfId="11679" hidden="1" xr:uid="{00000000-0005-0000-0000-0000260F0000}"/>
    <cellStyle name="40% - Accent5 3" xfId="11712" hidden="1" xr:uid="{00000000-0005-0000-0000-0000270F0000}"/>
    <cellStyle name="40% - Accent5 3" xfId="11745" hidden="1" xr:uid="{00000000-0005-0000-0000-0000280F0000}"/>
    <cellStyle name="40% - Accent5 3" xfId="11778" hidden="1" xr:uid="{00000000-0005-0000-0000-0000290F0000}"/>
    <cellStyle name="40% - Accent5 3" xfId="11811" xr:uid="{00000000-0005-0000-0000-00002A0F0000}"/>
    <cellStyle name="40% - Accent6 2" xfId="54" xr:uid="{00000000-0005-0000-0000-00002B0F0000}"/>
    <cellStyle name="40% - Accent6 2 2" xfId="1584" xr:uid="{00000000-0005-0000-0000-00002C0F0000}"/>
    <cellStyle name="40% - Accent6 2 3" xfId="2721" xr:uid="{00000000-0005-0000-0000-00002D0F0000}"/>
    <cellStyle name="40% - Accent6 3" xfId="230" hidden="1" xr:uid="{00000000-0005-0000-0000-00002E0F0000}"/>
    <cellStyle name="40% - Accent6 3" xfId="233" hidden="1" xr:uid="{00000000-0005-0000-0000-00002F0F0000}"/>
    <cellStyle name="40% - Accent6 3" xfId="266" hidden="1" xr:uid="{00000000-0005-0000-0000-0000300F0000}"/>
    <cellStyle name="40% - Accent6 3" xfId="299" hidden="1" xr:uid="{00000000-0005-0000-0000-0000310F0000}"/>
    <cellStyle name="40% - Accent6 3" xfId="332" hidden="1" xr:uid="{00000000-0005-0000-0000-0000320F0000}"/>
    <cellStyle name="40% - Accent6 3" xfId="366" hidden="1" xr:uid="{00000000-0005-0000-0000-0000330F0000}"/>
    <cellStyle name="40% - Accent6 3" xfId="399" hidden="1" xr:uid="{00000000-0005-0000-0000-0000340F0000}"/>
    <cellStyle name="40% - Accent6 3" xfId="432" hidden="1" xr:uid="{00000000-0005-0000-0000-0000350F0000}"/>
    <cellStyle name="40% - Accent6 3" xfId="465" hidden="1" xr:uid="{00000000-0005-0000-0000-0000360F0000}"/>
    <cellStyle name="40% - Accent6 3" xfId="498" hidden="1" xr:uid="{00000000-0005-0000-0000-0000370F0000}"/>
    <cellStyle name="40% - Accent6 3" xfId="531" hidden="1" xr:uid="{00000000-0005-0000-0000-0000380F0000}"/>
    <cellStyle name="40% - Accent6 3" xfId="564" hidden="1" xr:uid="{00000000-0005-0000-0000-0000390F0000}"/>
    <cellStyle name="40% - Accent6 3" xfId="601" hidden="1" xr:uid="{00000000-0005-0000-0000-00003A0F0000}"/>
    <cellStyle name="40% - Accent6 3" xfId="634" hidden="1" xr:uid="{00000000-0005-0000-0000-00003B0F0000}"/>
    <cellStyle name="40% - Accent6 3" xfId="666" hidden="1" xr:uid="{00000000-0005-0000-0000-00003C0F0000}"/>
    <cellStyle name="40% - Accent6 3" xfId="698" hidden="1" xr:uid="{00000000-0005-0000-0000-00003D0F0000}"/>
    <cellStyle name="40% - Accent6 3" xfId="731" hidden="1" xr:uid="{00000000-0005-0000-0000-00003E0F0000}"/>
    <cellStyle name="40% - Accent6 3" xfId="763" hidden="1" xr:uid="{00000000-0005-0000-0000-00003F0F0000}"/>
    <cellStyle name="40% - Accent6 3" xfId="796" hidden="1" xr:uid="{00000000-0005-0000-0000-0000400F0000}"/>
    <cellStyle name="40% - Accent6 3" xfId="828" hidden="1" xr:uid="{00000000-0005-0000-0000-0000410F0000}"/>
    <cellStyle name="40% - Accent6 3" xfId="861" hidden="1" xr:uid="{00000000-0005-0000-0000-0000420F0000}"/>
    <cellStyle name="40% - Accent6 3" xfId="894" hidden="1" xr:uid="{00000000-0005-0000-0000-0000430F0000}"/>
    <cellStyle name="40% - Accent6 3" xfId="927" hidden="1" xr:uid="{00000000-0005-0000-0000-0000440F0000}"/>
    <cellStyle name="40% - Accent6 3" xfId="960" hidden="1" xr:uid="{00000000-0005-0000-0000-0000450F0000}"/>
    <cellStyle name="40% - Accent6 3" xfId="993" hidden="1" xr:uid="{00000000-0005-0000-0000-0000460F0000}"/>
    <cellStyle name="40% - Accent6 3" xfId="1026" hidden="1" xr:uid="{00000000-0005-0000-0000-0000470F0000}"/>
    <cellStyle name="40% - Accent6 3" xfId="1069" hidden="1" xr:uid="{00000000-0005-0000-0000-0000480F0000}"/>
    <cellStyle name="40% - Accent6 3" xfId="1107" hidden="1" xr:uid="{00000000-0005-0000-0000-0000490F0000}"/>
    <cellStyle name="40% - Accent6 3" xfId="1140" hidden="1" xr:uid="{00000000-0005-0000-0000-00004A0F0000}"/>
    <cellStyle name="40% - Accent6 3" xfId="1172" hidden="1" xr:uid="{00000000-0005-0000-0000-00004B0F0000}"/>
    <cellStyle name="40% - Accent6 3" xfId="1204" hidden="1" xr:uid="{00000000-0005-0000-0000-00004C0F0000}"/>
    <cellStyle name="40% - Accent6 3" xfId="1237" hidden="1" xr:uid="{00000000-0005-0000-0000-00004D0F0000}"/>
    <cellStyle name="40% - Accent6 3" xfId="1269" hidden="1" xr:uid="{00000000-0005-0000-0000-00004E0F0000}"/>
    <cellStyle name="40% - Accent6 3" xfId="1302" hidden="1" xr:uid="{00000000-0005-0000-0000-00004F0F0000}"/>
    <cellStyle name="40% - Accent6 3" xfId="1334" hidden="1" xr:uid="{00000000-0005-0000-0000-0000500F0000}"/>
    <cellStyle name="40% - Accent6 3" xfId="1367" hidden="1" xr:uid="{00000000-0005-0000-0000-0000510F0000}"/>
    <cellStyle name="40% - Accent6 3" xfId="1400" hidden="1" xr:uid="{00000000-0005-0000-0000-0000520F0000}"/>
    <cellStyle name="40% - Accent6 3" xfId="1433" hidden="1" xr:uid="{00000000-0005-0000-0000-0000530F0000}"/>
    <cellStyle name="40% - Accent6 3" xfId="1466" hidden="1" xr:uid="{00000000-0005-0000-0000-0000540F0000}"/>
    <cellStyle name="40% - Accent6 3" xfId="1499" hidden="1" xr:uid="{00000000-0005-0000-0000-0000550F0000}"/>
    <cellStyle name="40% - Accent6 3" xfId="1532" hidden="1" xr:uid="{00000000-0005-0000-0000-0000560F0000}"/>
    <cellStyle name="40% - Accent6 3" xfId="1746" hidden="1" xr:uid="{00000000-0005-0000-0000-0000570F0000}"/>
    <cellStyle name="40% - Accent6 3" xfId="1783" hidden="1" xr:uid="{00000000-0005-0000-0000-0000580F0000}"/>
    <cellStyle name="40% - Accent6 3" xfId="1816" hidden="1" xr:uid="{00000000-0005-0000-0000-0000590F0000}"/>
    <cellStyle name="40% - Accent6 3" xfId="1848" hidden="1" xr:uid="{00000000-0005-0000-0000-00005A0F0000}"/>
    <cellStyle name="40% - Accent6 3" xfId="1880" hidden="1" xr:uid="{00000000-0005-0000-0000-00005B0F0000}"/>
    <cellStyle name="40% - Accent6 3" xfId="1913" hidden="1" xr:uid="{00000000-0005-0000-0000-00005C0F0000}"/>
    <cellStyle name="40% - Accent6 3" xfId="1945" hidden="1" xr:uid="{00000000-0005-0000-0000-00005D0F0000}"/>
    <cellStyle name="40% - Accent6 3" xfId="1978" hidden="1" xr:uid="{00000000-0005-0000-0000-00005E0F0000}"/>
    <cellStyle name="40% - Accent6 3" xfId="2010" hidden="1" xr:uid="{00000000-0005-0000-0000-00005F0F0000}"/>
    <cellStyle name="40% - Accent6 3" xfId="2043" hidden="1" xr:uid="{00000000-0005-0000-0000-0000600F0000}"/>
    <cellStyle name="40% - Accent6 3" xfId="2076" hidden="1" xr:uid="{00000000-0005-0000-0000-0000610F0000}"/>
    <cellStyle name="40% - Accent6 3" xfId="2109" hidden="1" xr:uid="{00000000-0005-0000-0000-0000620F0000}"/>
    <cellStyle name="40% - Accent6 3" xfId="2142" hidden="1" xr:uid="{00000000-0005-0000-0000-0000630F0000}"/>
    <cellStyle name="40% - Accent6 3" xfId="2175" hidden="1" xr:uid="{00000000-0005-0000-0000-0000640F0000}"/>
    <cellStyle name="40% - Accent6 3" xfId="2208" hidden="1" xr:uid="{00000000-0005-0000-0000-0000650F0000}"/>
    <cellStyle name="40% - Accent6 3" xfId="1736" hidden="1" xr:uid="{00000000-0005-0000-0000-0000660F0000}"/>
    <cellStyle name="40% - Accent6 3" xfId="2260" hidden="1" xr:uid="{00000000-0005-0000-0000-0000670F0000}"/>
    <cellStyle name="40% - Accent6 3" xfId="2293" hidden="1" xr:uid="{00000000-0005-0000-0000-0000680F0000}"/>
    <cellStyle name="40% - Accent6 3" xfId="2325" hidden="1" xr:uid="{00000000-0005-0000-0000-0000690F0000}"/>
    <cellStyle name="40% - Accent6 3" xfId="2357" hidden="1" xr:uid="{00000000-0005-0000-0000-00006A0F0000}"/>
    <cellStyle name="40% - Accent6 3" xfId="2390" hidden="1" xr:uid="{00000000-0005-0000-0000-00006B0F0000}"/>
    <cellStyle name="40% - Accent6 3" xfId="2422" hidden="1" xr:uid="{00000000-0005-0000-0000-00006C0F0000}"/>
    <cellStyle name="40% - Accent6 3" xfId="2455" hidden="1" xr:uid="{00000000-0005-0000-0000-00006D0F0000}"/>
    <cellStyle name="40% - Accent6 3" xfId="2487" hidden="1" xr:uid="{00000000-0005-0000-0000-00006E0F0000}"/>
    <cellStyle name="40% - Accent6 3" xfId="2520" hidden="1" xr:uid="{00000000-0005-0000-0000-00006F0F0000}"/>
    <cellStyle name="40% - Accent6 3" xfId="2553" hidden="1" xr:uid="{00000000-0005-0000-0000-0000700F0000}"/>
    <cellStyle name="40% - Accent6 3" xfId="2586" hidden="1" xr:uid="{00000000-0005-0000-0000-0000710F0000}"/>
    <cellStyle name="40% - Accent6 3" xfId="2619" hidden="1" xr:uid="{00000000-0005-0000-0000-0000720F0000}"/>
    <cellStyle name="40% - Accent6 3" xfId="2652" hidden="1" xr:uid="{00000000-0005-0000-0000-0000730F0000}"/>
    <cellStyle name="40% - Accent6 3" xfId="2685" hidden="1" xr:uid="{00000000-0005-0000-0000-0000740F0000}"/>
    <cellStyle name="40% - Accent6 3" xfId="2766" hidden="1" xr:uid="{00000000-0005-0000-0000-0000750F0000}"/>
    <cellStyle name="40% - Accent6 3" xfId="2803" hidden="1" xr:uid="{00000000-0005-0000-0000-0000760F0000}"/>
    <cellStyle name="40% - Accent6 3" xfId="2836" hidden="1" xr:uid="{00000000-0005-0000-0000-0000770F0000}"/>
    <cellStyle name="40% - Accent6 3" xfId="2868" hidden="1" xr:uid="{00000000-0005-0000-0000-0000780F0000}"/>
    <cellStyle name="40% - Accent6 3" xfId="2900" hidden="1" xr:uid="{00000000-0005-0000-0000-0000790F0000}"/>
    <cellStyle name="40% - Accent6 3" xfId="2933" hidden="1" xr:uid="{00000000-0005-0000-0000-00007A0F0000}"/>
    <cellStyle name="40% - Accent6 3" xfId="2965" hidden="1" xr:uid="{00000000-0005-0000-0000-00007B0F0000}"/>
    <cellStyle name="40% - Accent6 3" xfId="2998" hidden="1" xr:uid="{00000000-0005-0000-0000-00007C0F0000}"/>
    <cellStyle name="40% - Accent6 3" xfId="3030" hidden="1" xr:uid="{00000000-0005-0000-0000-00007D0F0000}"/>
    <cellStyle name="40% - Accent6 3" xfId="3063" hidden="1" xr:uid="{00000000-0005-0000-0000-00007E0F0000}"/>
    <cellStyle name="40% - Accent6 3" xfId="3096" hidden="1" xr:uid="{00000000-0005-0000-0000-00007F0F0000}"/>
    <cellStyle name="40% - Accent6 3" xfId="3129" hidden="1" xr:uid="{00000000-0005-0000-0000-0000800F0000}"/>
    <cellStyle name="40% - Accent6 3" xfId="3162" hidden="1" xr:uid="{00000000-0005-0000-0000-0000810F0000}"/>
    <cellStyle name="40% - Accent6 3" xfId="3195" hidden="1" xr:uid="{00000000-0005-0000-0000-0000820F0000}"/>
    <cellStyle name="40% - Accent6 3" xfId="3228" hidden="1" xr:uid="{00000000-0005-0000-0000-0000830F0000}"/>
    <cellStyle name="40% - Accent6 3" xfId="3279" hidden="1" xr:uid="{00000000-0005-0000-0000-0000840F0000}"/>
    <cellStyle name="40% - Accent6 3" xfId="3316" hidden="1" xr:uid="{00000000-0005-0000-0000-0000850F0000}"/>
    <cellStyle name="40% - Accent6 3" xfId="3349" hidden="1" xr:uid="{00000000-0005-0000-0000-0000860F0000}"/>
    <cellStyle name="40% - Accent6 3" xfId="3381" hidden="1" xr:uid="{00000000-0005-0000-0000-0000870F0000}"/>
    <cellStyle name="40% - Accent6 3" xfId="3413" hidden="1" xr:uid="{00000000-0005-0000-0000-0000880F0000}"/>
    <cellStyle name="40% - Accent6 3" xfId="3446" hidden="1" xr:uid="{00000000-0005-0000-0000-0000890F0000}"/>
    <cellStyle name="40% - Accent6 3" xfId="3478" hidden="1" xr:uid="{00000000-0005-0000-0000-00008A0F0000}"/>
    <cellStyle name="40% - Accent6 3" xfId="3511" hidden="1" xr:uid="{00000000-0005-0000-0000-00008B0F0000}"/>
    <cellStyle name="40% - Accent6 3" xfId="3543" hidden="1" xr:uid="{00000000-0005-0000-0000-00008C0F0000}"/>
    <cellStyle name="40% - Accent6 3" xfId="3576" hidden="1" xr:uid="{00000000-0005-0000-0000-00008D0F0000}"/>
    <cellStyle name="40% - Accent6 3" xfId="3609" hidden="1" xr:uid="{00000000-0005-0000-0000-00008E0F0000}"/>
    <cellStyle name="40% - Accent6 3" xfId="3642" hidden="1" xr:uid="{00000000-0005-0000-0000-00008F0F0000}"/>
    <cellStyle name="40% - Accent6 3" xfId="3675" hidden="1" xr:uid="{00000000-0005-0000-0000-0000900F0000}"/>
    <cellStyle name="40% - Accent6 3" xfId="3708" hidden="1" xr:uid="{00000000-0005-0000-0000-0000910F0000}"/>
    <cellStyle name="40% - Accent6 3" xfId="3741" hidden="1" xr:uid="{00000000-0005-0000-0000-0000920F0000}"/>
    <cellStyle name="40% - Accent6 3" xfId="3269" hidden="1" xr:uid="{00000000-0005-0000-0000-0000930F0000}"/>
    <cellStyle name="40% - Accent6 3" xfId="3793" hidden="1" xr:uid="{00000000-0005-0000-0000-0000940F0000}"/>
    <cellStyle name="40% - Accent6 3" xfId="3826" hidden="1" xr:uid="{00000000-0005-0000-0000-0000950F0000}"/>
    <cellStyle name="40% - Accent6 3" xfId="3858" hidden="1" xr:uid="{00000000-0005-0000-0000-0000960F0000}"/>
    <cellStyle name="40% - Accent6 3" xfId="3890" hidden="1" xr:uid="{00000000-0005-0000-0000-0000970F0000}"/>
    <cellStyle name="40% - Accent6 3" xfId="3923" hidden="1" xr:uid="{00000000-0005-0000-0000-0000980F0000}"/>
    <cellStyle name="40% - Accent6 3" xfId="3955" hidden="1" xr:uid="{00000000-0005-0000-0000-0000990F0000}"/>
    <cellStyle name="40% - Accent6 3" xfId="3988" hidden="1" xr:uid="{00000000-0005-0000-0000-00009A0F0000}"/>
    <cellStyle name="40% - Accent6 3" xfId="4020" hidden="1" xr:uid="{00000000-0005-0000-0000-00009B0F0000}"/>
    <cellStyle name="40% - Accent6 3" xfId="4053" hidden="1" xr:uid="{00000000-0005-0000-0000-00009C0F0000}"/>
    <cellStyle name="40% - Accent6 3" xfId="4086" hidden="1" xr:uid="{00000000-0005-0000-0000-00009D0F0000}"/>
    <cellStyle name="40% - Accent6 3" xfId="4119" hidden="1" xr:uid="{00000000-0005-0000-0000-00009E0F0000}"/>
    <cellStyle name="40% - Accent6 3" xfId="4152" hidden="1" xr:uid="{00000000-0005-0000-0000-00009F0F0000}"/>
    <cellStyle name="40% - Accent6 3" xfId="4185" hidden="1" xr:uid="{00000000-0005-0000-0000-0000A00F0000}"/>
    <cellStyle name="40% - Accent6 3" xfId="4218" hidden="1" xr:uid="{00000000-0005-0000-0000-0000A10F0000}"/>
    <cellStyle name="40% - Accent6 3" xfId="4385" hidden="1" xr:uid="{00000000-0005-0000-0000-0000A20F0000}"/>
    <cellStyle name="40% - Accent6 3" xfId="4418" hidden="1" xr:uid="{00000000-0005-0000-0000-0000A30F0000}"/>
    <cellStyle name="40% - Accent6 3" xfId="4451" hidden="1" xr:uid="{00000000-0005-0000-0000-0000A40F0000}"/>
    <cellStyle name="40% - Accent6 3" xfId="4484" hidden="1" xr:uid="{00000000-0005-0000-0000-0000A50F0000}"/>
    <cellStyle name="40% - Accent6 3" xfId="4517" hidden="1" xr:uid="{00000000-0005-0000-0000-0000A60F0000}"/>
    <cellStyle name="40% - Accent6 3" xfId="4550" hidden="1" xr:uid="{00000000-0005-0000-0000-0000A70F0000}"/>
    <cellStyle name="40% - Accent6 3" xfId="4583" hidden="1" xr:uid="{00000000-0005-0000-0000-0000A80F0000}"/>
    <cellStyle name="40% - Accent6 3" xfId="4616" hidden="1" xr:uid="{00000000-0005-0000-0000-0000A90F0000}"/>
    <cellStyle name="40% - Accent6 3" xfId="4649" hidden="1" xr:uid="{00000000-0005-0000-0000-0000AA0F0000}"/>
    <cellStyle name="40% - Accent6 3" xfId="4682" hidden="1" xr:uid="{00000000-0005-0000-0000-0000AB0F0000}"/>
    <cellStyle name="40% - Accent6 3" xfId="4715" hidden="1" xr:uid="{00000000-0005-0000-0000-0000AC0F0000}"/>
    <cellStyle name="40% - Accent6 3" xfId="4752" hidden="1" xr:uid="{00000000-0005-0000-0000-0000AD0F0000}"/>
    <cellStyle name="40% - Accent6 3" xfId="4785" hidden="1" xr:uid="{00000000-0005-0000-0000-0000AE0F0000}"/>
    <cellStyle name="40% - Accent6 3" xfId="4817" hidden="1" xr:uid="{00000000-0005-0000-0000-0000AF0F0000}"/>
    <cellStyle name="40% - Accent6 3" xfId="4849" hidden="1" xr:uid="{00000000-0005-0000-0000-0000B00F0000}"/>
    <cellStyle name="40% - Accent6 3" xfId="4882" hidden="1" xr:uid="{00000000-0005-0000-0000-0000B10F0000}"/>
    <cellStyle name="40% - Accent6 3" xfId="4914" hidden="1" xr:uid="{00000000-0005-0000-0000-0000B20F0000}"/>
    <cellStyle name="40% - Accent6 3" xfId="4947" hidden="1" xr:uid="{00000000-0005-0000-0000-0000B30F0000}"/>
    <cellStyle name="40% - Accent6 3" xfId="4979" hidden="1" xr:uid="{00000000-0005-0000-0000-0000B40F0000}"/>
    <cellStyle name="40% - Accent6 3" xfId="5012" hidden="1" xr:uid="{00000000-0005-0000-0000-0000B50F0000}"/>
    <cellStyle name="40% - Accent6 3" xfId="5045" hidden="1" xr:uid="{00000000-0005-0000-0000-0000B60F0000}"/>
    <cellStyle name="40% - Accent6 3" xfId="5078" hidden="1" xr:uid="{00000000-0005-0000-0000-0000B70F0000}"/>
    <cellStyle name="40% - Accent6 3" xfId="5111" hidden="1" xr:uid="{00000000-0005-0000-0000-0000B80F0000}"/>
    <cellStyle name="40% - Accent6 3" xfId="5144" hidden="1" xr:uid="{00000000-0005-0000-0000-0000B90F0000}"/>
    <cellStyle name="40% - Accent6 3" xfId="5177" hidden="1" xr:uid="{00000000-0005-0000-0000-0000BA0F0000}"/>
    <cellStyle name="40% - Accent6 3" xfId="5218" hidden="1" xr:uid="{00000000-0005-0000-0000-0000BB0F0000}"/>
    <cellStyle name="40% - Accent6 3" xfId="5255" hidden="1" xr:uid="{00000000-0005-0000-0000-0000BC0F0000}"/>
    <cellStyle name="40% - Accent6 3" xfId="5288" hidden="1" xr:uid="{00000000-0005-0000-0000-0000BD0F0000}"/>
    <cellStyle name="40% - Accent6 3" xfId="5320" hidden="1" xr:uid="{00000000-0005-0000-0000-0000BE0F0000}"/>
    <cellStyle name="40% - Accent6 3" xfId="5352" hidden="1" xr:uid="{00000000-0005-0000-0000-0000BF0F0000}"/>
    <cellStyle name="40% - Accent6 3" xfId="5385" hidden="1" xr:uid="{00000000-0005-0000-0000-0000C00F0000}"/>
    <cellStyle name="40% - Accent6 3" xfId="5417" hidden="1" xr:uid="{00000000-0005-0000-0000-0000C10F0000}"/>
    <cellStyle name="40% - Accent6 3" xfId="5450" hidden="1" xr:uid="{00000000-0005-0000-0000-0000C20F0000}"/>
    <cellStyle name="40% - Accent6 3" xfId="5482" hidden="1" xr:uid="{00000000-0005-0000-0000-0000C30F0000}"/>
    <cellStyle name="40% - Accent6 3" xfId="5515" hidden="1" xr:uid="{00000000-0005-0000-0000-0000C40F0000}"/>
    <cellStyle name="40% - Accent6 3" xfId="5548" hidden="1" xr:uid="{00000000-0005-0000-0000-0000C50F0000}"/>
    <cellStyle name="40% - Accent6 3" xfId="5581" hidden="1" xr:uid="{00000000-0005-0000-0000-0000C60F0000}"/>
    <cellStyle name="40% - Accent6 3" xfId="5614" hidden="1" xr:uid="{00000000-0005-0000-0000-0000C70F0000}"/>
    <cellStyle name="40% - Accent6 3" xfId="5647" hidden="1" xr:uid="{00000000-0005-0000-0000-0000C80F0000}"/>
    <cellStyle name="40% - Accent6 3" xfId="5680" hidden="1" xr:uid="{00000000-0005-0000-0000-0000C90F0000}"/>
    <cellStyle name="40% - Accent6 3" xfId="5784" hidden="1" xr:uid="{00000000-0005-0000-0000-0000CA0F0000}"/>
    <cellStyle name="40% - Accent6 3" xfId="5821" hidden="1" xr:uid="{00000000-0005-0000-0000-0000CB0F0000}"/>
    <cellStyle name="40% - Accent6 3" xfId="5854" hidden="1" xr:uid="{00000000-0005-0000-0000-0000CC0F0000}"/>
    <cellStyle name="40% - Accent6 3" xfId="5886" hidden="1" xr:uid="{00000000-0005-0000-0000-0000CD0F0000}"/>
    <cellStyle name="40% - Accent6 3" xfId="5918" hidden="1" xr:uid="{00000000-0005-0000-0000-0000CE0F0000}"/>
    <cellStyle name="40% - Accent6 3" xfId="5951" hidden="1" xr:uid="{00000000-0005-0000-0000-0000CF0F0000}"/>
    <cellStyle name="40% - Accent6 3" xfId="5983" hidden="1" xr:uid="{00000000-0005-0000-0000-0000D00F0000}"/>
    <cellStyle name="40% - Accent6 3" xfId="6016" hidden="1" xr:uid="{00000000-0005-0000-0000-0000D10F0000}"/>
    <cellStyle name="40% - Accent6 3" xfId="6048" hidden="1" xr:uid="{00000000-0005-0000-0000-0000D20F0000}"/>
    <cellStyle name="40% - Accent6 3" xfId="6081" hidden="1" xr:uid="{00000000-0005-0000-0000-0000D30F0000}"/>
    <cellStyle name="40% - Accent6 3" xfId="6114" hidden="1" xr:uid="{00000000-0005-0000-0000-0000D40F0000}"/>
    <cellStyle name="40% - Accent6 3" xfId="6147" hidden="1" xr:uid="{00000000-0005-0000-0000-0000D50F0000}"/>
    <cellStyle name="40% - Accent6 3" xfId="6180" hidden="1" xr:uid="{00000000-0005-0000-0000-0000D60F0000}"/>
    <cellStyle name="40% - Accent6 3" xfId="6213" hidden="1" xr:uid="{00000000-0005-0000-0000-0000D70F0000}"/>
    <cellStyle name="40% - Accent6 3" xfId="6246" hidden="1" xr:uid="{00000000-0005-0000-0000-0000D80F0000}"/>
    <cellStyle name="40% - Accent6 3" xfId="5774" hidden="1" xr:uid="{00000000-0005-0000-0000-0000D90F0000}"/>
    <cellStyle name="40% - Accent6 3" xfId="6298" hidden="1" xr:uid="{00000000-0005-0000-0000-0000DA0F0000}"/>
    <cellStyle name="40% - Accent6 3" xfId="6331" hidden="1" xr:uid="{00000000-0005-0000-0000-0000DB0F0000}"/>
    <cellStyle name="40% - Accent6 3" xfId="6363" hidden="1" xr:uid="{00000000-0005-0000-0000-0000DC0F0000}"/>
    <cellStyle name="40% - Accent6 3" xfId="6395" hidden="1" xr:uid="{00000000-0005-0000-0000-0000DD0F0000}"/>
    <cellStyle name="40% - Accent6 3" xfId="6428" hidden="1" xr:uid="{00000000-0005-0000-0000-0000DE0F0000}"/>
    <cellStyle name="40% - Accent6 3" xfId="6460" hidden="1" xr:uid="{00000000-0005-0000-0000-0000DF0F0000}"/>
    <cellStyle name="40% - Accent6 3" xfId="6493" hidden="1" xr:uid="{00000000-0005-0000-0000-0000E00F0000}"/>
    <cellStyle name="40% - Accent6 3" xfId="6525" hidden="1" xr:uid="{00000000-0005-0000-0000-0000E10F0000}"/>
    <cellStyle name="40% - Accent6 3" xfId="6558" hidden="1" xr:uid="{00000000-0005-0000-0000-0000E20F0000}"/>
    <cellStyle name="40% - Accent6 3" xfId="6591" hidden="1" xr:uid="{00000000-0005-0000-0000-0000E30F0000}"/>
    <cellStyle name="40% - Accent6 3" xfId="6624" hidden="1" xr:uid="{00000000-0005-0000-0000-0000E40F0000}"/>
    <cellStyle name="40% - Accent6 3" xfId="6657" hidden="1" xr:uid="{00000000-0005-0000-0000-0000E50F0000}"/>
    <cellStyle name="40% - Accent6 3" xfId="6690" hidden="1" xr:uid="{00000000-0005-0000-0000-0000E60F0000}"/>
    <cellStyle name="40% - Accent6 3" xfId="6723" hidden="1" xr:uid="{00000000-0005-0000-0000-0000E70F0000}"/>
    <cellStyle name="40% - Accent6 3" xfId="6780" hidden="1" xr:uid="{00000000-0005-0000-0000-0000E80F0000}"/>
    <cellStyle name="40% - Accent6 3" xfId="6817" hidden="1" xr:uid="{00000000-0005-0000-0000-0000E90F0000}"/>
    <cellStyle name="40% - Accent6 3" xfId="6850" hidden="1" xr:uid="{00000000-0005-0000-0000-0000EA0F0000}"/>
    <cellStyle name="40% - Accent6 3" xfId="6882" hidden="1" xr:uid="{00000000-0005-0000-0000-0000EB0F0000}"/>
    <cellStyle name="40% - Accent6 3" xfId="6914" hidden="1" xr:uid="{00000000-0005-0000-0000-0000EC0F0000}"/>
    <cellStyle name="40% - Accent6 3" xfId="6947" hidden="1" xr:uid="{00000000-0005-0000-0000-0000ED0F0000}"/>
    <cellStyle name="40% - Accent6 3" xfId="6979" hidden="1" xr:uid="{00000000-0005-0000-0000-0000EE0F0000}"/>
    <cellStyle name="40% - Accent6 3" xfId="7012" hidden="1" xr:uid="{00000000-0005-0000-0000-0000EF0F0000}"/>
    <cellStyle name="40% - Accent6 3" xfId="7044" hidden="1" xr:uid="{00000000-0005-0000-0000-0000F00F0000}"/>
    <cellStyle name="40% - Accent6 3" xfId="7077" hidden="1" xr:uid="{00000000-0005-0000-0000-0000F10F0000}"/>
    <cellStyle name="40% - Accent6 3" xfId="7110" hidden="1" xr:uid="{00000000-0005-0000-0000-0000F20F0000}"/>
    <cellStyle name="40% - Accent6 3" xfId="7143" hidden="1" xr:uid="{00000000-0005-0000-0000-0000F30F0000}"/>
    <cellStyle name="40% - Accent6 3" xfId="7176" hidden="1" xr:uid="{00000000-0005-0000-0000-0000F40F0000}"/>
    <cellStyle name="40% - Accent6 3" xfId="7209" hidden="1" xr:uid="{00000000-0005-0000-0000-0000F50F0000}"/>
    <cellStyle name="40% - Accent6 3" xfId="7242" hidden="1" xr:uid="{00000000-0005-0000-0000-0000F60F0000}"/>
    <cellStyle name="40% - Accent6 3" xfId="7293" hidden="1" xr:uid="{00000000-0005-0000-0000-0000F70F0000}"/>
    <cellStyle name="40% - Accent6 3" xfId="7330" hidden="1" xr:uid="{00000000-0005-0000-0000-0000F80F0000}"/>
    <cellStyle name="40% - Accent6 3" xfId="7363" hidden="1" xr:uid="{00000000-0005-0000-0000-0000F90F0000}"/>
    <cellStyle name="40% - Accent6 3" xfId="7395" hidden="1" xr:uid="{00000000-0005-0000-0000-0000FA0F0000}"/>
    <cellStyle name="40% - Accent6 3" xfId="7427" hidden="1" xr:uid="{00000000-0005-0000-0000-0000FB0F0000}"/>
    <cellStyle name="40% - Accent6 3" xfId="7460" hidden="1" xr:uid="{00000000-0005-0000-0000-0000FC0F0000}"/>
    <cellStyle name="40% - Accent6 3" xfId="7492" hidden="1" xr:uid="{00000000-0005-0000-0000-0000FD0F0000}"/>
    <cellStyle name="40% - Accent6 3" xfId="7525" hidden="1" xr:uid="{00000000-0005-0000-0000-0000FE0F0000}"/>
    <cellStyle name="40% - Accent6 3" xfId="7557" hidden="1" xr:uid="{00000000-0005-0000-0000-0000FF0F0000}"/>
    <cellStyle name="40% - Accent6 3" xfId="7590" hidden="1" xr:uid="{00000000-0005-0000-0000-000000100000}"/>
    <cellStyle name="40% - Accent6 3" xfId="7623" hidden="1" xr:uid="{00000000-0005-0000-0000-000001100000}"/>
    <cellStyle name="40% - Accent6 3" xfId="7656" hidden="1" xr:uid="{00000000-0005-0000-0000-000002100000}"/>
    <cellStyle name="40% - Accent6 3" xfId="7689" hidden="1" xr:uid="{00000000-0005-0000-0000-000003100000}"/>
    <cellStyle name="40% - Accent6 3" xfId="7722" hidden="1" xr:uid="{00000000-0005-0000-0000-000004100000}"/>
    <cellStyle name="40% - Accent6 3" xfId="7755" hidden="1" xr:uid="{00000000-0005-0000-0000-000005100000}"/>
    <cellStyle name="40% - Accent6 3" xfId="7283" hidden="1" xr:uid="{00000000-0005-0000-0000-000006100000}"/>
    <cellStyle name="40% - Accent6 3" xfId="7807" hidden="1" xr:uid="{00000000-0005-0000-0000-000007100000}"/>
    <cellStyle name="40% - Accent6 3" xfId="7840" hidden="1" xr:uid="{00000000-0005-0000-0000-000008100000}"/>
    <cellStyle name="40% - Accent6 3" xfId="7872" hidden="1" xr:uid="{00000000-0005-0000-0000-000009100000}"/>
    <cellStyle name="40% - Accent6 3" xfId="7904" hidden="1" xr:uid="{00000000-0005-0000-0000-00000A100000}"/>
    <cellStyle name="40% - Accent6 3" xfId="7937" hidden="1" xr:uid="{00000000-0005-0000-0000-00000B100000}"/>
    <cellStyle name="40% - Accent6 3" xfId="7969" hidden="1" xr:uid="{00000000-0005-0000-0000-00000C100000}"/>
    <cellStyle name="40% - Accent6 3" xfId="8002" hidden="1" xr:uid="{00000000-0005-0000-0000-00000D100000}"/>
    <cellStyle name="40% - Accent6 3" xfId="8034" hidden="1" xr:uid="{00000000-0005-0000-0000-00000E100000}"/>
    <cellStyle name="40% - Accent6 3" xfId="8067" hidden="1" xr:uid="{00000000-0005-0000-0000-00000F100000}"/>
    <cellStyle name="40% - Accent6 3" xfId="8100" hidden="1" xr:uid="{00000000-0005-0000-0000-000010100000}"/>
    <cellStyle name="40% - Accent6 3" xfId="8133" hidden="1" xr:uid="{00000000-0005-0000-0000-000011100000}"/>
    <cellStyle name="40% - Accent6 3" xfId="8166" hidden="1" xr:uid="{00000000-0005-0000-0000-000012100000}"/>
    <cellStyle name="40% - Accent6 3" xfId="8199" hidden="1" xr:uid="{00000000-0005-0000-0000-000013100000}"/>
    <cellStyle name="40% - Accent6 3" xfId="8232" hidden="1" xr:uid="{00000000-0005-0000-0000-000014100000}"/>
    <cellStyle name="40% - Accent6 3" xfId="4353" hidden="1" xr:uid="{00000000-0005-0000-0000-000015100000}"/>
    <cellStyle name="40% - Accent6 3" xfId="5744" hidden="1" xr:uid="{00000000-0005-0000-0000-000016100000}"/>
    <cellStyle name="40% - Accent6 3" xfId="6769" hidden="1" xr:uid="{00000000-0005-0000-0000-000017100000}"/>
    <cellStyle name="40% - Accent6 3" xfId="4310" hidden="1" xr:uid="{00000000-0005-0000-0000-000018100000}"/>
    <cellStyle name="40% - Accent6 3" xfId="6756" hidden="1" xr:uid="{00000000-0005-0000-0000-000019100000}"/>
    <cellStyle name="40% - Accent6 3" xfId="4268" hidden="1" xr:uid="{00000000-0005-0000-0000-00001A100000}"/>
    <cellStyle name="40% - Accent6 3" xfId="4254" hidden="1" xr:uid="{00000000-0005-0000-0000-00001B100000}"/>
    <cellStyle name="40% - Accent6 3" xfId="8277" hidden="1" xr:uid="{00000000-0005-0000-0000-00001C100000}"/>
    <cellStyle name="40% - Accent6 3" xfId="8310" hidden="1" xr:uid="{00000000-0005-0000-0000-00001D100000}"/>
    <cellStyle name="40% - Accent6 3" xfId="8343" hidden="1" xr:uid="{00000000-0005-0000-0000-00001E100000}"/>
    <cellStyle name="40% - Accent6 3" xfId="8376" hidden="1" xr:uid="{00000000-0005-0000-0000-00001F100000}"/>
    <cellStyle name="40% - Accent6 3" xfId="8413" hidden="1" xr:uid="{00000000-0005-0000-0000-000020100000}"/>
    <cellStyle name="40% - Accent6 3" xfId="8446" hidden="1" xr:uid="{00000000-0005-0000-0000-000021100000}"/>
    <cellStyle name="40% - Accent6 3" xfId="8478" hidden="1" xr:uid="{00000000-0005-0000-0000-000022100000}"/>
    <cellStyle name="40% - Accent6 3" xfId="8510" hidden="1" xr:uid="{00000000-0005-0000-0000-000023100000}"/>
    <cellStyle name="40% - Accent6 3" xfId="8543" hidden="1" xr:uid="{00000000-0005-0000-0000-000024100000}"/>
    <cellStyle name="40% - Accent6 3" xfId="8575" hidden="1" xr:uid="{00000000-0005-0000-0000-000025100000}"/>
    <cellStyle name="40% - Accent6 3" xfId="8608" hidden="1" xr:uid="{00000000-0005-0000-0000-000026100000}"/>
    <cellStyle name="40% - Accent6 3" xfId="8640" hidden="1" xr:uid="{00000000-0005-0000-0000-000027100000}"/>
    <cellStyle name="40% - Accent6 3" xfId="8673" hidden="1" xr:uid="{00000000-0005-0000-0000-000028100000}"/>
    <cellStyle name="40% - Accent6 3" xfId="8706" hidden="1" xr:uid="{00000000-0005-0000-0000-000029100000}"/>
    <cellStyle name="40% - Accent6 3" xfId="8739" hidden="1" xr:uid="{00000000-0005-0000-0000-00002A100000}"/>
    <cellStyle name="40% - Accent6 3" xfId="8772" hidden="1" xr:uid="{00000000-0005-0000-0000-00002B100000}"/>
    <cellStyle name="40% - Accent6 3" xfId="8805" hidden="1" xr:uid="{00000000-0005-0000-0000-00002C100000}"/>
    <cellStyle name="40% - Accent6 3" xfId="8838" hidden="1" xr:uid="{00000000-0005-0000-0000-00002D100000}"/>
    <cellStyle name="40% - Accent6 3" xfId="8878" hidden="1" xr:uid="{00000000-0005-0000-0000-00002E100000}"/>
    <cellStyle name="40% - Accent6 3" xfId="8915" hidden="1" xr:uid="{00000000-0005-0000-0000-00002F100000}"/>
    <cellStyle name="40% - Accent6 3" xfId="8948" hidden="1" xr:uid="{00000000-0005-0000-0000-000030100000}"/>
    <cellStyle name="40% - Accent6 3" xfId="8980" hidden="1" xr:uid="{00000000-0005-0000-0000-000031100000}"/>
    <cellStyle name="40% - Accent6 3" xfId="9012" hidden="1" xr:uid="{00000000-0005-0000-0000-000032100000}"/>
    <cellStyle name="40% - Accent6 3" xfId="9045" hidden="1" xr:uid="{00000000-0005-0000-0000-000033100000}"/>
    <cellStyle name="40% - Accent6 3" xfId="9077" hidden="1" xr:uid="{00000000-0005-0000-0000-000034100000}"/>
    <cellStyle name="40% - Accent6 3" xfId="9110" hidden="1" xr:uid="{00000000-0005-0000-0000-000035100000}"/>
    <cellStyle name="40% - Accent6 3" xfId="9142" hidden="1" xr:uid="{00000000-0005-0000-0000-000036100000}"/>
    <cellStyle name="40% - Accent6 3" xfId="9175" hidden="1" xr:uid="{00000000-0005-0000-0000-000037100000}"/>
    <cellStyle name="40% - Accent6 3" xfId="9208" hidden="1" xr:uid="{00000000-0005-0000-0000-000038100000}"/>
    <cellStyle name="40% - Accent6 3" xfId="9241" hidden="1" xr:uid="{00000000-0005-0000-0000-000039100000}"/>
    <cellStyle name="40% - Accent6 3" xfId="9274" hidden="1" xr:uid="{00000000-0005-0000-0000-00003A100000}"/>
    <cellStyle name="40% - Accent6 3" xfId="9307" hidden="1" xr:uid="{00000000-0005-0000-0000-00003B100000}"/>
    <cellStyle name="40% - Accent6 3" xfId="9340" hidden="1" xr:uid="{00000000-0005-0000-0000-00003C100000}"/>
    <cellStyle name="40% - Accent6 3" xfId="9391" hidden="1" xr:uid="{00000000-0005-0000-0000-00003D100000}"/>
    <cellStyle name="40% - Accent6 3" xfId="9428" hidden="1" xr:uid="{00000000-0005-0000-0000-00003E100000}"/>
    <cellStyle name="40% - Accent6 3" xfId="9461" hidden="1" xr:uid="{00000000-0005-0000-0000-00003F100000}"/>
    <cellStyle name="40% - Accent6 3" xfId="9493" hidden="1" xr:uid="{00000000-0005-0000-0000-000040100000}"/>
    <cellStyle name="40% - Accent6 3" xfId="9525" hidden="1" xr:uid="{00000000-0005-0000-0000-000041100000}"/>
    <cellStyle name="40% - Accent6 3" xfId="9558" hidden="1" xr:uid="{00000000-0005-0000-0000-000042100000}"/>
    <cellStyle name="40% - Accent6 3" xfId="9590" hidden="1" xr:uid="{00000000-0005-0000-0000-000043100000}"/>
    <cellStyle name="40% - Accent6 3" xfId="9623" hidden="1" xr:uid="{00000000-0005-0000-0000-000044100000}"/>
    <cellStyle name="40% - Accent6 3" xfId="9655" hidden="1" xr:uid="{00000000-0005-0000-0000-000045100000}"/>
    <cellStyle name="40% - Accent6 3" xfId="9688" hidden="1" xr:uid="{00000000-0005-0000-0000-000046100000}"/>
    <cellStyle name="40% - Accent6 3" xfId="9721" hidden="1" xr:uid="{00000000-0005-0000-0000-000047100000}"/>
    <cellStyle name="40% - Accent6 3" xfId="9754" hidden="1" xr:uid="{00000000-0005-0000-0000-000048100000}"/>
    <cellStyle name="40% - Accent6 3" xfId="9787" hidden="1" xr:uid="{00000000-0005-0000-0000-000049100000}"/>
    <cellStyle name="40% - Accent6 3" xfId="9820" hidden="1" xr:uid="{00000000-0005-0000-0000-00004A100000}"/>
    <cellStyle name="40% - Accent6 3" xfId="9853" hidden="1" xr:uid="{00000000-0005-0000-0000-00004B100000}"/>
    <cellStyle name="40% - Accent6 3" xfId="9381" hidden="1" xr:uid="{00000000-0005-0000-0000-00004C100000}"/>
    <cellStyle name="40% - Accent6 3" xfId="9905" hidden="1" xr:uid="{00000000-0005-0000-0000-00004D100000}"/>
    <cellStyle name="40% - Accent6 3" xfId="9938" hidden="1" xr:uid="{00000000-0005-0000-0000-00004E100000}"/>
    <cellStyle name="40% - Accent6 3" xfId="9970" hidden="1" xr:uid="{00000000-0005-0000-0000-00004F100000}"/>
    <cellStyle name="40% - Accent6 3" xfId="10002" hidden="1" xr:uid="{00000000-0005-0000-0000-000050100000}"/>
    <cellStyle name="40% - Accent6 3" xfId="10035" hidden="1" xr:uid="{00000000-0005-0000-0000-000051100000}"/>
    <cellStyle name="40% - Accent6 3" xfId="10067" hidden="1" xr:uid="{00000000-0005-0000-0000-000052100000}"/>
    <cellStyle name="40% - Accent6 3" xfId="10100" hidden="1" xr:uid="{00000000-0005-0000-0000-000053100000}"/>
    <cellStyle name="40% - Accent6 3" xfId="10132" hidden="1" xr:uid="{00000000-0005-0000-0000-000054100000}"/>
    <cellStyle name="40% - Accent6 3" xfId="10165" hidden="1" xr:uid="{00000000-0005-0000-0000-000055100000}"/>
    <cellStyle name="40% - Accent6 3" xfId="10198" hidden="1" xr:uid="{00000000-0005-0000-0000-000056100000}"/>
    <cellStyle name="40% - Accent6 3" xfId="10231" hidden="1" xr:uid="{00000000-0005-0000-0000-000057100000}"/>
    <cellStyle name="40% - Accent6 3" xfId="10264" hidden="1" xr:uid="{00000000-0005-0000-0000-000058100000}"/>
    <cellStyle name="40% - Accent6 3" xfId="10297" hidden="1" xr:uid="{00000000-0005-0000-0000-000059100000}"/>
    <cellStyle name="40% - Accent6 3" xfId="10330" hidden="1" xr:uid="{00000000-0005-0000-0000-00005A100000}"/>
    <cellStyle name="40% - Accent6 3" xfId="10356" hidden="1" xr:uid="{00000000-0005-0000-0000-00005B100000}"/>
    <cellStyle name="40% - Accent6 3" xfId="10393" hidden="1" xr:uid="{00000000-0005-0000-0000-00005C100000}"/>
    <cellStyle name="40% - Accent6 3" xfId="10426" hidden="1" xr:uid="{00000000-0005-0000-0000-00005D100000}"/>
    <cellStyle name="40% - Accent6 3" xfId="10458" hidden="1" xr:uid="{00000000-0005-0000-0000-00005E100000}"/>
    <cellStyle name="40% - Accent6 3" xfId="10490" hidden="1" xr:uid="{00000000-0005-0000-0000-00005F100000}"/>
    <cellStyle name="40% - Accent6 3" xfId="10523" hidden="1" xr:uid="{00000000-0005-0000-0000-000060100000}"/>
    <cellStyle name="40% - Accent6 3" xfId="10555" hidden="1" xr:uid="{00000000-0005-0000-0000-000061100000}"/>
    <cellStyle name="40% - Accent6 3" xfId="10588" hidden="1" xr:uid="{00000000-0005-0000-0000-000062100000}"/>
    <cellStyle name="40% - Accent6 3" xfId="10620" hidden="1" xr:uid="{00000000-0005-0000-0000-000063100000}"/>
    <cellStyle name="40% - Accent6 3" xfId="10653" hidden="1" xr:uid="{00000000-0005-0000-0000-000064100000}"/>
    <cellStyle name="40% - Accent6 3" xfId="10686" hidden="1" xr:uid="{00000000-0005-0000-0000-000065100000}"/>
    <cellStyle name="40% - Accent6 3" xfId="10719" hidden="1" xr:uid="{00000000-0005-0000-0000-000066100000}"/>
    <cellStyle name="40% - Accent6 3" xfId="10752" hidden="1" xr:uid="{00000000-0005-0000-0000-000067100000}"/>
    <cellStyle name="40% - Accent6 3" xfId="10785" hidden="1" xr:uid="{00000000-0005-0000-0000-000068100000}"/>
    <cellStyle name="40% - Accent6 3" xfId="10818" hidden="1" xr:uid="{00000000-0005-0000-0000-000069100000}"/>
    <cellStyle name="40% - Accent6 3" xfId="10869" hidden="1" xr:uid="{00000000-0005-0000-0000-00006A100000}"/>
    <cellStyle name="40% - Accent6 3" xfId="10906" hidden="1" xr:uid="{00000000-0005-0000-0000-00006B100000}"/>
    <cellStyle name="40% - Accent6 3" xfId="10939" hidden="1" xr:uid="{00000000-0005-0000-0000-00006C100000}"/>
    <cellStyle name="40% - Accent6 3" xfId="10971" hidden="1" xr:uid="{00000000-0005-0000-0000-00006D100000}"/>
    <cellStyle name="40% - Accent6 3" xfId="11003" hidden="1" xr:uid="{00000000-0005-0000-0000-00006E100000}"/>
    <cellStyle name="40% - Accent6 3" xfId="11036" hidden="1" xr:uid="{00000000-0005-0000-0000-00006F100000}"/>
    <cellStyle name="40% - Accent6 3" xfId="11068" hidden="1" xr:uid="{00000000-0005-0000-0000-000070100000}"/>
    <cellStyle name="40% - Accent6 3" xfId="11101" hidden="1" xr:uid="{00000000-0005-0000-0000-000071100000}"/>
    <cellStyle name="40% - Accent6 3" xfId="11133" hidden="1" xr:uid="{00000000-0005-0000-0000-000072100000}"/>
    <cellStyle name="40% - Accent6 3" xfId="11166" hidden="1" xr:uid="{00000000-0005-0000-0000-000073100000}"/>
    <cellStyle name="40% - Accent6 3" xfId="11199" hidden="1" xr:uid="{00000000-0005-0000-0000-000074100000}"/>
    <cellStyle name="40% - Accent6 3" xfId="11232" hidden="1" xr:uid="{00000000-0005-0000-0000-000075100000}"/>
    <cellStyle name="40% - Accent6 3" xfId="11265" hidden="1" xr:uid="{00000000-0005-0000-0000-000076100000}"/>
    <cellStyle name="40% - Accent6 3" xfId="11298" hidden="1" xr:uid="{00000000-0005-0000-0000-000077100000}"/>
    <cellStyle name="40% - Accent6 3" xfId="11331" hidden="1" xr:uid="{00000000-0005-0000-0000-000078100000}"/>
    <cellStyle name="40% - Accent6 3" xfId="10859" hidden="1" xr:uid="{00000000-0005-0000-0000-000079100000}"/>
    <cellStyle name="40% - Accent6 3" xfId="11383" hidden="1" xr:uid="{00000000-0005-0000-0000-00007A100000}"/>
    <cellStyle name="40% - Accent6 3" xfId="11416" hidden="1" xr:uid="{00000000-0005-0000-0000-00007B100000}"/>
    <cellStyle name="40% - Accent6 3" xfId="11448" hidden="1" xr:uid="{00000000-0005-0000-0000-00007C100000}"/>
    <cellStyle name="40% - Accent6 3" xfId="11480" hidden="1" xr:uid="{00000000-0005-0000-0000-00007D100000}"/>
    <cellStyle name="40% - Accent6 3" xfId="11513" hidden="1" xr:uid="{00000000-0005-0000-0000-00007E100000}"/>
    <cellStyle name="40% - Accent6 3" xfId="11545" hidden="1" xr:uid="{00000000-0005-0000-0000-00007F100000}"/>
    <cellStyle name="40% - Accent6 3" xfId="11578" hidden="1" xr:uid="{00000000-0005-0000-0000-000080100000}"/>
    <cellStyle name="40% - Accent6 3" xfId="11610" hidden="1" xr:uid="{00000000-0005-0000-0000-000081100000}"/>
    <cellStyle name="40% - Accent6 3" xfId="11643" hidden="1" xr:uid="{00000000-0005-0000-0000-000082100000}"/>
    <cellStyle name="40% - Accent6 3" xfId="11676" hidden="1" xr:uid="{00000000-0005-0000-0000-000083100000}"/>
    <cellStyle name="40% - Accent6 3" xfId="11709" hidden="1" xr:uid="{00000000-0005-0000-0000-000084100000}"/>
    <cellStyle name="40% - Accent6 3" xfId="11742" hidden="1" xr:uid="{00000000-0005-0000-0000-000085100000}"/>
    <cellStyle name="40% - Accent6 3" xfId="11775" hidden="1" xr:uid="{00000000-0005-0000-0000-000086100000}"/>
    <cellStyle name="40% - Accent6 3" xfId="11808" xr:uid="{00000000-0005-0000-0000-000087100000}"/>
    <cellStyle name="40% - Énfasis1" xfId="55" xr:uid="{00000000-0005-0000-0000-000088100000}"/>
    <cellStyle name="40% - Énfasis2" xfId="56" xr:uid="{00000000-0005-0000-0000-000089100000}"/>
    <cellStyle name="40% - Énfasis3" xfId="57" xr:uid="{00000000-0005-0000-0000-00008A100000}"/>
    <cellStyle name="40% - Énfasis4" xfId="58" xr:uid="{00000000-0005-0000-0000-00008B100000}"/>
    <cellStyle name="40% - Énfasis5" xfId="59" xr:uid="{00000000-0005-0000-0000-00008C100000}"/>
    <cellStyle name="40% - Énfasis6" xfId="60" xr:uid="{00000000-0005-0000-0000-00008D100000}"/>
    <cellStyle name="60% - 1. jelölőszín" xfId="61" xr:uid="{00000000-0005-0000-0000-00008E100000}"/>
    <cellStyle name="60% - 2. jelölőszín" xfId="62" xr:uid="{00000000-0005-0000-0000-00008F100000}"/>
    <cellStyle name="60% - 3. jelölőszín" xfId="63" xr:uid="{00000000-0005-0000-0000-000090100000}"/>
    <cellStyle name="60% - 4. jelölőszín" xfId="64" xr:uid="{00000000-0005-0000-0000-000091100000}"/>
    <cellStyle name="60% - 5. jelölőszín" xfId="65" xr:uid="{00000000-0005-0000-0000-000092100000}"/>
    <cellStyle name="60% - 6. jelölőszín" xfId="66" xr:uid="{00000000-0005-0000-0000-000093100000}"/>
    <cellStyle name="60% - Accent1 2" xfId="67" xr:uid="{00000000-0005-0000-0000-000094100000}"/>
    <cellStyle name="60% - Accent1 2 2" xfId="1585" xr:uid="{00000000-0005-0000-0000-000095100000}"/>
    <cellStyle name="60% - Accent1 2 3" xfId="2722" xr:uid="{00000000-0005-0000-0000-000096100000}"/>
    <cellStyle name="60% - Accent1 3" xfId="216" hidden="1" xr:uid="{00000000-0005-0000-0000-000097100000}"/>
    <cellStyle name="60% - Accent1 3" xfId="247" hidden="1" xr:uid="{00000000-0005-0000-0000-000098100000}"/>
    <cellStyle name="60% - Accent1 3" xfId="280" hidden="1" xr:uid="{00000000-0005-0000-0000-000099100000}"/>
    <cellStyle name="60% - Accent1 3" xfId="313" hidden="1" xr:uid="{00000000-0005-0000-0000-00009A100000}"/>
    <cellStyle name="60% - Accent1 3" xfId="346" hidden="1" xr:uid="{00000000-0005-0000-0000-00009B100000}"/>
    <cellStyle name="60% - Accent1 3" xfId="380" hidden="1" xr:uid="{00000000-0005-0000-0000-00009C100000}"/>
    <cellStyle name="60% - Accent1 3" xfId="413" hidden="1" xr:uid="{00000000-0005-0000-0000-00009D100000}"/>
    <cellStyle name="60% - Accent1 3" xfId="446" hidden="1" xr:uid="{00000000-0005-0000-0000-00009E100000}"/>
    <cellStyle name="60% - Accent1 3" xfId="479" hidden="1" xr:uid="{00000000-0005-0000-0000-00009F100000}"/>
    <cellStyle name="60% - Accent1 3" xfId="512" hidden="1" xr:uid="{00000000-0005-0000-0000-0000A0100000}"/>
    <cellStyle name="60% - Accent1 3" xfId="545" hidden="1" xr:uid="{00000000-0005-0000-0000-0000A1100000}"/>
    <cellStyle name="60% - Accent1 3" xfId="578" hidden="1" xr:uid="{00000000-0005-0000-0000-0000A2100000}"/>
    <cellStyle name="60% - Accent1 3" xfId="615" hidden="1" xr:uid="{00000000-0005-0000-0000-0000A3100000}"/>
    <cellStyle name="60% - Accent1 3" xfId="648" hidden="1" xr:uid="{00000000-0005-0000-0000-0000A4100000}"/>
    <cellStyle name="60% - Accent1 3" xfId="680" hidden="1" xr:uid="{00000000-0005-0000-0000-0000A5100000}"/>
    <cellStyle name="60% - Accent1 3" xfId="712" hidden="1" xr:uid="{00000000-0005-0000-0000-0000A6100000}"/>
    <cellStyle name="60% - Accent1 3" xfId="745" hidden="1" xr:uid="{00000000-0005-0000-0000-0000A7100000}"/>
    <cellStyle name="60% - Accent1 3" xfId="777" hidden="1" xr:uid="{00000000-0005-0000-0000-0000A8100000}"/>
    <cellStyle name="60% - Accent1 3" xfId="810" hidden="1" xr:uid="{00000000-0005-0000-0000-0000A9100000}"/>
    <cellStyle name="60% - Accent1 3" xfId="842" hidden="1" xr:uid="{00000000-0005-0000-0000-0000AA100000}"/>
    <cellStyle name="60% - Accent1 3" xfId="875" hidden="1" xr:uid="{00000000-0005-0000-0000-0000AB100000}"/>
    <cellStyle name="60% - Accent1 3" xfId="908" hidden="1" xr:uid="{00000000-0005-0000-0000-0000AC100000}"/>
    <cellStyle name="60% - Accent1 3" xfId="941" hidden="1" xr:uid="{00000000-0005-0000-0000-0000AD100000}"/>
    <cellStyle name="60% - Accent1 3" xfId="974" hidden="1" xr:uid="{00000000-0005-0000-0000-0000AE100000}"/>
    <cellStyle name="60% - Accent1 3" xfId="1007" hidden="1" xr:uid="{00000000-0005-0000-0000-0000AF100000}"/>
    <cellStyle name="60% - Accent1 3" xfId="1040" hidden="1" xr:uid="{00000000-0005-0000-0000-0000B0100000}"/>
    <cellStyle name="60% - Accent1 3" xfId="1083" hidden="1" xr:uid="{00000000-0005-0000-0000-0000B1100000}"/>
    <cellStyle name="60% - Accent1 3" xfId="1121" hidden="1" xr:uid="{00000000-0005-0000-0000-0000B2100000}"/>
    <cellStyle name="60% - Accent1 3" xfId="1154" hidden="1" xr:uid="{00000000-0005-0000-0000-0000B3100000}"/>
    <cellStyle name="60% - Accent1 3" xfId="1186" hidden="1" xr:uid="{00000000-0005-0000-0000-0000B4100000}"/>
    <cellStyle name="60% - Accent1 3" xfId="1218" hidden="1" xr:uid="{00000000-0005-0000-0000-0000B5100000}"/>
    <cellStyle name="60% - Accent1 3" xfId="1251" hidden="1" xr:uid="{00000000-0005-0000-0000-0000B6100000}"/>
    <cellStyle name="60% - Accent1 3" xfId="1283" hidden="1" xr:uid="{00000000-0005-0000-0000-0000B7100000}"/>
    <cellStyle name="60% - Accent1 3" xfId="1316" hidden="1" xr:uid="{00000000-0005-0000-0000-0000B8100000}"/>
    <cellStyle name="60% - Accent1 3" xfId="1348" hidden="1" xr:uid="{00000000-0005-0000-0000-0000B9100000}"/>
    <cellStyle name="60% - Accent1 3" xfId="1381" hidden="1" xr:uid="{00000000-0005-0000-0000-0000BA100000}"/>
    <cellStyle name="60% - Accent1 3" xfId="1414" hidden="1" xr:uid="{00000000-0005-0000-0000-0000BB100000}"/>
    <cellStyle name="60% - Accent1 3" xfId="1447" hidden="1" xr:uid="{00000000-0005-0000-0000-0000BC100000}"/>
    <cellStyle name="60% - Accent1 3" xfId="1480" hidden="1" xr:uid="{00000000-0005-0000-0000-0000BD100000}"/>
    <cellStyle name="60% - Accent1 3" xfId="1513" hidden="1" xr:uid="{00000000-0005-0000-0000-0000BE100000}"/>
    <cellStyle name="60% - Accent1 3" xfId="1546" hidden="1" xr:uid="{00000000-0005-0000-0000-0000BF100000}"/>
    <cellStyle name="60% - Accent1 3" xfId="1760" hidden="1" xr:uid="{00000000-0005-0000-0000-0000C0100000}"/>
    <cellStyle name="60% - Accent1 3" xfId="1797" hidden="1" xr:uid="{00000000-0005-0000-0000-0000C1100000}"/>
    <cellStyle name="60% - Accent1 3" xfId="1830" hidden="1" xr:uid="{00000000-0005-0000-0000-0000C2100000}"/>
    <cellStyle name="60% - Accent1 3" xfId="1862" hidden="1" xr:uid="{00000000-0005-0000-0000-0000C3100000}"/>
    <cellStyle name="60% - Accent1 3" xfId="1894" hidden="1" xr:uid="{00000000-0005-0000-0000-0000C4100000}"/>
    <cellStyle name="60% - Accent1 3" xfId="1927" hidden="1" xr:uid="{00000000-0005-0000-0000-0000C5100000}"/>
    <cellStyle name="60% - Accent1 3" xfId="1959" hidden="1" xr:uid="{00000000-0005-0000-0000-0000C6100000}"/>
    <cellStyle name="60% - Accent1 3" xfId="1992" hidden="1" xr:uid="{00000000-0005-0000-0000-0000C7100000}"/>
    <cellStyle name="60% - Accent1 3" xfId="2024" hidden="1" xr:uid="{00000000-0005-0000-0000-0000C8100000}"/>
    <cellStyle name="60% - Accent1 3" xfId="2057" hidden="1" xr:uid="{00000000-0005-0000-0000-0000C9100000}"/>
    <cellStyle name="60% - Accent1 3" xfId="2090" hidden="1" xr:uid="{00000000-0005-0000-0000-0000CA100000}"/>
    <cellStyle name="60% - Accent1 3" xfId="2123" hidden="1" xr:uid="{00000000-0005-0000-0000-0000CB100000}"/>
    <cellStyle name="60% - Accent1 3" xfId="2156" hidden="1" xr:uid="{00000000-0005-0000-0000-0000CC100000}"/>
    <cellStyle name="60% - Accent1 3" xfId="2189" hidden="1" xr:uid="{00000000-0005-0000-0000-0000CD100000}"/>
    <cellStyle name="60% - Accent1 3" xfId="2222" hidden="1" xr:uid="{00000000-0005-0000-0000-0000CE100000}"/>
    <cellStyle name="60% - Accent1 3" xfId="2237" hidden="1" xr:uid="{00000000-0005-0000-0000-0000CF100000}"/>
    <cellStyle name="60% - Accent1 3" xfId="2274" hidden="1" xr:uid="{00000000-0005-0000-0000-0000D0100000}"/>
    <cellStyle name="60% - Accent1 3" xfId="2307" hidden="1" xr:uid="{00000000-0005-0000-0000-0000D1100000}"/>
    <cellStyle name="60% - Accent1 3" xfId="2339" hidden="1" xr:uid="{00000000-0005-0000-0000-0000D2100000}"/>
    <cellStyle name="60% - Accent1 3" xfId="2371" hidden="1" xr:uid="{00000000-0005-0000-0000-0000D3100000}"/>
    <cellStyle name="60% - Accent1 3" xfId="2404" hidden="1" xr:uid="{00000000-0005-0000-0000-0000D4100000}"/>
    <cellStyle name="60% - Accent1 3" xfId="2436" hidden="1" xr:uid="{00000000-0005-0000-0000-0000D5100000}"/>
    <cellStyle name="60% - Accent1 3" xfId="2469" hidden="1" xr:uid="{00000000-0005-0000-0000-0000D6100000}"/>
    <cellStyle name="60% - Accent1 3" xfId="2501" hidden="1" xr:uid="{00000000-0005-0000-0000-0000D7100000}"/>
    <cellStyle name="60% - Accent1 3" xfId="2534" hidden="1" xr:uid="{00000000-0005-0000-0000-0000D8100000}"/>
    <cellStyle name="60% - Accent1 3" xfId="2567" hidden="1" xr:uid="{00000000-0005-0000-0000-0000D9100000}"/>
    <cellStyle name="60% - Accent1 3" xfId="2600" hidden="1" xr:uid="{00000000-0005-0000-0000-0000DA100000}"/>
    <cellStyle name="60% - Accent1 3" xfId="2633" hidden="1" xr:uid="{00000000-0005-0000-0000-0000DB100000}"/>
    <cellStyle name="60% - Accent1 3" xfId="2666" hidden="1" xr:uid="{00000000-0005-0000-0000-0000DC100000}"/>
    <cellStyle name="60% - Accent1 3" xfId="2699" hidden="1" xr:uid="{00000000-0005-0000-0000-0000DD100000}"/>
    <cellStyle name="60% - Accent1 3" xfId="2780" hidden="1" xr:uid="{00000000-0005-0000-0000-0000DE100000}"/>
    <cellStyle name="60% - Accent1 3" xfId="2817" hidden="1" xr:uid="{00000000-0005-0000-0000-0000DF100000}"/>
    <cellStyle name="60% - Accent1 3" xfId="2850" hidden="1" xr:uid="{00000000-0005-0000-0000-0000E0100000}"/>
    <cellStyle name="60% - Accent1 3" xfId="2882" hidden="1" xr:uid="{00000000-0005-0000-0000-0000E1100000}"/>
    <cellStyle name="60% - Accent1 3" xfId="2914" hidden="1" xr:uid="{00000000-0005-0000-0000-0000E2100000}"/>
    <cellStyle name="60% - Accent1 3" xfId="2947" hidden="1" xr:uid="{00000000-0005-0000-0000-0000E3100000}"/>
    <cellStyle name="60% - Accent1 3" xfId="2979" hidden="1" xr:uid="{00000000-0005-0000-0000-0000E4100000}"/>
    <cellStyle name="60% - Accent1 3" xfId="3012" hidden="1" xr:uid="{00000000-0005-0000-0000-0000E5100000}"/>
    <cellStyle name="60% - Accent1 3" xfId="3044" hidden="1" xr:uid="{00000000-0005-0000-0000-0000E6100000}"/>
    <cellStyle name="60% - Accent1 3" xfId="3077" hidden="1" xr:uid="{00000000-0005-0000-0000-0000E7100000}"/>
    <cellStyle name="60% - Accent1 3" xfId="3110" hidden="1" xr:uid="{00000000-0005-0000-0000-0000E8100000}"/>
    <cellStyle name="60% - Accent1 3" xfId="3143" hidden="1" xr:uid="{00000000-0005-0000-0000-0000E9100000}"/>
    <cellStyle name="60% - Accent1 3" xfId="3176" hidden="1" xr:uid="{00000000-0005-0000-0000-0000EA100000}"/>
    <cellStyle name="60% - Accent1 3" xfId="3209" hidden="1" xr:uid="{00000000-0005-0000-0000-0000EB100000}"/>
    <cellStyle name="60% - Accent1 3" xfId="3242" hidden="1" xr:uid="{00000000-0005-0000-0000-0000EC100000}"/>
    <cellStyle name="60% - Accent1 3" xfId="3293" hidden="1" xr:uid="{00000000-0005-0000-0000-0000ED100000}"/>
    <cellStyle name="60% - Accent1 3" xfId="3330" hidden="1" xr:uid="{00000000-0005-0000-0000-0000EE100000}"/>
    <cellStyle name="60% - Accent1 3" xfId="3363" hidden="1" xr:uid="{00000000-0005-0000-0000-0000EF100000}"/>
    <cellStyle name="60% - Accent1 3" xfId="3395" hidden="1" xr:uid="{00000000-0005-0000-0000-0000F0100000}"/>
    <cellStyle name="60% - Accent1 3" xfId="3427" hidden="1" xr:uid="{00000000-0005-0000-0000-0000F1100000}"/>
    <cellStyle name="60% - Accent1 3" xfId="3460" hidden="1" xr:uid="{00000000-0005-0000-0000-0000F2100000}"/>
    <cellStyle name="60% - Accent1 3" xfId="3492" hidden="1" xr:uid="{00000000-0005-0000-0000-0000F3100000}"/>
    <cellStyle name="60% - Accent1 3" xfId="3525" hidden="1" xr:uid="{00000000-0005-0000-0000-0000F4100000}"/>
    <cellStyle name="60% - Accent1 3" xfId="3557" hidden="1" xr:uid="{00000000-0005-0000-0000-0000F5100000}"/>
    <cellStyle name="60% - Accent1 3" xfId="3590" hidden="1" xr:uid="{00000000-0005-0000-0000-0000F6100000}"/>
    <cellStyle name="60% - Accent1 3" xfId="3623" hidden="1" xr:uid="{00000000-0005-0000-0000-0000F7100000}"/>
    <cellStyle name="60% - Accent1 3" xfId="3656" hidden="1" xr:uid="{00000000-0005-0000-0000-0000F8100000}"/>
    <cellStyle name="60% - Accent1 3" xfId="3689" hidden="1" xr:uid="{00000000-0005-0000-0000-0000F9100000}"/>
    <cellStyle name="60% - Accent1 3" xfId="3722" hidden="1" xr:uid="{00000000-0005-0000-0000-0000FA100000}"/>
    <cellStyle name="60% - Accent1 3" xfId="3755" hidden="1" xr:uid="{00000000-0005-0000-0000-0000FB100000}"/>
    <cellStyle name="60% - Accent1 3" xfId="3770" hidden="1" xr:uid="{00000000-0005-0000-0000-0000FC100000}"/>
    <cellStyle name="60% - Accent1 3" xfId="3807" hidden="1" xr:uid="{00000000-0005-0000-0000-0000FD100000}"/>
    <cellStyle name="60% - Accent1 3" xfId="3840" hidden="1" xr:uid="{00000000-0005-0000-0000-0000FE100000}"/>
    <cellStyle name="60% - Accent1 3" xfId="3872" hidden="1" xr:uid="{00000000-0005-0000-0000-0000FF100000}"/>
    <cellStyle name="60% - Accent1 3" xfId="3904" hidden="1" xr:uid="{00000000-0005-0000-0000-000000110000}"/>
    <cellStyle name="60% - Accent1 3" xfId="3937" hidden="1" xr:uid="{00000000-0005-0000-0000-000001110000}"/>
    <cellStyle name="60% - Accent1 3" xfId="3969" hidden="1" xr:uid="{00000000-0005-0000-0000-000002110000}"/>
    <cellStyle name="60% - Accent1 3" xfId="4002" hidden="1" xr:uid="{00000000-0005-0000-0000-000003110000}"/>
    <cellStyle name="60% - Accent1 3" xfId="4034" hidden="1" xr:uid="{00000000-0005-0000-0000-000004110000}"/>
    <cellStyle name="60% - Accent1 3" xfId="4067" hidden="1" xr:uid="{00000000-0005-0000-0000-000005110000}"/>
    <cellStyle name="60% - Accent1 3" xfId="4100" hidden="1" xr:uid="{00000000-0005-0000-0000-000006110000}"/>
    <cellStyle name="60% - Accent1 3" xfId="4133" hidden="1" xr:uid="{00000000-0005-0000-0000-000007110000}"/>
    <cellStyle name="60% - Accent1 3" xfId="4166" hidden="1" xr:uid="{00000000-0005-0000-0000-000008110000}"/>
    <cellStyle name="60% - Accent1 3" xfId="4199" hidden="1" xr:uid="{00000000-0005-0000-0000-000009110000}"/>
    <cellStyle name="60% - Accent1 3" xfId="4232" hidden="1" xr:uid="{00000000-0005-0000-0000-00000A110000}"/>
    <cellStyle name="60% - Accent1 3" xfId="4399" hidden="1" xr:uid="{00000000-0005-0000-0000-00000B110000}"/>
    <cellStyle name="60% - Accent1 3" xfId="4432" hidden="1" xr:uid="{00000000-0005-0000-0000-00000C110000}"/>
    <cellStyle name="60% - Accent1 3" xfId="4465" hidden="1" xr:uid="{00000000-0005-0000-0000-00000D110000}"/>
    <cellStyle name="60% - Accent1 3" xfId="4498" hidden="1" xr:uid="{00000000-0005-0000-0000-00000E110000}"/>
    <cellStyle name="60% - Accent1 3" xfId="4531" hidden="1" xr:uid="{00000000-0005-0000-0000-00000F110000}"/>
    <cellStyle name="60% - Accent1 3" xfId="4564" hidden="1" xr:uid="{00000000-0005-0000-0000-000010110000}"/>
    <cellStyle name="60% - Accent1 3" xfId="4597" hidden="1" xr:uid="{00000000-0005-0000-0000-000011110000}"/>
    <cellStyle name="60% - Accent1 3" xfId="4630" hidden="1" xr:uid="{00000000-0005-0000-0000-000012110000}"/>
    <cellStyle name="60% - Accent1 3" xfId="4663" hidden="1" xr:uid="{00000000-0005-0000-0000-000013110000}"/>
    <cellStyle name="60% - Accent1 3" xfId="4696" hidden="1" xr:uid="{00000000-0005-0000-0000-000014110000}"/>
    <cellStyle name="60% - Accent1 3" xfId="4729" hidden="1" xr:uid="{00000000-0005-0000-0000-000015110000}"/>
    <cellStyle name="60% - Accent1 3" xfId="4766" hidden="1" xr:uid="{00000000-0005-0000-0000-000016110000}"/>
    <cellStyle name="60% - Accent1 3" xfId="4799" hidden="1" xr:uid="{00000000-0005-0000-0000-000017110000}"/>
    <cellStyle name="60% - Accent1 3" xfId="4831" hidden="1" xr:uid="{00000000-0005-0000-0000-000018110000}"/>
    <cellStyle name="60% - Accent1 3" xfId="4863" hidden="1" xr:uid="{00000000-0005-0000-0000-000019110000}"/>
    <cellStyle name="60% - Accent1 3" xfId="4896" hidden="1" xr:uid="{00000000-0005-0000-0000-00001A110000}"/>
    <cellStyle name="60% - Accent1 3" xfId="4928" hidden="1" xr:uid="{00000000-0005-0000-0000-00001B110000}"/>
    <cellStyle name="60% - Accent1 3" xfId="4961" hidden="1" xr:uid="{00000000-0005-0000-0000-00001C110000}"/>
    <cellStyle name="60% - Accent1 3" xfId="4993" hidden="1" xr:uid="{00000000-0005-0000-0000-00001D110000}"/>
    <cellStyle name="60% - Accent1 3" xfId="5026" hidden="1" xr:uid="{00000000-0005-0000-0000-00001E110000}"/>
    <cellStyle name="60% - Accent1 3" xfId="5059" hidden="1" xr:uid="{00000000-0005-0000-0000-00001F110000}"/>
    <cellStyle name="60% - Accent1 3" xfId="5092" hidden="1" xr:uid="{00000000-0005-0000-0000-000020110000}"/>
    <cellStyle name="60% - Accent1 3" xfId="5125" hidden="1" xr:uid="{00000000-0005-0000-0000-000021110000}"/>
    <cellStyle name="60% - Accent1 3" xfId="5158" hidden="1" xr:uid="{00000000-0005-0000-0000-000022110000}"/>
    <cellStyle name="60% - Accent1 3" xfId="5191" hidden="1" xr:uid="{00000000-0005-0000-0000-000023110000}"/>
    <cellStyle name="60% - Accent1 3" xfId="5232" hidden="1" xr:uid="{00000000-0005-0000-0000-000024110000}"/>
    <cellStyle name="60% - Accent1 3" xfId="5269" hidden="1" xr:uid="{00000000-0005-0000-0000-000025110000}"/>
    <cellStyle name="60% - Accent1 3" xfId="5302" hidden="1" xr:uid="{00000000-0005-0000-0000-000026110000}"/>
    <cellStyle name="60% - Accent1 3" xfId="5334" hidden="1" xr:uid="{00000000-0005-0000-0000-000027110000}"/>
    <cellStyle name="60% - Accent1 3" xfId="5366" hidden="1" xr:uid="{00000000-0005-0000-0000-000028110000}"/>
    <cellStyle name="60% - Accent1 3" xfId="5399" hidden="1" xr:uid="{00000000-0005-0000-0000-000029110000}"/>
    <cellStyle name="60% - Accent1 3" xfId="5431" hidden="1" xr:uid="{00000000-0005-0000-0000-00002A110000}"/>
    <cellStyle name="60% - Accent1 3" xfId="5464" hidden="1" xr:uid="{00000000-0005-0000-0000-00002B110000}"/>
    <cellStyle name="60% - Accent1 3" xfId="5496" hidden="1" xr:uid="{00000000-0005-0000-0000-00002C110000}"/>
    <cellStyle name="60% - Accent1 3" xfId="5529" hidden="1" xr:uid="{00000000-0005-0000-0000-00002D110000}"/>
    <cellStyle name="60% - Accent1 3" xfId="5562" hidden="1" xr:uid="{00000000-0005-0000-0000-00002E110000}"/>
    <cellStyle name="60% - Accent1 3" xfId="5595" hidden="1" xr:uid="{00000000-0005-0000-0000-00002F110000}"/>
    <cellStyle name="60% - Accent1 3" xfId="5628" hidden="1" xr:uid="{00000000-0005-0000-0000-000030110000}"/>
    <cellStyle name="60% - Accent1 3" xfId="5661" hidden="1" xr:uid="{00000000-0005-0000-0000-000031110000}"/>
    <cellStyle name="60% - Accent1 3" xfId="5694" hidden="1" xr:uid="{00000000-0005-0000-0000-000032110000}"/>
    <cellStyle name="60% - Accent1 3" xfId="5798" hidden="1" xr:uid="{00000000-0005-0000-0000-000033110000}"/>
    <cellStyle name="60% - Accent1 3" xfId="5835" hidden="1" xr:uid="{00000000-0005-0000-0000-000034110000}"/>
    <cellStyle name="60% - Accent1 3" xfId="5868" hidden="1" xr:uid="{00000000-0005-0000-0000-000035110000}"/>
    <cellStyle name="60% - Accent1 3" xfId="5900" hidden="1" xr:uid="{00000000-0005-0000-0000-000036110000}"/>
    <cellStyle name="60% - Accent1 3" xfId="5932" hidden="1" xr:uid="{00000000-0005-0000-0000-000037110000}"/>
    <cellStyle name="60% - Accent1 3" xfId="5965" hidden="1" xr:uid="{00000000-0005-0000-0000-000038110000}"/>
    <cellStyle name="60% - Accent1 3" xfId="5997" hidden="1" xr:uid="{00000000-0005-0000-0000-000039110000}"/>
    <cellStyle name="60% - Accent1 3" xfId="6030" hidden="1" xr:uid="{00000000-0005-0000-0000-00003A110000}"/>
    <cellStyle name="60% - Accent1 3" xfId="6062" hidden="1" xr:uid="{00000000-0005-0000-0000-00003B110000}"/>
    <cellStyle name="60% - Accent1 3" xfId="6095" hidden="1" xr:uid="{00000000-0005-0000-0000-00003C110000}"/>
    <cellStyle name="60% - Accent1 3" xfId="6128" hidden="1" xr:uid="{00000000-0005-0000-0000-00003D110000}"/>
    <cellStyle name="60% - Accent1 3" xfId="6161" hidden="1" xr:uid="{00000000-0005-0000-0000-00003E110000}"/>
    <cellStyle name="60% - Accent1 3" xfId="6194" hidden="1" xr:uid="{00000000-0005-0000-0000-00003F110000}"/>
    <cellStyle name="60% - Accent1 3" xfId="6227" hidden="1" xr:uid="{00000000-0005-0000-0000-000040110000}"/>
    <cellStyle name="60% - Accent1 3" xfId="6260" hidden="1" xr:uid="{00000000-0005-0000-0000-000041110000}"/>
    <cellStyle name="60% - Accent1 3" xfId="6275" hidden="1" xr:uid="{00000000-0005-0000-0000-000042110000}"/>
    <cellStyle name="60% - Accent1 3" xfId="6312" hidden="1" xr:uid="{00000000-0005-0000-0000-000043110000}"/>
    <cellStyle name="60% - Accent1 3" xfId="6345" hidden="1" xr:uid="{00000000-0005-0000-0000-000044110000}"/>
    <cellStyle name="60% - Accent1 3" xfId="6377" hidden="1" xr:uid="{00000000-0005-0000-0000-000045110000}"/>
    <cellStyle name="60% - Accent1 3" xfId="6409" hidden="1" xr:uid="{00000000-0005-0000-0000-000046110000}"/>
    <cellStyle name="60% - Accent1 3" xfId="6442" hidden="1" xr:uid="{00000000-0005-0000-0000-000047110000}"/>
    <cellStyle name="60% - Accent1 3" xfId="6474" hidden="1" xr:uid="{00000000-0005-0000-0000-000048110000}"/>
    <cellStyle name="60% - Accent1 3" xfId="6507" hidden="1" xr:uid="{00000000-0005-0000-0000-000049110000}"/>
    <cellStyle name="60% - Accent1 3" xfId="6539" hidden="1" xr:uid="{00000000-0005-0000-0000-00004A110000}"/>
    <cellStyle name="60% - Accent1 3" xfId="6572" hidden="1" xr:uid="{00000000-0005-0000-0000-00004B110000}"/>
    <cellStyle name="60% - Accent1 3" xfId="6605" hidden="1" xr:uid="{00000000-0005-0000-0000-00004C110000}"/>
    <cellStyle name="60% - Accent1 3" xfId="6638" hidden="1" xr:uid="{00000000-0005-0000-0000-00004D110000}"/>
    <cellStyle name="60% - Accent1 3" xfId="6671" hidden="1" xr:uid="{00000000-0005-0000-0000-00004E110000}"/>
    <cellStyle name="60% - Accent1 3" xfId="6704" hidden="1" xr:uid="{00000000-0005-0000-0000-00004F110000}"/>
    <cellStyle name="60% - Accent1 3" xfId="6737" hidden="1" xr:uid="{00000000-0005-0000-0000-000050110000}"/>
    <cellStyle name="60% - Accent1 3" xfId="6794" hidden="1" xr:uid="{00000000-0005-0000-0000-000051110000}"/>
    <cellStyle name="60% - Accent1 3" xfId="6831" hidden="1" xr:uid="{00000000-0005-0000-0000-000052110000}"/>
    <cellStyle name="60% - Accent1 3" xfId="6864" hidden="1" xr:uid="{00000000-0005-0000-0000-000053110000}"/>
    <cellStyle name="60% - Accent1 3" xfId="6896" hidden="1" xr:uid="{00000000-0005-0000-0000-000054110000}"/>
    <cellStyle name="60% - Accent1 3" xfId="6928" hidden="1" xr:uid="{00000000-0005-0000-0000-000055110000}"/>
    <cellStyle name="60% - Accent1 3" xfId="6961" hidden="1" xr:uid="{00000000-0005-0000-0000-000056110000}"/>
    <cellStyle name="60% - Accent1 3" xfId="6993" hidden="1" xr:uid="{00000000-0005-0000-0000-000057110000}"/>
    <cellStyle name="60% - Accent1 3" xfId="7026" hidden="1" xr:uid="{00000000-0005-0000-0000-000058110000}"/>
    <cellStyle name="60% - Accent1 3" xfId="7058" hidden="1" xr:uid="{00000000-0005-0000-0000-000059110000}"/>
    <cellStyle name="60% - Accent1 3" xfId="7091" hidden="1" xr:uid="{00000000-0005-0000-0000-00005A110000}"/>
    <cellStyle name="60% - Accent1 3" xfId="7124" hidden="1" xr:uid="{00000000-0005-0000-0000-00005B110000}"/>
    <cellStyle name="60% - Accent1 3" xfId="7157" hidden="1" xr:uid="{00000000-0005-0000-0000-00005C110000}"/>
    <cellStyle name="60% - Accent1 3" xfId="7190" hidden="1" xr:uid="{00000000-0005-0000-0000-00005D110000}"/>
    <cellStyle name="60% - Accent1 3" xfId="7223" hidden="1" xr:uid="{00000000-0005-0000-0000-00005E110000}"/>
    <cellStyle name="60% - Accent1 3" xfId="7256" hidden="1" xr:uid="{00000000-0005-0000-0000-00005F110000}"/>
    <cellStyle name="60% - Accent1 3" xfId="7307" hidden="1" xr:uid="{00000000-0005-0000-0000-000060110000}"/>
    <cellStyle name="60% - Accent1 3" xfId="7344" hidden="1" xr:uid="{00000000-0005-0000-0000-000061110000}"/>
    <cellStyle name="60% - Accent1 3" xfId="7377" hidden="1" xr:uid="{00000000-0005-0000-0000-000062110000}"/>
    <cellStyle name="60% - Accent1 3" xfId="7409" hidden="1" xr:uid="{00000000-0005-0000-0000-000063110000}"/>
    <cellStyle name="60% - Accent1 3" xfId="7441" hidden="1" xr:uid="{00000000-0005-0000-0000-000064110000}"/>
    <cellStyle name="60% - Accent1 3" xfId="7474" hidden="1" xr:uid="{00000000-0005-0000-0000-000065110000}"/>
    <cellStyle name="60% - Accent1 3" xfId="7506" hidden="1" xr:uid="{00000000-0005-0000-0000-000066110000}"/>
    <cellStyle name="60% - Accent1 3" xfId="7539" hidden="1" xr:uid="{00000000-0005-0000-0000-000067110000}"/>
    <cellStyle name="60% - Accent1 3" xfId="7571" hidden="1" xr:uid="{00000000-0005-0000-0000-000068110000}"/>
    <cellStyle name="60% - Accent1 3" xfId="7604" hidden="1" xr:uid="{00000000-0005-0000-0000-000069110000}"/>
    <cellStyle name="60% - Accent1 3" xfId="7637" hidden="1" xr:uid="{00000000-0005-0000-0000-00006A110000}"/>
    <cellStyle name="60% - Accent1 3" xfId="7670" hidden="1" xr:uid="{00000000-0005-0000-0000-00006B110000}"/>
    <cellStyle name="60% - Accent1 3" xfId="7703" hidden="1" xr:uid="{00000000-0005-0000-0000-00006C110000}"/>
    <cellStyle name="60% - Accent1 3" xfId="7736" hidden="1" xr:uid="{00000000-0005-0000-0000-00006D110000}"/>
    <cellStyle name="60% - Accent1 3" xfId="7769" hidden="1" xr:uid="{00000000-0005-0000-0000-00006E110000}"/>
    <cellStyle name="60% - Accent1 3" xfId="7784" hidden="1" xr:uid="{00000000-0005-0000-0000-00006F110000}"/>
    <cellStyle name="60% - Accent1 3" xfId="7821" hidden="1" xr:uid="{00000000-0005-0000-0000-000070110000}"/>
    <cellStyle name="60% - Accent1 3" xfId="7854" hidden="1" xr:uid="{00000000-0005-0000-0000-000071110000}"/>
    <cellStyle name="60% - Accent1 3" xfId="7886" hidden="1" xr:uid="{00000000-0005-0000-0000-000072110000}"/>
    <cellStyle name="60% - Accent1 3" xfId="7918" hidden="1" xr:uid="{00000000-0005-0000-0000-000073110000}"/>
    <cellStyle name="60% - Accent1 3" xfId="7951" hidden="1" xr:uid="{00000000-0005-0000-0000-000074110000}"/>
    <cellStyle name="60% - Accent1 3" xfId="7983" hidden="1" xr:uid="{00000000-0005-0000-0000-000075110000}"/>
    <cellStyle name="60% - Accent1 3" xfId="8016" hidden="1" xr:uid="{00000000-0005-0000-0000-000076110000}"/>
    <cellStyle name="60% - Accent1 3" xfId="8048" hidden="1" xr:uid="{00000000-0005-0000-0000-000077110000}"/>
    <cellStyle name="60% - Accent1 3" xfId="8081" hidden="1" xr:uid="{00000000-0005-0000-0000-000078110000}"/>
    <cellStyle name="60% - Accent1 3" xfId="8114" hidden="1" xr:uid="{00000000-0005-0000-0000-000079110000}"/>
    <cellStyle name="60% - Accent1 3" xfId="8147" hidden="1" xr:uid="{00000000-0005-0000-0000-00007A110000}"/>
    <cellStyle name="60% - Accent1 3" xfId="8180" hidden="1" xr:uid="{00000000-0005-0000-0000-00007B110000}"/>
    <cellStyle name="60% - Accent1 3" xfId="8213" hidden="1" xr:uid="{00000000-0005-0000-0000-00007C110000}"/>
    <cellStyle name="60% - Accent1 3" xfId="8246" hidden="1" xr:uid="{00000000-0005-0000-0000-00007D110000}"/>
    <cellStyle name="60% - Accent1 3" xfId="4347" hidden="1" xr:uid="{00000000-0005-0000-0000-00007E110000}"/>
    <cellStyle name="60% - Accent1 3" xfId="4332" hidden="1" xr:uid="{00000000-0005-0000-0000-00007F110000}"/>
    <cellStyle name="60% - Accent1 3" xfId="4317" hidden="1" xr:uid="{00000000-0005-0000-0000-000080110000}"/>
    <cellStyle name="60% - Accent1 3" xfId="4302" hidden="1" xr:uid="{00000000-0005-0000-0000-000081110000}"/>
    <cellStyle name="60% - Accent1 3" xfId="4287" hidden="1" xr:uid="{00000000-0005-0000-0000-000082110000}"/>
    <cellStyle name="60% - Accent1 3" xfId="4372" hidden="1" xr:uid="{00000000-0005-0000-0000-000083110000}"/>
    <cellStyle name="60% - Accent1 3" xfId="8258" hidden="1" xr:uid="{00000000-0005-0000-0000-000084110000}"/>
    <cellStyle name="60% - Accent1 3" xfId="8291" hidden="1" xr:uid="{00000000-0005-0000-0000-000085110000}"/>
    <cellStyle name="60% - Accent1 3" xfId="8324" hidden="1" xr:uid="{00000000-0005-0000-0000-000086110000}"/>
    <cellStyle name="60% - Accent1 3" xfId="8357" hidden="1" xr:uid="{00000000-0005-0000-0000-000087110000}"/>
    <cellStyle name="60% - Accent1 3" xfId="8390" hidden="1" xr:uid="{00000000-0005-0000-0000-000088110000}"/>
    <cellStyle name="60% - Accent1 3" xfId="8427" hidden="1" xr:uid="{00000000-0005-0000-0000-000089110000}"/>
    <cellStyle name="60% - Accent1 3" xfId="8460" hidden="1" xr:uid="{00000000-0005-0000-0000-00008A110000}"/>
    <cellStyle name="60% - Accent1 3" xfId="8492" hidden="1" xr:uid="{00000000-0005-0000-0000-00008B110000}"/>
    <cellStyle name="60% - Accent1 3" xfId="8524" hidden="1" xr:uid="{00000000-0005-0000-0000-00008C110000}"/>
    <cellStyle name="60% - Accent1 3" xfId="8557" hidden="1" xr:uid="{00000000-0005-0000-0000-00008D110000}"/>
    <cellStyle name="60% - Accent1 3" xfId="8589" hidden="1" xr:uid="{00000000-0005-0000-0000-00008E110000}"/>
    <cellStyle name="60% - Accent1 3" xfId="8622" hidden="1" xr:uid="{00000000-0005-0000-0000-00008F110000}"/>
    <cellStyle name="60% - Accent1 3" xfId="8654" hidden="1" xr:uid="{00000000-0005-0000-0000-000090110000}"/>
    <cellStyle name="60% - Accent1 3" xfId="8687" hidden="1" xr:uid="{00000000-0005-0000-0000-000091110000}"/>
    <cellStyle name="60% - Accent1 3" xfId="8720" hidden="1" xr:uid="{00000000-0005-0000-0000-000092110000}"/>
    <cellStyle name="60% - Accent1 3" xfId="8753" hidden="1" xr:uid="{00000000-0005-0000-0000-000093110000}"/>
    <cellStyle name="60% - Accent1 3" xfId="8786" hidden="1" xr:uid="{00000000-0005-0000-0000-000094110000}"/>
    <cellStyle name="60% - Accent1 3" xfId="8819" hidden="1" xr:uid="{00000000-0005-0000-0000-000095110000}"/>
    <cellStyle name="60% - Accent1 3" xfId="8852" hidden="1" xr:uid="{00000000-0005-0000-0000-000096110000}"/>
    <cellStyle name="60% - Accent1 3" xfId="8892" hidden="1" xr:uid="{00000000-0005-0000-0000-000097110000}"/>
    <cellStyle name="60% - Accent1 3" xfId="8929" hidden="1" xr:uid="{00000000-0005-0000-0000-000098110000}"/>
    <cellStyle name="60% - Accent1 3" xfId="8962" hidden="1" xr:uid="{00000000-0005-0000-0000-000099110000}"/>
    <cellStyle name="60% - Accent1 3" xfId="8994" hidden="1" xr:uid="{00000000-0005-0000-0000-00009A110000}"/>
    <cellStyle name="60% - Accent1 3" xfId="9026" hidden="1" xr:uid="{00000000-0005-0000-0000-00009B110000}"/>
    <cellStyle name="60% - Accent1 3" xfId="9059" hidden="1" xr:uid="{00000000-0005-0000-0000-00009C110000}"/>
    <cellStyle name="60% - Accent1 3" xfId="9091" hidden="1" xr:uid="{00000000-0005-0000-0000-00009D110000}"/>
    <cellStyle name="60% - Accent1 3" xfId="9124" hidden="1" xr:uid="{00000000-0005-0000-0000-00009E110000}"/>
    <cellStyle name="60% - Accent1 3" xfId="9156" hidden="1" xr:uid="{00000000-0005-0000-0000-00009F110000}"/>
    <cellStyle name="60% - Accent1 3" xfId="9189" hidden="1" xr:uid="{00000000-0005-0000-0000-0000A0110000}"/>
    <cellStyle name="60% - Accent1 3" xfId="9222" hidden="1" xr:uid="{00000000-0005-0000-0000-0000A1110000}"/>
    <cellStyle name="60% - Accent1 3" xfId="9255" hidden="1" xr:uid="{00000000-0005-0000-0000-0000A2110000}"/>
    <cellStyle name="60% - Accent1 3" xfId="9288" hidden="1" xr:uid="{00000000-0005-0000-0000-0000A3110000}"/>
    <cellStyle name="60% - Accent1 3" xfId="9321" hidden="1" xr:uid="{00000000-0005-0000-0000-0000A4110000}"/>
    <cellStyle name="60% - Accent1 3" xfId="9354" hidden="1" xr:uid="{00000000-0005-0000-0000-0000A5110000}"/>
    <cellStyle name="60% - Accent1 3" xfId="9405" hidden="1" xr:uid="{00000000-0005-0000-0000-0000A6110000}"/>
    <cellStyle name="60% - Accent1 3" xfId="9442" hidden="1" xr:uid="{00000000-0005-0000-0000-0000A7110000}"/>
    <cellStyle name="60% - Accent1 3" xfId="9475" hidden="1" xr:uid="{00000000-0005-0000-0000-0000A8110000}"/>
    <cellStyle name="60% - Accent1 3" xfId="9507" hidden="1" xr:uid="{00000000-0005-0000-0000-0000A9110000}"/>
    <cellStyle name="60% - Accent1 3" xfId="9539" hidden="1" xr:uid="{00000000-0005-0000-0000-0000AA110000}"/>
    <cellStyle name="60% - Accent1 3" xfId="9572" hidden="1" xr:uid="{00000000-0005-0000-0000-0000AB110000}"/>
    <cellStyle name="60% - Accent1 3" xfId="9604" hidden="1" xr:uid="{00000000-0005-0000-0000-0000AC110000}"/>
    <cellStyle name="60% - Accent1 3" xfId="9637" hidden="1" xr:uid="{00000000-0005-0000-0000-0000AD110000}"/>
    <cellStyle name="60% - Accent1 3" xfId="9669" hidden="1" xr:uid="{00000000-0005-0000-0000-0000AE110000}"/>
    <cellStyle name="60% - Accent1 3" xfId="9702" hidden="1" xr:uid="{00000000-0005-0000-0000-0000AF110000}"/>
    <cellStyle name="60% - Accent1 3" xfId="9735" hidden="1" xr:uid="{00000000-0005-0000-0000-0000B0110000}"/>
    <cellStyle name="60% - Accent1 3" xfId="9768" hidden="1" xr:uid="{00000000-0005-0000-0000-0000B1110000}"/>
    <cellStyle name="60% - Accent1 3" xfId="9801" hidden="1" xr:uid="{00000000-0005-0000-0000-0000B2110000}"/>
    <cellStyle name="60% - Accent1 3" xfId="9834" hidden="1" xr:uid="{00000000-0005-0000-0000-0000B3110000}"/>
    <cellStyle name="60% - Accent1 3" xfId="9867" hidden="1" xr:uid="{00000000-0005-0000-0000-0000B4110000}"/>
    <cellStyle name="60% - Accent1 3" xfId="9882" hidden="1" xr:uid="{00000000-0005-0000-0000-0000B5110000}"/>
    <cellStyle name="60% - Accent1 3" xfId="9919" hidden="1" xr:uid="{00000000-0005-0000-0000-0000B6110000}"/>
    <cellStyle name="60% - Accent1 3" xfId="9952" hidden="1" xr:uid="{00000000-0005-0000-0000-0000B7110000}"/>
    <cellStyle name="60% - Accent1 3" xfId="9984" hidden="1" xr:uid="{00000000-0005-0000-0000-0000B8110000}"/>
    <cellStyle name="60% - Accent1 3" xfId="10016" hidden="1" xr:uid="{00000000-0005-0000-0000-0000B9110000}"/>
    <cellStyle name="60% - Accent1 3" xfId="10049" hidden="1" xr:uid="{00000000-0005-0000-0000-0000BA110000}"/>
    <cellStyle name="60% - Accent1 3" xfId="10081" hidden="1" xr:uid="{00000000-0005-0000-0000-0000BB110000}"/>
    <cellStyle name="60% - Accent1 3" xfId="10114" hidden="1" xr:uid="{00000000-0005-0000-0000-0000BC110000}"/>
    <cellStyle name="60% - Accent1 3" xfId="10146" hidden="1" xr:uid="{00000000-0005-0000-0000-0000BD110000}"/>
    <cellStyle name="60% - Accent1 3" xfId="10179" hidden="1" xr:uid="{00000000-0005-0000-0000-0000BE110000}"/>
    <cellStyle name="60% - Accent1 3" xfId="10212" hidden="1" xr:uid="{00000000-0005-0000-0000-0000BF110000}"/>
    <cellStyle name="60% - Accent1 3" xfId="10245" hidden="1" xr:uid="{00000000-0005-0000-0000-0000C0110000}"/>
    <cellStyle name="60% - Accent1 3" xfId="10278" hidden="1" xr:uid="{00000000-0005-0000-0000-0000C1110000}"/>
    <cellStyle name="60% - Accent1 3" xfId="10311" hidden="1" xr:uid="{00000000-0005-0000-0000-0000C2110000}"/>
    <cellStyle name="60% - Accent1 3" xfId="10344" hidden="1" xr:uid="{00000000-0005-0000-0000-0000C3110000}"/>
    <cellStyle name="60% - Accent1 3" xfId="10370" hidden="1" xr:uid="{00000000-0005-0000-0000-0000C4110000}"/>
    <cellStyle name="60% - Accent1 3" xfId="10407" hidden="1" xr:uid="{00000000-0005-0000-0000-0000C5110000}"/>
    <cellStyle name="60% - Accent1 3" xfId="10440" hidden="1" xr:uid="{00000000-0005-0000-0000-0000C6110000}"/>
    <cellStyle name="60% - Accent1 3" xfId="10472" hidden="1" xr:uid="{00000000-0005-0000-0000-0000C7110000}"/>
    <cellStyle name="60% - Accent1 3" xfId="10504" hidden="1" xr:uid="{00000000-0005-0000-0000-0000C8110000}"/>
    <cellStyle name="60% - Accent1 3" xfId="10537" hidden="1" xr:uid="{00000000-0005-0000-0000-0000C9110000}"/>
    <cellStyle name="60% - Accent1 3" xfId="10569" hidden="1" xr:uid="{00000000-0005-0000-0000-0000CA110000}"/>
    <cellStyle name="60% - Accent1 3" xfId="10602" hidden="1" xr:uid="{00000000-0005-0000-0000-0000CB110000}"/>
    <cellStyle name="60% - Accent1 3" xfId="10634" hidden="1" xr:uid="{00000000-0005-0000-0000-0000CC110000}"/>
    <cellStyle name="60% - Accent1 3" xfId="10667" hidden="1" xr:uid="{00000000-0005-0000-0000-0000CD110000}"/>
    <cellStyle name="60% - Accent1 3" xfId="10700" hidden="1" xr:uid="{00000000-0005-0000-0000-0000CE110000}"/>
    <cellStyle name="60% - Accent1 3" xfId="10733" hidden="1" xr:uid="{00000000-0005-0000-0000-0000CF110000}"/>
    <cellStyle name="60% - Accent1 3" xfId="10766" hidden="1" xr:uid="{00000000-0005-0000-0000-0000D0110000}"/>
    <cellStyle name="60% - Accent1 3" xfId="10799" hidden="1" xr:uid="{00000000-0005-0000-0000-0000D1110000}"/>
    <cellStyle name="60% - Accent1 3" xfId="10832" hidden="1" xr:uid="{00000000-0005-0000-0000-0000D2110000}"/>
    <cellStyle name="60% - Accent1 3" xfId="10883" hidden="1" xr:uid="{00000000-0005-0000-0000-0000D3110000}"/>
    <cellStyle name="60% - Accent1 3" xfId="10920" hidden="1" xr:uid="{00000000-0005-0000-0000-0000D4110000}"/>
    <cellStyle name="60% - Accent1 3" xfId="10953" hidden="1" xr:uid="{00000000-0005-0000-0000-0000D5110000}"/>
    <cellStyle name="60% - Accent1 3" xfId="10985" hidden="1" xr:uid="{00000000-0005-0000-0000-0000D6110000}"/>
    <cellStyle name="60% - Accent1 3" xfId="11017" hidden="1" xr:uid="{00000000-0005-0000-0000-0000D7110000}"/>
    <cellStyle name="60% - Accent1 3" xfId="11050" hidden="1" xr:uid="{00000000-0005-0000-0000-0000D8110000}"/>
    <cellStyle name="60% - Accent1 3" xfId="11082" hidden="1" xr:uid="{00000000-0005-0000-0000-0000D9110000}"/>
    <cellStyle name="60% - Accent1 3" xfId="11115" hidden="1" xr:uid="{00000000-0005-0000-0000-0000DA110000}"/>
    <cellStyle name="60% - Accent1 3" xfId="11147" hidden="1" xr:uid="{00000000-0005-0000-0000-0000DB110000}"/>
    <cellStyle name="60% - Accent1 3" xfId="11180" hidden="1" xr:uid="{00000000-0005-0000-0000-0000DC110000}"/>
    <cellStyle name="60% - Accent1 3" xfId="11213" hidden="1" xr:uid="{00000000-0005-0000-0000-0000DD110000}"/>
    <cellStyle name="60% - Accent1 3" xfId="11246" hidden="1" xr:uid="{00000000-0005-0000-0000-0000DE110000}"/>
    <cellStyle name="60% - Accent1 3" xfId="11279" hidden="1" xr:uid="{00000000-0005-0000-0000-0000DF110000}"/>
    <cellStyle name="60% - Accent1 3" xfId="11312" hidden="1" xr:uid="{00000000-0005-0000-0000-0000E0110000}"/>
    <cellStyle name="60% - Accent1 3" xfId="11345" hidden="1" xr:uid="{00000000-0005-0000-0000-0000E1110000}"/>
    <cellStyle name="60% - Accent1 3" xfId="11360" hidden="1" xr:uid="{00000000-0005-0000-0000-0000E2110000}"/>
    <cellStyle name="60% - Accent1 3" xfId="11397" hidden="1" xr:uid="{00000000-0005-0000-0000-0000E3110000}"/>
    <cellStyle name="60% - Accent1 3" xfId="11430" hidden="1" xr:uid="{00000000-0005-0000-0000-0000E4110000}"/>
    <cellStyle name="60% - Accent1 3" xfId="11462" hidden="1" xr:uid="{00000000-0005-0000-0000-0000E5110000}"/>
    <cellStyle name="60% - Accent1 3" xfId="11494" hidden="1" xr:uid="{00000000-0005-0000-0000-0000E6110000}"/>
    <cellStyle name="60% - Accent1 3" xfId="11527" hidden="1" xr:uid="{00000000-0005-0000-0000-0000E7110000}"/>
    <cellStyle name="60% - Accent1 3" xfId="11559" hidden="1" xr:uid="{00000000-0005-0000-0000-0000E8110000}"/>
    <cellStyle name="60% - Accent1 3" xfId="11592" hidden="1" xr:uid="{00000000-0005-0000-0000-0000E9110000}"/>
    <cellStyle name="60% - Accent1 3" xfId="11624" hidden="1" xr:uid="{00000000-0005-0000-0000-0000EA110000}"/>
    <cellStyle name="60% - Accent1 3" xfId="11657" hidden="1" xr:uid="{00000000-0005-0000-0000-0000EB110000}"/>
    <cellStyle name="60% - Accent1 3" xfId="11690" hidden="1" xr:uid="{00000000-0005-0000-0000-0000EC110000}"/>
    <cellStyle name="60% - Accent1 3" xfId="11723" hidden="1" xr:uid="{00000000-0005-0000-0000-0000ED110000}"/>
    <cellStyle name="60% - Accent1 3" xfId="11756" hidden="1" xr:uid="{00000000-0005-0000-0000-0000EE110000}"/>
    <cellStyle name="60% - Accent1 3" xfId="11789" hidden="1" xr:uid="{00000000-0005-0000-0000-0000EF110000}"/>
    <cellStyle name="60% - Accent1 3" xfId="11822" xr:uid="{00000000-0005-0000-0000-0000F0110000}"/>
    <cellStyle name="60% - Accent2 2" xfId="68" xr:uid="{00000000-0005-0000-0000-0000F1110000}"/>
    <cellStyle name="60% - Accent2 2 2" xfId="1586" xr:uid="{00000000-0005-0000-0000-0000F2110000}"/>
    <cellStyle name="60% - Accent2 2 3" xfId="2723" xr:uid="{00000000-0005-0000-0000-0000F3110000}"/>
    <cellStyle name="60% - Accent2 3" xfId="219" hidden="1" xr:uid="{00000000-0005-0000-0000-0000F4110000}"/>
    <cellStyle name="60% - Accent2 3" xfId="244" hidden="1" xr:uid="{00000000-0005-0000-0000-0000F5110000}"/>
    <cellStyle name="60% - Accent2 3" xfId="277" hidden="1" xr:uid="{00000000-0005-0000-0000-0000F6110000}"/>
    <cellStyle name="60% - Accent2 3" xfId="310" hidden="1" xr:uid="{00000000-0005-0000-0000-0000F7110000}"/>
    <cellStyle name="60% - Accent2 3" xfId="343" hidden="1" xr:uid="{00000000-0005-0000-0000-0000F8110000}"/>
    <cellStyle name="60% - Accent2 3" xfId="377" hidden="1" xr:uid="{00000000-0005-0000-0000-0000F9110000}"/>
    <cellStyle name="60% - Accent2 3" xfId="410" hidden="1" xr:uid="{00000000-0005-0000-0000-0000FA110000}"/>
    <cellStyle name="60% - Accent2 3" xfId="443" hidden="1" xr:uid="{00000000-0005-0000-0000-0000FB110000}"/>
    <cellStyle name="60% - Accent2 3" xfId="476" hidden="1" xr:uid="{00000000-0005-0000-0000-0000FC110000}"/>
    <cellStyle name="60% - Accent2 3" xfId="509" hidden="1" xr:uid="{00000000-0005-0000-0000-0000FD110000}"/>
    <cellStyle name="60% - Accent2 3" xfId="542" hidden="1" xr:uid="{00000000-0005-0000-0000-0000FE110000}"/>
    <cellStyle name="60% - Accent2 3" xfId="575" hidden="1" xr:uid="{00000000-0005-0000-0000-0000FF110000}"/>
    <cellStyle name="60% - Accent2 3" xfId="612" hidden="1" xr:uid="{00000000-0005-0000-0000-000000120000}"/>
    <cellStyle name="60% - Accent2 3" xfId="645" hidden="1" xr:uid="{00000000-0005-0000-0000-000001120000}"/>
    <cellStyle name="60% - Accent2 3" xfId="677" hidden="1" xr:uid="{00000000-0005-0000-0000-000002120000}"/>
    <cellStyle name="60% - Accent2 3" xfId="709" hidden="1" xr:uid="{00000000-0005-0000-0000-000003120000}"/>
    <cellStyle name="60% - Accent2 3" xfId="742" hidden="1" xr:uid="{00000000-0005-0000-0000-000004120000}"/>
    <cellStyle name="60% - Accent2 3" xfId="774" hidden="1" xr:uid="{00000000-0005-0000-0000-000005120000}"/>
    <cellStyle name="60% - Accent2 3" xfId="807" hidden="1" xr:uid="{00000000-0005-0000-0000-000006120000}"/>
    <cellStyle name="60% - Accent2 3" xfId="839" hidden="1" xr:uid="{00000000-0005-0000-0000-000007120000}"/>
    <cellStyle name="60% - Accent2 3" xfId="872" hidden="1" xr:uid="{00000000-0005-0000-0000-000008120000}"/>
    <cellStyle name="60% - Accent2 3" xfId="905" hidden="1" xr:uid="{00000000-0005-0000-0000-000009120000}"/>
    <cellStyle name="60% - Accent2 3" xfId="938" hidden="1" xr:uid="{00000000-0005-0000-0000-00000A120000}"/>
    <cellStyle name="60% - Accent2 3" xfId="971" hidden="1" xr:uid="{00000000-0005-0000-0000-00000B120000}"/>
    <cellStyle name="60% - Accent2 3" xfId="1004" hidden="1" xr:uid="{00000000-0005-0000-0000-00000C120000}"/>
    <cellStyle name="60% - Accent2 3" xfId="1037" hidden="1" xr:uid="{00000000-0005-0000-0000-00000D120000}"/>
    <cellStyle name="60% - Accent2 3" xfId="1080" hidden="1" xr:uid="{00000000-0005-0000-0000-00000E120000}"/>
    <cellStyle name="60% - Accent2 3" xfId="1118" hidden="1" xr:uid="{00000000-0005-0000-0000-00000F120000}"/>
    <cellStyle name="60% - Accent2 3" xfId="1151" hidden="1" xr:uid="{00000000-0005-0000-0000-000010120000}"/>
    <cellStyle name="60% - Accent2 3" xfId="1183" hidden="1" xr:uid="{00000000-0005-0000-0000-000011120000}"/>
    <cellStyle name="60% - Accent2 3" xfId="1215" hidden="1" xr:uid="{00000000-0005-0000-0000-000012120000}"/>
    <cellStyle name="60% - Accent2 3" xfId="1248" hidden="1" xr:uid="{00000000-0005-0000-0000-000013120000}"/>
    <cellStyle name="60% - Accent2 3" xfId="1280" hidden="1" xr:uid="{00000000-0005-0000-0000-000014120000}"/>
    <cellStyle name="60% - Accent2 3" xfId="1313" hidden="1" xr:uid="{00000000-0005-0000-0000-000015120000}"/>
    <cellStyle name="60% - Accent2 3" xfId="1345" hidden="1" xr:uid="{00000000-0005-0000-0000-000016120000}"/>
    <cellStyle name="60% - Accent2 3" xfId="1378" hidden="1" xr:uid="{00000000-0005-0000-0000-000017120000}"/>
    <cellStyle name="60% - Accent2 3" xfId="1411" hidden="1" xr:uid="{00000000-0005-0000-0000-000018120000}"/>
    <cellStyle name="60% - Accent2 3" xfId="1444" hidden="1" xr:uid="{00000000-0005-0000-0000-000019120000}"/>
    <cellStyle name="60% - Accent2 3" xfId="1477" hidden="1" xr:uid="{00000000-0005-0000-0000-00001A120000}"/>
    <cellStyle name="60% - Accent2 3" xfId="1510" hidden="1" xr:uid="{00000000-0005-0000-0000-00001B120000}"/>
    <cellStyle name="60% - Accent2 3" xfId="1543" hidden="1" xr:uid="{00000000-0005-0000-0000-00001C120000}"/>
    <cellStyle name="60% - Accent2 3" xfId="1757" hidden="1" xr:uid="{00000000-0005-0000-0000-00001D120000}"/>
    <cellStyle name="60% - Accent2 3" xfId="1794" hidden="1" xr:uid="{00000000-0005-0000-0000-00001E120000}"/>
    <cellStyle name="60% - Accent2 3" xfId="1827" hidden="1" xr:uid="{00000000-0005-0000-0000-00001F120000}"/>
    <cellStyle name="60% - Accent2 3" xfId="1859" hidden="1" xr:uid="{00000000-0005-0000-0000-000020120000}"/>
    <cellStyle name="60% - Accent2 3" xfId="1891" hidden="1" xr:uid="{00000000-0005-0000-0000-000021120000}"/>
    <cellStyle name="60% - Accent2 3" xfId="1924" hidden="1" xr:uid="{00000000-0005-0000-0000-000022120000}"/>
    <cellStyle name="60% - Accent2 3" xfId="1956" hidden="1" xr:uid="{00000000-0005-0000-0000-000023120000}"/>
    <cellStyle name="60% - Accent2 3" xfId="1989" hidden="1" xr:uid="{00000000-0005-0000-0000-000024120000}"/>
    <cellStyle name="60% - Accent2 3" xfId="2021" hidden="1" xr:uid="{00000000-0005-0000-0000-000025120000}"/>
    <cellStyle name="60% - Accent2 3" xfId="2054" hidden="1" xr:uid="{00000000-0005-0000-0000-000026120000}"/>
    <cellStyle name="60% - Accent2 3" xfId="2087" hidden="1" xr:uid="{00000000-0005-0000-0000-000027120000}"/>
    <cellStyle name="60% - Accent2 3" xfId="2120" hidden="1" xr:uid="{00000000-0005-0000-0000-000028120000}"/>
    <cellStyle name="60% - Accent2 3" xfId="2153" hidden="1" xr:uid="{00000000-0005-0000-0000-000029120000}"/>
    <cellStyle name="60% - Accent2 3" xfId="2186" hidden="1" xr:uid="{00000000-0005-0000-0000-00002A120000}"/>
    <cellStyle name="60% - Accent2 3" xfId="2219" hidden="1" xr:uid="{00000000-0005-0000-0000-00002B120000}"/>
    <cellStyle name="60% - Accent2 3" xfId="2234" hidden="1" xr:uid="{00000000-0005-0000-0000-00002C120000}"/>
    <cellStyle name="60% - Accent2 3" xfId="2271" hidden="1" xr:uid="{00000000-0005-0000-0000-00002D120000}"/>
    <cellStyle name="60% - Accent2 3" xfId="2304" hidden="1" xr:uid="{00000000-0005-0000-0000-00002E120000}"/>
    <cellStyle name="60% - Accent2 3" xfId="2336" hidden="1" xr:uid="{00000000-0005-0000-0000-00002F120000}"/>
    <cellStyle name="60% - Accent2 3" xfId="2368" hidden="1" xr:uid="{00000000-0005-0000-0000-000030120000}"/>
    <cellStyle name="60% - Accent2 3" xfId="2401" hidden="1" xr:uid="{00000000-0005-0000-0000-000031120000}"/>
    <cellStyle name="60% - Accent2 3" xfId="2433" hidden="1" xr:uid="{00000000-0005-0000-0000-000032120000}"/>
    <cellStyle name="60% - Accent2 3" xfId="2466" hidden="1" xr:uid="{00000000-0005-0000-0000-000033120000}"/>
    <cellStyle name="60% - Accent2 3" xfId="2498" hidden="1" xr:uid="{00000000-0005-0000-0000-000034120000}"/>
    <cellStyle name="60% - Accent2 3" xfId="2531" hidden="1" xr:uid="{00000000-0005-0000-0000-000035120000}"/>
    <cellStyle name="60% - Accent2 3" xfId="2564" hidden="1" xr:uid="{00000000-0005-0000-0000-000036120000}"/>
    <cellStyle name="60% - Accent2 3" xfId="2597" hidden="1" xr:uid="{00000000-0005-0000-0000-000037120000}"/>
    <cellStyle name="60% - Accent2 3" xfId="2630" hidden="1" xr:uid="{00000000-0005-0000-0000-000038120000}"/>
    <cellStyle name="60% - Accent2 3" xfId="2663" hidden="1" xr:uid="{00000000-0005-0000-0000-000039120000}"/>
    <cellStyle name="60% - Accent2 3" xfId="2696" hidden="1" xr:uid="{00000000-0005-0000-0000-00003A120000}"/>
    <cellStyle name="60% - Accent2 3" xfId="2777" hidden="1" xr:uid="{00000000-0005-0000-0000-00003B120000}"/>
    <cellStyle name="60% - Accent2 3" xfId="2814" hidden="1" xr:uid="{00000000-0005-0000-0000-00003C120000}"/>
    <cellStyle name="60% - Accent2 3" xfId="2847" hidden="1" xr:uid="{00000000-0005-0000-0000-00003D120000}"/>
    <cellStyle name="60% - Accent2 3" xfId="2879" hidden="1" xr:uid="{00000000-0005-0000-0000-00003E120000}"/>
    <cellStyle name="60% - Accent2 3" xfId="2911" hidden="1" xr:uid="{00000000-0005-0000-0000-00003F120000}"/>
    <cellStyle name="60% - Accent2 3" xfId="2944" hidden="1" xr:uid="{00000000-0005-0000-0000-000040120000}"/>
    <cellStyle name="60% - Accent2 3" xfId="2976" hidden="1" xr:uid="{00000000-0005-0000-0000-000041120000}"/>
    <cellStyle name="60% - Accent2 3" xfId="3009" hidden="1" xr:uid="{00000000-0005-0000-0000-000042120000}"/>
    <cellStyle name="60% - Accent2 3" xfId="3041" hidden="1" xr:uid="{00000000-0005-0000-0000-000043120000}"/>
    <cellStyle name="60% - Accent2 3" xfId="3074" hidden="1" xr:uid="{00000000-0005-0000-0000-000044120000}"/>
    <cellStyle name="60% - Accent2 3" xfId="3107" hidden="1" xr:uid="{00000000-0005-0000-0000-000045120000}"/>
    <cellStyle name="60% - Accent2 3" xfId="3140" hidden="1" xr:uid="{00000000-0005-0000-0000-000046120000}"/>
    <cellStyle name="60% - Accent2 3" xfId="3173" hidden="1" xr:uid="{00000000-0005-0000-0000-000047120000}"/>
    <cellStyle name="60% - Accent2 3" xfId="3206" hidden="1" xr:uid="{00000000-0005-0000-0000-000048120000}"/>
    <cellStyle name="60% - Accent2 3" xfId="3239" hidden="1" xr:uid="{00000000-0005-0000-0000-000049120000}"/>
    <cellStyle name="60% - Accent2 3" xfId="3290" hidden="1" xr:uid="{00000000-0005-0000-0000-00004A120000}"/>
    <cellStyle name="60% - Accent2 3" xfId="3327" hidden="1" xr:uid="{00000000-0005-0000-0000-00004B120000}"/>
    <cellStyle name="60% - Accent2 3" xfId="3360" hidden="1" xr:uid="{00000000-0005-0000-0000-00004C120000}"/>
    <cellStyle name="60% - Accent2 3" xfId="3392" hidden="1" xr:uid="{00000000-0005-0000-0000-00004D120000}"/>
    <cellStyle name="60% - Accent2 3" xfId="3424" hidden="1" xr:uid="{00000000-0005-0000-0000-00004E120000}"/>
    <cellStyle name="60% - Accent2 3" xfId="3457" hidden="1" xr:uid="{00000000-0005-0000-0000-00004F120000}"/>
    <cellStyle name="60% - Accent2 3" xfId="3489" hidden="1" xr:uid="{00000000-0005-0000-0000-000050120000}"/>
    <cellStyle name="60% - Accent2 3" xfId="3522" hidden="1" xr:uid="{00000000-0005-0000-0000-000051120000}"/>
    <cellStyle name="60% - Accent2 3" xfId="3554" hidden="1" xr:uid="{00000000-0005-0000-0000-000052120000}"/>
    <cellStyle name="60% - Accent2 3" xfId="3587" hidden="1" xr:uid="{00000000-0005-0000-0000-000053120000}"/>
    <cellStyle name="60% - Accent2 3" xfId="3620" hidden="1" xr:uid="{00000000-0005-0000-0000-000054120000}"/>
    <cellStyle name="60% - Accent2 3" xfId="3653" hidden="1" xr:uid="{00000000-0005-0000-0000-000055120000}"/>
    <cellStyle name="60% - Accent2 3" xfId="3686" hidden="1" xr:uid="{00000000-0005-0000-0000-000056120000}"/>
    <cellStyle name="60% - Accent2 3" xfId="3719" hidden="1" xr:uid="{00000000-0005-0000-0000-000057120000}"/>
    <cellStyle name="60% - Accent2 3" xfId="3752" hidden="1" xr:uid="{00000000-0005-0000-0000-000058120000}"/>
    <cellStyle name="60% - Accent2 3" xfId="3767" hidden="1" xr:uid="{00000000-0005-0000-0000-000059120000}"/>
    <cellStyle name="60% - Accent2 3" xfId="3804" hidden="1" xr:uid="{00000000-0005-0000-0000-00005A120000}"/>
    <cellStyle name="60% - Accent2 3" xfId="3837" hidden="1" xr:uid="{00000000-0005-0000-0000-00005B120000}"/>
    <cellStyle name="60% - Accent2 3" xfId="3869" hidden="1" xr:uid="{00000000-0005-0000-0000-00005C120000}"/>
    <cellStyle name="60% - Accent2 3" xfId="3901" hidden="1" xr:uid="{00000000-0005-0000-0000-00005D120000}"/>
    <cellStyle name="60% - Accent2 3" xfId="3934" hidden="1" xr:uid="{00000000-0005-0000-0000-00005E120000}"/>
    <cellStyle name="60% - Accent2 3" xfId="3966" hidden="1" xr:uid="{00000000-0005-0000-0000-00005F120000}"/>
    <cellStyle name="60% - Accent2 3" xfId="3999" hidden="1" xr:uid="{00000000-0005-0000-0000-000060120000}"/>
    <cellStyle name="60% - Accent2 3" xfId="4031" hidden="1" xr:uid="{00000000-0005-0000-0000-000061120000}"/>
    <cellStyle name="60% - Accent2 3" xfId="4064" hidden="1" xr:uid="{00000000-0005-0000-0000-000062120000}"/>
    <cellStyle name="60% - Accent2 3" xfId="4097" hidden="1" xr:uid="{00000000-0005-0000-0000-000063120000}"/>
    <cellStyle name="60% - Accent2 3" xfId="4130" hidden="1" xr:uid="{00000000-0005-0000-0000-000064120000}"/>
    <cellStyle name="60% - Accent2 3" xfId="4163" hidden="1" xr:uid="{00000000-0005-0000-0000-000065120000}"/>
    <cellStyle name="60% - Accent2 3" xfId="4196" hidden="1" xr:uid="{00000000-0005-0000-0000-000066120000}"/>
    <cellStyle name="60% - Accent2 3" xfId="4229" hidden="1" xr:uid="{00000000-0005-0000-0000-000067120000}"/>
    <cellStyle name="60% - Accent2 3" xfId="4396" hidden="1" xr:uid="{00000000-0005-0000-0000-000068120000}"/>
    <cellStyle name="60% - Accent2 3" xfId="4429" hidden="1" xr:uid="{00000000-0005-0000-0000-000069120000}"/>
    <cellStyle name="60% - Accent2 3" xfId="4462" hidden="1" xr:uid="{00000000-0005-0000-0000-00006A120000}"/>
    <cellStyle name="60% - Accent2 3" xfId="4495" hidden="1" xr:uid="{00000000-0005-0000-0000-00006B120000}"/>
    <cellStyle name="60% - Accent2 3" xfId="4528" hidden="1" xr:uid="{00000000-0005-0000-0000-00006C120000}"/>
    <cellStyle name="60% - Accent2 3" xfId="4561" hidden="1" xr:uid="{00000000-0005-0000-0000-00006D120000}"/>
    <cellStyle name="60% - Accent2 3" xfId="4594" hidden="1" xr:uid="{00000000-0005-0000-0000-00006E120000}"/>
    <cellStyle name="60% - Accent2 3" xfId="4627" hidden="1" xr:uid="{00000000-0005-0000-0000-00006F120000}"/>
    <cellStyle name="60% - Accent2 3" xfId="4660" hidden="1" xr:uid="{00000000-0005-0000-0000-000070120000}"/>
    <cellStyle name="60% - Accent2 3" xfId="4693" hidden="1" xr:uid="{00000000-0005-0000-0000-000071120000}"/>
    <cellStyle name="60% - Accent2 3" xfId="4726" hidden="1" xr:uid="{00000000-0005-0000-0000-000072120000}"/>
    <cellStyle name="60% - Accent2 3" xfId="4763" hidden="1" xr:uid="{00000000-0005-0000-0000-000073120000}"/>
    <cellStyle name="60% - Accent2 3" xfId="4796" hidden="1" xr:uid="{00000000-0005-0000-0000-000074120000}"/>
    <cellStyle name="60% - Accent2 3" xfId="4828" hidden="1" xr:uid="{00000000-0005-0000-0000-000075120000}"/>
    <cellStyle name="60% - Accent2 3" xfId="4860" hidden="1" xr:uid="{00000000-0005-0000-0000-000076120000}"/>
    <cellStyle name="60% - Accent2 3" xfId="4893" hidden="1" xr:uid="{00000000-0005-0000-0000-000077120000}"/>
    <cellStyle name="60% - Accent2 3" xfId="4925" hidden="1" xr:uid="{00000000-0005-0000-0000-000078120000}"/>
    <cellStyle name="60% - Accent2 3" xfId="4958" hidden="1" xr:uid="{00000000-0005-0000-0000-000079120000}"/>
    <cellStyle name="60% - Accent2 3" xfId="4990" hidden="1" xr:uid="{00000000-0005-0000-0000-00007A120000}"/>
    <cellStyle name="60% - Accent2 3" xfId="5023" hidden="1" xr:uid="{00000000-0005-0000-0000-00007B120000}"/>
    <cellStyle name="60% - Accent2 3" xfId="5056" hidden="1" xr:uid="{00000000-0005-0000-0000-00007C120000}"/>
    <cellStyle name="60% - Accent2 3" xfId="5089" hidden="1" xr:uid="{00000000-0005-0000-0000-00007D120000}"/>
    <cellStyle name="60% - Accent2 3" xfId="5122" hidden="1" xr:uid="{00000000-0005-0000-0000-00007E120000}"/>
    <cellStyle name="60% - Accent2 3" xfId="5155" hidden="1" xr:uid="{00000000-0005-0000-0000-00007F120000}"/>
    <cellStyle name="60% - Accent2 3" xfId="5188" hidden="1" xr:uid="{00000000-0005-0000-0000-000080120000}"/>
    <cellStyle name="60% - Accent2 3" xfId="5229" hidden="1" xr:uid="{00000000-0005-0000-0000-000081120000}"/>
    <cellStyle name="60% - Accent2 3" xfId="5266" hidden="1" xr:uid="{00000000-0005-0000-0000-000082120000}"/>
    <cellStyle name="60% - Accent2 3" xfId="5299" hidden="1" xr:uid="{00000000-0005-0000-0000-000083120000}"/>
    <cellStyle name="60% - Accent2 3" xfId="5331" hidden="1" xr:uid="{00000000-0005-0000-0000-000084120000}"/>
    <cellStyle name="60% - Accent2 3" xfId="5363" hidden="1" xr:uid="{00000000-0005-0000-0000-000085120000}"/>
    <cellStyle name="60% - Accent2 3" xfId="5396" hidden="1" xr:uid="{00000000-0005-0000-0000-000086120000}"/>
    <cellStyle name="60% - Accent2 3" xfId="5428" hidden="1" xr:uid="{00000000-0005-0000-0000-000087120000}"/>
    <cellStyle name="60% - Accent2 3" xfId="5461" hidden="1" xr:uid="{00000000-0005-0000-0000-000088120000}"/>
    <cellStyle name="60% - Accent2 3" xfId="5493" hidden="1" xr:uid="{00000000-0005-0000-0000-000089120000}"/>
    <cellStyle name="60% - Accent2 3" xfId="5526" hidden="1" xr:uid="{00000000-0005-0000-0000-00008A120000}"/>
    <cellStyle name="60% - Accent2 3" xfId="5559" hidden="1" xr:uid="{00000000-0005-0000-0000-00008B120000}"/>
    <cellStyle name="60% - Accent2 3" xfId="5592" hidden="1" xr:uid="{00000000-0005-0000-0000-00008C120000}"/>
    <cellStyle name="60% - Accent2 3" xfId="5625" hidden="1" xr:uid="{00000000-0005-0000-0000-00008D120000}"/>
    <cellStyle name="60% - Accent2 3" xfId="5658" hidden="1" xr:uid="{00000000-0005-0000-0000-00008E120000}"/>
    <cellStyle name="60% - Accent2 3" xfId="5691" hidden="1" xr:uid="{00000000-0005-0000-0000-00008F120000}"/>
    <cellStyle name="60% - Accent2 3" xfId="5795" hidden="1" xr:uid="{00000000-0005-0000-0000-000090120000}"/>
    <cellStyle name="60% - Accent2 3" xfId="5832" hidden="1" xr:uid="{00000000-0005-0000-0000-000091120000}"/>
    <cellStyle name="60% - Accent2 3" xfId="5865" hidden="1" xr:uid="{00000000-0005-0000-0000-000092120000}"/>
    <cellStyle name="60% - Accent2 3" xfId="5897" hidden="1" xr:uid="{00000000-0005-0000-0000-000093120000}"/>
    <cellStyle name="60% - Accent2 3" xfId="5929" hidden="1" xr:uid="{00000000-0005-0000-0000-000094120000}"/>
    <cellStyle name="60% - Accent2 3" xfId="5962" hidden="1" xr:uid="{00000000-0005-0000-0000-000095120000}"/>
    <cellStyle name="60% - Accent2 3" xfId="5994" hidden="1" xr:uid="{00000000-0005-0000-0000-000096120000}"/>
    <cellStyle name="60% - Accent2 3" xfId="6027" hidden="1" xr:uid="{00000000-0005-0000-0000-000097120000}"/>
    <cellStyle name="60% - Accent2 3" xfId="6059" hidden="1" xr:uid="{00000000-0005-0000-0000-000098120000}"/>
    <cellStyle name="60% - Accent2 3" xfId="6092" hidden="1" xr:uid="{00000000-0005-0000-0000-000099120000}"/>
    <cellStyle name="60% - Accent2 3" xfId="6125" hidden="1" xr:uid="{00000000-0005-0000-0000-00009A120000}"/>
    <cellStyle name="60% - Accent2 3" xfId="6158" hidden="1" xr:uid="{00000000-0005-0000-0000-00009B120000}"/>
    <cellStyle name="60% - Accent2 3" xfId="6191" hidden="1" xr:uid="{00000000-0005-0000-0000-00009C120000}"/>
    <cellStyle name="60% - Accent2 3" xfId="6224" hidden="1" xr:uid="{00000000-0005-0000-0000-00009D120000}"/>
    <cellStyle name="60% - Accent2 3" xfId="6257" hidden="1" xr:uid="{00000000-0005-0000-0000-00009E120000}"/>
    <cellStyle name="60% - Accent2 3" xfId="6272" hidden="1" xr:uid="{00000000-0005-0000-0000-00009F120000}"/>
    <cellStyle name="60% - Accent2 3" xfId="6309" hidden="1" xr:uid="{00000000-0005-0000-0000-0000A0120000}"/>
    <cellStyle name="60% - Accent2 3" xfId="6342" hidden="1" xr:uid="{00000000-0005-0000-0000-0000A1120000}"/>
    <cellStyle name="60% - Accent2 3" xfId="6374" hidden="1" xr:uid="{00000000-0005-0000-0000-0000A2120000}"/>
    <cellStyle name="60% - Accent2 3" xfId="6406" hidden="1" xr:uid="{00000000-0005-0000-0000-0000A3120000}"/>
    <cellStyle name="60% - Accent2 3" xfId="6439" hidden="1" xr:uid="{00000000-0005-0000-0000-0000A4120000}"/>
    <cellStyle name="60% - Accent2 3" xfId="6471" hidden="1" xr:uid="{00000000-0005-0000-0000-0000A5120000}"/>
    <cellStyle name="60% - Accent2 3" xfId="6504" hidden="1" xr:uid="{00000000-0005-0000-0000-0000A6120000}"/>
    <cellStyle name="60% - Accent2 3" xfId="6536" hidden="1" xr:uid="{00000000-0005-0000-0000-0000A7120000}"/>
    <cellStyle name="60% - Accent2 3" xfId="6569" hidden="1" xr:uid="{00000000-0005-0000-0000-0000A8120000}"/>
    <cellStyle name="60% - Accent2 3" xfId="6602" hidden="1" xr:uid="{00000000-0005-0000-0000-0000A9120000}"/>
    <cellStyle name="60% - Accent2 3" xfId="6635" hidden="1" xr:uid="{00000000-0005-0000-0000-0000AA120000}"/>
    <cellStyle name="60% - Accent2 3" xfId="6668" hidden="1" xr:uid="{00000000-0005-0000-0000-0000AB120000}"/>
    <cellStyle name="60% - Accent2 3" xfId="6701" hidden="1" xr:uid="{00000000-0005-0000-0000-0000AC120000}"/>
    <cellStyle name="60% - Accent2 3" xfId="6734" hidden="1" xr:uid="{00000000-0005-0000-0000-0000AD120000}"/>
    <cellStyle name="60% - Accent2 3" xfId="6791" hidden="1" xr:uid="{00000000-0005-0000-0000-0000AE120000}"/>
    <cellStyle name="60% - Accent2 3" xfId="6828" hidden="1" xr:uid="{00000000-0005-0000-0000-0000AF120000}"/>
    <cellStyle name="60% - Accent2 3" xfId="6861" hidden="1" xr:uid="{00000000-0005-0000-0000-0000B0120000}"/>
    <cellStyle name="60% - Accent2 3" xfId="6893" hidden="1" xr:uid="{00000000-0005-0000-0000-0000B1120000}"/>
    <cellStyle name="60% - Accent2 3" xfId="6925" hidden="1" xr:uid="{00000000-0005-0000-0000-0000B2120000}"/>
    <cellStyle name="60% - Accent2 3" xfId="6958" hidden="1" xr:uid="{00000000-0005-0000-0000-0000B3120000}"/>
    <cellStyle name="60% - Accent2 3" xfId="6990" hidden="1" xr:uid="{00000000-0005-0000-0000-0000B4120000}"/>
    <cellStyle name="60% - Accent2 3" xfId="7023" hidden="1" xr:uid="{00000000-0005-0000-0000-0000B5120000}"/>
    <cellStyle name="60% - Accent2 3" xfId="7055" hidden="1" xr:uid="{00000000-0005-0000-0000-0000B6120000}"/>
    <cellStyle name="60% - Accent2 3" xfId="7088" hidden="1" xr:uid="{00000000-0005-0000-0000-0000B7120000}"/>
    <cellStyle name="60% - Accent2 3" xfId="7121" hidden="1" xr:uid="{00000000-0005-0000-0000-0000B8120000}"/>
    <cellStyle name="60% - Accent2 3" xfId="7154" hidden="1" xr:uid="{00000000-0005-0000-0000-0000B9120000}"/>
    <cellStyle name="60% - Accent2 3" xfId="7187" hidden="1" xr:uid="{00000000-0005-0000-0000-0000BA120000}"/>
    <cellStyle name="60% - Accent2 3" xfId="7220" hidden="1" xr:uid="{00000000-0005-0000-0000-0000BB120000}"/>
    <cellStyle name="60% - Accent2 3" xfId="7253" hidden="1" xr:uid="{00000000-0005-0000-0000-0000BC120000}"/>
    <cellStyle name="60% - Accent2 3" xfId="7304" hidden="1" xr:uid="{00000000-0005-0000-0000-0000BD120000}"/>
    <cellStyle name="60% - Accent2 3" xfId="7341" hidden="1" xr:uid="{00000000-0005-0000-0000-0000BE120000}"/>
    <cellStyle name="60% - Accent2 3" xfId="7374" hidden="1" xr:uid="{00000000-0005-0000-0000-0000BF120000}"/>
    <cellStyle name="60% - Accent2 3" xfId="7406" hidden="1" xr:uid="{00000000-0005-0000-0000-0000C0120000}"/>
    <cellStyle name="60% - Accent2 3" xfId="7438" hidden="1" xr:uid="{00000000-0005-0000-0000-0000C1120000}"/>
    <cellStyle name="60% - Accent2 3" xfId="7471" hidden="1" xr:uid="{00000000-0005-0000-0000-0000C2120000}"/>
    <cellStyle name="60% - Accent2 3" xfId="7503" hidden="1" xr:uid="{00000000-0005-0000-0000-0000C3120000}"/>
    <cellStyle name="60% - Accent2 3" xfId="7536" hidden="1" xr:uid="{00000000-0005-0000-0000-0000C4120000}"/>
    <cellStyle name="60% - Accent2 3" xfId="7568" hidden="1" xr:uid="{00000000-0005-0000-0000-0000C5120000}"/>
    <cellStyle name="60% - Accent2 3" xfId="7601" hidden="1" xr:uid="{00000000-0005-0000-0000-0000C6120000}"/>
    <cellStyle name="60% - Accent2 3" xfId="7634" hidden="1" xr:uid="{00000000-0005-0000-0000-0000C7120000}"/>
    <cellStyle name="60% - Accent2 3" xfId="7667" hidden="1" xr:uid="{00000000-0005-0000-0000-0000C8120000}"/>
    <cellStyle name="60% - Accent2 3" xfId="7700" hidden="1" xr:uid="{00000000-0005-0000-0000-0000C9120000}"/>
    <cellStyle name="60% - Accent2 3" xfId="7733" hidden="1" xr:uid="{00000000-0005-0000-0000-0000CA120000}"/>
    <cellStyle name="60% - Accent2 3" xfId="7766" hidden="1" xr:uid="{00000000-0005-0000-0000-0000CB120000}"/>
    <cellStyle name="60% - Accent2 3" xfId="7781" hidden="1" xr:uid="{00000000-0005-0000-0000-0000CC120000}"/>
    <cellStyle name="60% - Accent2 3" xfId="7818" hidden="1" xr:uid="{00000000-0005-0000-0000-0000CD120000}"/>
    <cellStyle name="60% - Accent2 3" xfId="7851" hidden="1" xr:uid="{00000000-0005-0000-0000-0000CE120000}"/>
    <cellStyle name="60% - Accent2 3" xfId="7883" hidden="1" xr:uid="{00000000-0005-0000-0000-0000CF120000}"/>
    <cellStyle name="60% - Accent2 3" xfId="7915" hidden="1" xr:uid="{00000000-0005-0000-0000-0000D0120000}"/>
    <cellStyle name="60% - Accent2 3" xfId="7948" hidden="1" xr:uid="{00000000-0005-0000-0000-0000D1120000}"/>
    <cellStyle name="60% - Accent2 3" xfId="7980" hidden="1" xr:uid="{00000000-0005-0000-0000-0000D2120000}"/>
    <cellStyle name="60% - Accent2 3" xfId="8013" hidden="1" xr:uid="{00000000-0005-0000-0000-0000D3120000}"/>
    <cellStyle name="60% - Accent2 3" xfId="8045" hidden="1" xr:uid="{00000000-0005-0000-0000-0000D4120000}"/>
    <cellStyle name="60% - Accent2 3" xfId="8078" hidden="1" xr:uid="{00000000-0005-0000-0000-0000D5120000}"/>
    <cellStyle name="60% - Accent2 3" xfId="8111" hidden="1" xr:uid="{00000000-0005-0000-0000-0000D6120000}"/>
    <cellStyle name="60% - Accent2 3" xfId="8144" hidden="1" xr:uid="{00000000-0005-0000-0000-0000D7120000}"/>
    <cellStyle name="60% - Accent2 3" xfId="8177" hidden="1" xr:uid="{00000000-0005-0000-0000-0000D8120000}"/>
    <cellStyle name="60% - Accent2 3" xfId="8210" hidden="1" xr:uid="{00000000-0005-0000-0000-0000D9120000}"/>
    <cellStyle name="60% - Accent2 3" xfId="8243" hidden="1" xr:uid="{00000000-0005-0000-0000-0000DA120000}"/>
    <cellStyle name="60% - Accent2 3" xfId="4350" hidden="1" xr:uid="{00000000-0005-0000-0000-0000DB120000}"/>
    <cellStyle name="60% - Accent2 3" xfId="5762" hidden="1" xr:uid="{00000000-0005-0000-0000-0000DC120000}"/>
    <cellStyle name="60% - Accent2 3" xfId="4320" hidden="1" xr:uid="{00000000-0005-0000-0000-0000DD120000}"/>
    <cellStyle name="60% - Accent2 3" xfId="4305" hidden="1" xr:uid="{00000000-0005-0000-0000-0000DE120000}"/>
    <cellStyle name="60% - Accent2 3" xfId="4290" hidden="1" xr:uid="{00000000-0005-0000-0000-0000DF120000}"/>
    <cellStyle name="60% - Accent2 3" xfId="6751" hidden="1" xr:uid="{00000000-0005-0000-0000-0000E0120000}"/>
    <cellStyle name="60% - Accent2 3" xfId="4243" hidden="1" xr:uid="{00000000-0005-0000-0000-0000E1120000}"/>
    <cellStyle name="60% - Accent2 3" xfId="8288" hidden="1" xr:uid="{00000000-0005-0000-0000-0000E2120000}"/>
    <cellStyle name="60% - Accent2 3" xfId="8321" hidden="1" xr:uid="{00000000-0005-0000-0000-0000E3120000}"/>
    <cellStyle name="60% - Accent2 3" xfId="8354" hidden="1" xr:uid="{00000000-0005-0000-0000-0000E4120000}"/>
    <cellStyle name="60% - Accent2 3" xfId="8387" hidden="1" xr:uid="{00000000-0005-0000-0000-0000E5120000}"/>
    <cellStyle name="60% - Accent2 3" xfId="8424" hidden="1" xr:uid="{00000000-0005-0000-0000-0000E6120000}"/>
    <cellStyle name="60% - Accent2 3" xfId="8457" hidden="1" xr:uid="{00000000-0005-0000-0000-0000E7120000}"/>
    <cellStyle name="60% - Accent2 3" xfId="8489" hidden="1" xr:uid="{00000000-0005-0000-0000-0000E8120000}"/>
    <cellStyle name="60% - Accent2 3" xfId="8521" hidden="1" xr:uid="{00000000-0005-0000-0000-0000E9120000}"/>
    <cellStyle name="60% - Accent2 3" xfId="8554" hidden="1" xr:uid="{00000000-0005-0000-0000-0000EA120000}"/>
    <cellStyle name="60% - Accent2 3" xfId="8586" hidden="1" xr:uid="{00000000-0005-0000-0000-0000EB120000}"/>
    <cellStyle name="60% - Accent2 3" xfId="8619" hidden="1" xr:uid="{00000000-0005-0000-0000-0000EC120000}"/>
    <cellStyle name="60% - Accent2 3" xfId="8651" hidden="1" xr:uid="{00000000-0005-0000-0000-0000ED120000}"/>
    <cellStyle name="60% - Accent2 3" xfId="8684" hidden="1" xr:uid="{00000000-0005-0000-0000-0000EE120000}"/>
    <cellStyle name="60% - Accent2 3" xfId="8717" hidden="1" xr:uid="{00000000-0005-0000-0000-0000EF120000}"/>
    <cellStyle name="60% - Accent2 3" xfId="8750" hidden="1" xr:uid="{00000000-0005-0000-0000-0000F0120000}"/>
    <cellStyle name="60% - Accent2 3" xfId="8783" hidden="1" xr:uid="{00000000-0005-0000-0000-0000F1120000}"/>
    <cellStyle name="60% - Accent2 3" xfId="8816" hidden="1" xr:uid="{00000000-0005-0000-0000-0000F2120000}"/>
    <cellStyle name="60% - Accent2 3" xfId="8849" hidden="1" xr:uid="{00000000-0005-0000-0000-0000F3120000}"/>
    <cellStyle name="60% - Accent2 3" xfId="8889" hidden="1" xr:uid="{00000000-0005-0000-0000-0000F4120000}"/>
    <cellStyle name="60% - Accent2 3" xfId="8926" hidden="1" xr:uid="{00000000-0005-0000-0000-0000F5120000}"/>
    <cellStyle name="60% - Accent2 3" xfId="8959" hidden="1" xr:uid="{00000000-0005-0000-0000-0000F6120000}"/>
    <cellStyle name="60% - Accent2 3" xfId="8991" hidden="1" xr:uid="{00000000-0005-0000-0000-0000F7120000}"/>
    <cellStyle name="60% - Accent2 3" xfId="9023" hidden="1" xr:uid="{00000000-0005-0000-0000-0000F8120000}"/>
    <cellStyle name="60% - Accent2 3" xfId="9056" hidden="1" xr:uid="{00000000-0005-0000-0000-0000F9120000}"/>
    <cellStyle name="60% - Accent2 3" xfId="9088" hidden="1" xr:uid="{00000000-0005-0000-0000-0000FA120000}"/>
    <cellStyle name="60% - Accent2 3" xfId="9121" hidden="1" xr:uid="{00000000-0005-0000-0000-0000FB120000}"/>
    <cellStyle name="60% - Accent2 3" xfId="9153" hidden="1" xr:uid="{00000000-0005-0000-0000-0000FC120000}"/>
    <cellStyle name="60% - Accent2 3" xfId="9186" hidden="1" xr:uid="{00000000-0005-0000-0000-0000FD120000}"/>
    <cellStyle name="60% - Accent2 3" xfId="9219" hidden="1" xr:uid="{00000000-0005-0000-0000-0000FE120000}"/>
    <cellStyle name="60% - Accent2 3" xfId="9252" hidden="1" xr:uid="{00000000-0005-0000-0000-0000FF120000}"/>
    <cellStyle name="60% - Accent2 3" xfId="9285" hidden="1" xr:uid="{00000000-0005-0000-0000-000000130000}"/>
    <cellStyle name="60% - Accent2 3" xfId="9318" hidden="1" xr:uid="{00000000-0005-0000-0000-000001130000}"/>
    <cellStyle name="60% - Accent2 3" xfId="9351" hidden="1" xr:uid="{00000000-0005-0000-0000-000002130000}"/>
    <cellStyle name="60% - Accent2 3" xfId="9402" hidden="1" xr:uid="{00000000-0005-0000-0000-000003130000}"/>
    <cellStyle name="60% - Accent2 3" xfId="9439" hidden="1" xr:uid="{00000000-0005-0000-0000-000004130000}"/>
    <cellStyle name="60% - Accent2 3" xfId="9472" hidden="1" xr:uid="{00000000-0005-0000-0000-000005130000}"/>
    <cellStyle name="60% - Accent2 3" xfId="9504" hidden="1" xr:uid="{00000000-0005-0000-0000-000006130000}"/>
    <cellStyle name="60% - Accent2 3" xfId="9536" hidden="1" xr:uid="{00000000-0005-0000-0000-000007130000}"/>
    <cellStyle name="60% - Accent2 3" xfId="9569" hidden="1" xr:uid="{00000000-0005-0000-0000-000008130000}"/>
    <cellStyle name="60% - Accent2 3" xfId="9601" hidden="1" xr:uid="{00000000-0005-0000-0000-000009130000}"/>
    <cellStyle name="60% - Accent2 3" xfId="9634" hidden="1" xr:uid="{00000000-0005-0000-0000-00000A130000}"/>
    <cellStyle name="60% - Accent2 3" xfId="9666" hidden="1" xr:uid="{00000000-0005-0000-0000-00000B130000}"/>
    <cellStyle name="60% - Accent2 3" xfId="9699" hidden="1" xr:uid="{00000000-0005-0000-0000-00000C130000}"/>
    <cellStyle name="60% - Accent2 3" xfId="9732" hidden="1" xr:uid="{00000000-0005-0000-0000-00000D130000}"/>
    <cellStyle name="60% - Accent2 3" xfId="9765" hidden="1" xr:uid="{00000000-0005-0000-0000-00000E130000}"/>
    <cellStyle name="60% - Accent2 3" xfId="9798" hidden="1" xr:uid="{00000000-0005-0000-0000-00000F130000}"/>
    <cellStyle name="60% - Accent2 3" xfId="9831" hidden="1" xr:uid="{00000000-0005-0000-0000-000010130000}"/>
    <cellStyle name="60% - Accent2 3" xfId="9864" hidden="1" xr:uid="{00000000-0005-0000-0000-000011130000}"/>
    <cellStyle name="60% - Accent2 3" xfId="9879" hidden="1" xr:uid="{00000000-0005-0000-0000-000012130000}"/>
    <cellStyle name="60% - Accent2 3" xfId="9916" hidden="1" xr:uid="{00000000-0005-0000-0000-000013130000}"/>
    <cellStyle name="60% - Accent2 3" xfId="9949" hidden="1" xr:uid="{00000000-0005-0000-0000-000014130000}"/>
    <cellStyle name="60% - Accent2 3" xfId="9981" hidden="1" xr:uid="{00000000-0005-0000-0000-000015130000}"/>
    <cellStyle name="60% - Accent2 3" xfId="10013" hidden="1" xr:uid="{00000000-0005-0000-0000-000016130000}"/>
    <cellStyle name="60% - Accent2 3" xfId="10046" hidden="1" xr:uid="{00000000-0005-0000-0000-000017130000}"/>
    <cellStyle name="60% - Accent2 3" xfId="10078" hidden="1" xr:uid="{00000000-0005-0000-0000-000018130000}"/>
    <cellStyle name="60% - Accent2 3" xfId="10111" hidden="1" xr:uid="{00000000-0005-0000-0000-000019130000}"/>
    <cellStyle name="60% - Accent2 3" xfId="10143" hidden="1" xr:uid="{00000000-0005-0000-0000-00001A130000}"/>
    <cellStyle name="60% - Accent2 3" xfId="10176" hidden="1" xr:uid="{00000000-0005-0000-0000-00001B130000}"/>
    <cellStyle name="60% - Accent2 3" xfId="10209" hidden="1" xr:uid="{00000000-0005-0000-0000-00001C130000}"/>
    <cellStyle name="60% - Accent2 3" xfId="10242" hidden="1" xr:uid="{00000000-0005-0000-0000-00001D130000}"/>
    <cellStyle name="60% - Accent2 3" xfId="10275" hidden="1" xr:uid="{00000000-0005-0000-0000-00001E130000}"/>
    <cellStyle name="60% - Accent2 3" xfId="10308" hidden="1" xr:uid="{00000000-0005-0000-0000-00001F130000}"/>
    <cellStyle name="60% - Accent2 3" xfId="10341" hidden="1" xr:uid="{00000000-0005-0000-0000-000020130000}"/>
    <cellStyle name="60% - Accent2 3" xfId="10367" hidden="1" xr:uid="{00000000-0005-0000-0000-000021130000}"/>
    <cellStyle name="60% - Accent2 3" xfId="10404" hidden="1" xr:uid="{00000000-0005-0000-0000-000022130000}"/>
    <cellStyle name="60% - Accent2 3" xfId="10437" hidden="1" xr:uid="{00000000-0005-0000-0000-000023130000}"/>
    <cellStyle name="60% - Accent2 3" xfId="10469" hidden="1" xr:uid="{00000000-0005-0000-0000-000024130000}"/>
    <cellStyle name="60% - Accent2 3" xfId="10501" hidden="1" xr:uid="{00000000-0005-0000-0000-000025130000}"/>
    <cellStyle name="60% - Accent2 3" xfId="10534" hidden="1" xr:uid="{00000000-0005-0000-0000-000026130000}"/>
    <cellStyle name="60% - Accent2 3" xfId="10566" hidden="1" xr:uid="{00000000-0005-0000-0000-000027130000}"/>
    <cellStyle name="60% - Accent2 3" xfId="10599" hidden="1" xr:uid="{00000000-0005-0000-0000-000028130000}"/>
    <cellStyle name="60% - Accent2 3" xfId="10631" hidden="1" xr:uid="{00000000-0005-0000-0000-000029130000}"/>
    <cellStyle name="60% - Accent2 3" xfId="10664" hidden="1" xr:uid="{00000000-0005-0000-0000-00002A130000}"/>
    <cellStyle name="60% - Accent2 3" xfId="10697" hidden="1" xr:uid="{00000000-0005-0000-0000-00002B130000}"/>
    <cellStyle name="60% - Accent2 3" xfId="10730" hidden="1" xr:uid="{00000000-0005-0000-0000-00002C130000}"/>
    <cellStyle name="60% - Accent2 3" xfId="10763" hidden="1" xr:uid="{00000000-0005-0000-0000-00002D130000}"/>
    <cellStyle name="60% - Accent2 3" xfId="10796" hidden="1" xr:uid="{00000000-0005-0000-0000-00002E130000}"/>
    <cellStyle name="60% - Accent2 3" xfId="10829" hidden="1" xr:uid="{00000000-0005-0000-0000-00002F130000}"/>
    <cellStyle name="60% - Accent2 3" xfId="10880" hidden="1" xr:uid="{00000000-0005-0000-0000-000030130000}"/>
    <cellStyle name="60% - Accent2 3" xfId="10917" hidden="1" xr:uid="{00000000-0005-0000-0000-000031130000}"/>
    <cellStyle name="60% - Accent2 3" xfId="10950" hidden="1" xr:uid="{00000000-0005-0000-0000-000032130000}"/>
    <cellStyle name="60% - Accent2 3" xfId="10982" hidden="1" xr:uid="{00000000-0005-0000-0000-000033130000}"/>
    <cellStyle name="60% - Accent2 3" xfId="11014" hidden="1" xr:uid="{00000000-0005-0000-0000-000034130000}"/>
    <cellStyle name="60% - Accent2 3" xfId="11047" hidden="1" xr:uid="{00000000-0005-0000-0000-000035130000}"/>
    <cellStyle name="60% - Accent2 3" xfId="11079" hidden="1" xr:uid="{00000000-0005-0000-0000-000036130000}"/>
    <cellStyle name="60% - Accent2 3" xfId="11112" hidden="1" xr:uid="{00000000-0005-0000-0000-000037130000}"/>
    <cellStyle name="60% - Accent2 3" xfId="11144" hidden="1" xr:uid="{00000000-0005-0000-0000-000038130000}"/>
    <cellStyle name="60% - Accent2 3" xfId="11177" hidden="1" xr:uid="{00000000-0005-0000-0000-000039130000}"/>
    <cellStyle name="60% - Accent2 3" xfId="11210" hidden="1" xr:uid="{00000000-0005-0000-0000-00003A130000}"/>
    <cellStyle name="60% - Accent2 3" xfId="11243" hidden="1" xr:uid="{00000000-0005-0000-0000-00003B130000}"/>
    <cellStyle name="60% - Accent2 3" xfId="11276" hidden="1" xr:uid="{00000000-0005-0000-0000-00003C130000}"/>
    <cellStyle name="60% - Accent2 3" xfId="11309" hidden="1" xr:uid="{00000000-0005-0000-0000-00003D130000}"/>
    <cellStyle name="60% - Accent2 3" xfId="11342" hidden="1" xr:uid="{00000000-0005-0000-0000-00003E130000}"/>
    <cellStyle name="60% - Accent2 3" xfId="11357" hidden="1" xr:uid="{00000000-0005-0000-0000-00003F130000}"/>
    <cellStyle name="60% - Accent2 3" xfId="11394" hidden="1" xr:uid="{00000000-0005-0000-0000-000040130000}"/>
    <cellStyle name="60% - Accent2 3" xfId="11427" hidden="1" xr:uid="{00000000-0005-0000-0000-000041130000}"/>
    <cellStyle name="60% - Accent2 3" xfId="11459" hidden="1" xr:uid="{00000000-0005-0000-0000-000042130000}"/>
    <cellStyle name="60% - Accent2 3" xfId="11491" hidden="1" xr:uid="{00000000-0005-0000-0000-000043130000}"/>
    <cellStyle name="60% - Accent2 3" xfId="11524" hidden="1" xr:uid="{00000000-0005-0000-0000-000044130000}"/>
    <cellStyle name="60% - Accent2 3" xfId="11556" hidden="1" xr:uid="{00000000-0005-0000-0000-000045130000}"/>
    <cellStyle name="60% - Accent2 3" xfId="11589" hidden="1" xr:uid="{00000000-0005-0000-0000-000046130000}"/>
    <cellStyle name="60% - Accent2 3" xfId="11621" hidden="1" xr:uid="{00000000-0005-0000-0000-000047130000}"/>
    <cellStyle name="60% - Accent2 3" xfId="11654" hidden="1" xr:uid="{00000000-0005-0000-0000-000048130000}"/>
    <cellStyle name="60% - Accent2 3" xfId="11687" hidden="1" xr:uid="{00000000-0005-0000-0000-000049130000}"/>
    <cellStyle name="60% - Accent2 3" xfId="11720" hidden="1" xr:uid="{00000000-0005-0000-0000-00004A130000}"/>
    <cellStyle name="60% - Accent2 3" xfId="11753" hidden="1" xr:uid="{00000000-0005-0000-0000-00004B130000}"/>
    <cellStyle name="60% - Accent2 3" xfId="11786" hidden="1" xr:uid="{00000000-0005-0000-0000-00004C130000}"/>
    <cellStyle name="60% - Accent2 3" xfId="11819" xr:uid="{00000000-0005-0000-0000-00004D130000}"/>
    <cellStyle name="60% - Accent3 2" xfId="69" xr:uid="{00000000-0005-0000-0000-00004E130000}"/>
    <cellStyle name="60% - Accent3 2 2" xfId="1587" xr:uid="{00000000-0005-0000-0000-00004F130000}"/>
    <cellStyle name="60% - Accent3 2 3" xfId="2724" xr:uid="{00000000-0005-0000-0000-000050130000}"/>
    <cellStyle name="60% - Accent3 3" xfId="222" hidden="1" xr:uid="{00000000-0005-0000-0000-000051130000}"/>
    <cellStyle name="60% - Accent3 3" xfId="241" hidden="1" xr:uid="{00000000-0005-0000-0000-000052130000}"/>
    <cellStyle name="60% - Accent3 3" xfId="274" hidden="1" xr:uid="{00000000-0005-0000-0000-000053130000}"/>
    <cellStyle name="60% - Accent3 3" xfId="307" hidden="1" xr:uid="{00000000-0005-0000-0000-000054130000}"/>
    <cellStyle name="60% - Accent3 3" xfId="340" hidden="1" xr:uid="{00000000-0005-0000-0000-000055130000}"/>
    <cellStyle name="60% - Accent3 3" xfId="374" hidden="1" xr:uid="{00000000-0005-0000-0000-000056130000}"/>
    <cellStyle name="60% - Accent3 3" xfId="407" hidden="1" xr:uid="{00000000-0005-0000-0000-000057130000}"/>
    <cellStyle name="60% - Accent3 3" xfId="440" hidden="1" xr:uid="{00000000-0005-0000-0000-000058130000}"/>
    <cellStyle name="60% - Accent3 3" xfId="473" hidden="1" xr:uid="{00000000-0005-0000-0000-000059130000}"/>
    <cellStyle name="60% - Accent3 3" xfId="506" hidden="1" xr:uid="{00000000-0005-0000-0000-00005A130000}"/>
    <cellStyle name="60% - Accent3 3" xfId="539" hidden="1" xr:uid="{00000000-0005-0000-0000-00005B130000}"/>
    <cellStyle name="60% - Accent3 3" xfId="572" hidden="1" xr:uid="{00000000-0005-0000-0000-00005C130000}"/>
    <cellStyle name="60% - Accent3 3" xfId="609" hidden="1" xr:uid="{00000000-0005-0000-0000-00005D130000}"/>
    <cellStyle name="60% - Accent3 3" xfId="642" hidden="1" xr:uid="{00000000-0005-0000-0000-00005E130000}"/>
    <cellStyle name="60% - Accent3 3" xfId="674" hidden="1" xr:uid="{00000000-0005-0000-0000-00005F130000}"/>
    <cellStyle name="60% - Accent3 3" xfId="706" hidden="1" xr:uid="{00000000-0005-0000-0000-000060130000}"/>
    <cellStyle name="60% - Accent3 3" xfId="739" hidden="1" xr:uid="{00000000-0005-0000-0000-000061130000}"/>
    <cellStyle name="60% - Accent3 3" xfId="771" hidden="1" xr:uid="{00000000-0005-0000-0000-000062130000}"/>
    <cellStyle name="60% - Accent3 3" xfId="804" hidden="1" xr:uid="{00000000-0005-0000-0000-000063130000}"/>
    <cellStyle name="60% - Accent3 3" xfId="836" hidden="1" xr:uid="{00000000-0005-0000-0000-000064130000}"/>
    <cellStyle name="60% - Accent3 3" xfId="869" hidden="1" xr:uid="{00000000-0005-0000-0000-000065130000}"/>
    <cellStyle name="60% - Accent3 3" xfId="902" hidden="1" xr:uid="{00000000-0005-0000-0000-000066130000}"/>
    <cellStyle name="60% - Accent3 3" xfId="935" hidden="1" xr:uid="{00000000-0005-0000-0000-000067130000}"/>
    <cellStyle name="60% - Accent3 3" xfId="968" hidden="1" xr:uid="{00000000-0005-0000-0000-000068130000}"/>
    <cellStyle name="60% - Accent3 3" xfId="1001" hidden="1" xr:uid="{00000000-0005-0000-0000-000069130000}"/>
    <cellStyle name="60% - Accent3 3" xfId="1034" hidden="1" xr:uid="{00000000-0005-0000-0000-00006A130000}"/>
    <cellStyle name="60% - Accent3 3" xfId="1077" hidden="1" xr:uid="{00000000-0005-0000-0000-00006B130000}"/>
    <cellStyle name="60% - Accent3 3" xfId="1115" hidden="1" xr:uid="{00000000-0005-0000-0000-00006C130000}"/>
    <cellStyle name="60% - Accent3 3" xfId="1148" hidden="1" xr:uid="{00000000-0005-0000-0000-00006D130000}"/>
    <cellStyle name="60% - Accent3 3" xfId="1180" hidden="1" xr:uid="{00000000-0005-0000-0000-00006E130000}"/>
    <cellStyle name="60% - Accent3 3" xfId="1212" hidden="1" xr:uid="{00000000-0005-0000-0000-00006F130000}"/>
    <cellStyle name="60% - Accent3 3" xfId="1245" hidden="1" xr:uid="{00000000-0005-0000-0000-000070130000}"/>
    <cellStyle name="60% - Accent3 3" xfId="1277" hidden="1" xr:uid="{00000000-0005-0000-0000-000071130000}"/>
    <cellStyle name="60% - Accent3 3" xfId="1310" hidden="1" xr:uid="{00000000-0005-0000-0000-000072130000}"/>
    <cellStyle name="60% - Accent3 3" xfId="1342" hidden="1" xr:uid="{00000000-0005-0000-0000-000073130000}"/>
    <cellStyle name="60% - Accent3 3" xfId="1375" hidden="1" xr:uid="{00000000-0005-0000-0000-000074130000}"/>
    <cellStyle name="60% - Accent3 3" xfId="1408" hidden="1" xr:uid="{00000000-0005-0000-0000-000075130000}"/>
    <cellStyle name="60% - Accent3 3" xfId="1441" hidden="1" xr:uid="{00000000-0005-0000-0000-000076130000}"/>
    <cellStyle name="60% - Accent3 3" xfId="1474" hidden="1" xr:uid="{00000000-0005-0000-0000-000077130000}"/>
    <cellStyle name="60% - Accent3 3" xfId="1507" hidden="1" xr:uid="{00000000-0005-0000-0000-000078130000}"/>
    <cellStyle name="60% - Accent3 3" xfId="1540" hidden="1" xr:uid="{00000000-0005-0000-0000-000079130000}"/>
    <cellStyle name="60% - Accent3 3" xfId="1754" hidden="1" xr:uid="{00000000-0005-0000-0000-00007A130000}"/>
    <cellStyle name="60% - Accent3 3" xfId="1791" hidden="1" xr:uid="{00000000-0005-0000-0000-00007B130000}"/>
    <cellStyle name="60% - Accent3 3" xfId="1824" hidden="1" xr:uid="{00000000-0005-0000-0000-00007C130000}"/>
    <cellStyle name="60% - Accent3 3" xfId="1856" hidden="1" xr:uid="{00000000-0005-0000-0000-00007D130000}"/>
    <cellStyle name="60% - Accent3 3" xfId="1888" hidden="1" xr:uid="{00000000-0005-0000-0000-00007E130000}"/>
    <cellStyle name="60% - Accent3 3" xfId="1921" hidden="1" xr:uid="{00000000-0005-0000-0000-00007F130000}"/>
    <cellStyle name="60% - Accent3 3" xfId="1953" hidden="1" xr:uid="{00000000-0005-0000-0000-000080130000}"/>
    <cellStyle name="60% - Accent3 3" xfId="1986" hidden="1" xr:uid="{00000000-0005-0000-0000-000081130000}"/>
    <cellStyle name="60% - Accent3 3" xfId="2018" hidden="1" xr:uid="{00000000-0005-0000-0000-000082130000}"/>
    <cellStyle name="60% - Accent3 3" xfId="2051" hidden="1" xr:uid="{00000000-0005-0000-0000-000083130000}"/>
    <cellStyle name="60% - Accent3 3" xfId="2084" hidden="1" xr:uid="{00000000-0005-0000-0000-000084130000}"/>
    <cellStyle name="60% - Accent3 3" xfId="2117" hidden="1" xr:uid="{00000000-0005-0000-0000-000085130000}"/>
    <cellStyle name="60% - Accent3 3" xfId="2150" hidden="1" xr:uid="{00000000-0005-0000-0000-000086130000}"/>
    <cellStyle name="60% - Accent3 3" xfId="2183" hidden="1" xr:uid="{00000000-0005-0000-0000-000087130000}"/>
    <cellStyle name="60% - Accent3 3" xfId="2216" hidden="1" xr:uid="{00000000-0005-0000-0000-000088130000}"/>
    <cellStyle name="60% - Accent3 3" xfId="1728" hidden="1" xr:uid="{00000000-0005-0000-0000-000089130000}"/>
    <cellStyle name="60% - Accent3 3" xfId="2268" hidden="1" xr:uid="{00000000-0005-0000-0000-00008A130000}"/>
    <cellStyle name="60% - Accent3 3" xfId="2301" hidden="1" xr:uid="{00000000-0005-0000-0000-00008B130000}"/>
    <cellStyle name="60% - Accent3 3" xfId="2333" hidden="1" xr:uid="{00000000-0005-0000-0000-00008C130000}"/>
    <cellStyle name="60% - Accent3 3" xfId="2365" hidden="1" xr:uid="{00000000-0005-0000-0000-00008D130000}"/>
    <cellStyle name="60% - Accent3 3" xfId="2398" hidden="1" xr:uid="{00000000-0005-0000-0000-00008E130000}"/>
    <cellStyle name="60% - Accent3 3" xfId="2430" hidden="1" xr:uid="{00000000-0005-0000-0000-00008F130000}"/>
    <cellStyle name="60% - Accent3 3" xfId="2463" hidden="1" xr:uid="{00000000-0005-0000-0000-000090130000}"/>
    <cellStyle name="60% - Accent3 3" xfId="2495" hidden="1" xr:uid="{00000000-0005-0000-0000-000091130000}"/>
    <cellStyle name="60% - Accent3 3" xfId="2528" hidden="1" xr:uid="{00000000-0005-0000-0000-000092130000}"/>
    <cellStyle name="60% - Accent3 3" xfId="2561" hidden="1" xr:uid="{00000000-0005-0000-0000-000093130000}"/>
    <cellStyle name="60% - Accent3 3" xfId="2594" hidden="1" xr:uid="{00000000-0005-0000-0000-000094130000}"/>
    <cellStyle name="60% - Accent3 3" xfId="2627" hidden="1" xr:uid="{00000000-0005-0000-0000-000095130000}"/>
    <cellStyle name="60% - Accent3 3" xfId="2660" hidden="1" xr:uid="{00000000-0005-0000-0000-000096130000}"/>
    <cellStyle name="60% - Accent3 3" xfId="2693" hidden="1" xr:uid="{00000000-0005-0000-0000-000097130000}"/>
    <cellStyle name="60% - Accent3 3" xfId="2774" hidden="1" xr:uid="{00000000-0005-0000-0000-000098130000}"/>
    <cellStyle name="60% - Accent3 3" xfId="2811" hidden="1" xr:uid="{00000000-0005-0000-0000-000099130000}"/>
    <cellStyle name="60% - Accent3 3" xfId="2844" hidden="1" xr:uid="{00000000-0005-0000-0000-00009A130000}"/>
    <cellStyle name="60% - Accent3 3" xfId="2876" hidden="1" xr:uid="{00000000-0005-0000-0000-00009B130000}"/>
    <cellStyle name="60% - Accent3 3" xfId="2908" hidden="1" xr:uid="{00000000-0005-0000-0000-00009C130000}"/>
    <cellStyle name="60% - Accent3 3" xfId="2941" hidden="1" xr:uid="{00000000-0005-0000-0000-00009D130000}"/>
    <cellStyle name="60% - Accent3 3" xfId="2973" hidden="1" xr:uid="{00000000-0005-0000-0000-00009E130000}"/>
    <cellStyle name="60% - Accent3 3" xfId="3006" hidden="1" xr:uid="{00000000-0005-0000-0000-00009F130000}"/>
    <cellStyle name="60% - Accent3 3" xfId="3038" hidden="1" xr:uid="{00000000-0005-0000-0000-0000A0130000}"/>
    <cellStyle name="60% - Accent3 3" xfId="3071" hidden="1" xr:uid="{00000000-0005-0000-0000-0000A1130000}"/>
    <cellStyle name="60% - Accent3 3" xfId="3104" hidden="1" xr:uid="{00000000-0005-0000-0000-0000A2130000}"/>
    <cellStyle name="60% - Accent3 3" xfId="3137" hidden="1" xr:uid="{00000000-0005-0000-0000-0000A3130000}"/>
    <cellStyle name="60% - Accent3 3" xfId="3170" hidden="1" xr:uid="{00000000-0005-0000-0000-0000A4130000}"/>
    <cellStyle name="60% - Accent3 3" xfId="3203" hidden="1" xr:uid="{00000000-0005-0000-0000-0000A5130000}"/>
    <cellStyle name="60% - Accent3 3" xfId="3236" hidden="1" xr:uid="{00000000-0005-0000-0000-0000A6130000}"/>
    <cellStyle name="60% - Accent3 3" xfId="3287" hidden="1" xr:uid="{00000000-0005-0000-0000-0000A7130000}"/>
    <cellStyle name="60% - Accent3 3" xfId="3324" hidden="1" xr:uid="{00000000-0005-0000-0000-0000A8130000}"/>
    <cellStyle name="60% - Accent3 3" xfId="3357" hidden="1" xr:uid="{00000000-0005-0000-0000-0000A9130000}"/>
    <cellStyle name="60% - Accent3 3" xfId="3389" hidden="1" xr:uid="{00000000-0005-0000-0000-0000AA130000}"/>
    <cellStyle name="60% - Accent3 3" xfId="3421" hidden="1" xr:uid="{00000000-0005-0000-0000-0000AB130000}"/>
    <cellStyle name="60% - Accent3 3" xfId="3454" hidden="1" xr:uid="{00000000-0005-0000-0000-0000AC130000}"/>
    <cellStyle name="60% - Accent3 3" xfId="3486" hidden="1" xr:uid="{00000000-0005-0000-0000-0000AD130000}"/>
    <cellStyle name="60% - Accent3 3" xfId="3519" hidden="1" xr:uid="{00000000-0005-0000-0000-0000AE130000}"/>
    <cellStyle name="60% - Accent3 3" xfId="3551" hidden="1" xr:uid="{00000000-0005-0000-0000-0000AF130000}"/>
    <cellStyle name="60% - Accent3 3" xfId="3584" hidden="1" xr:uid="{00000000-0005-0000-0000-0000B0130000}"/>
    <cellStyle name="60% - Accent3 3" xfId="3617" hidden="1" xr:uid="{00000000-0005-0000-0000-0000B1130000}"/>
    <cellStyle name="60% - Accent3 3" xfId="3650" hidden="1" xr:uid="{00000000-0005-0000-0000-0000B2130000}"/>
    <cellStyle name="60% - Accent3 3" xfId="3683" hidden="1" xr:uid="{00000000-0005-0000-0000-0000B3130000}"/>
    <cellStyle name="60% - Accent3 3" xfId="3716" hidden="1" xr:uid="{00000000-0005-0000-0000-0000B4130000}"/>
    <cellStyle name="60% - Accent3 3" xfId="3749" hidden="1" xr:uid="{00000000-0005-0000-0000-0000B5130000}"/>
    <cellStyle name="60% - Accent3 3" xfId="3261" hidden="1" xr:uid="{00000000-0005-0000-0000-0000B6130000}"/>
    <cellStyle name="60% - Accent3 3" xfId="3801" hidden="1" xr:uid="{00000000-0005-0000-0000-0000B7130000}"/>
    <cellStyle name="60% - Accent3 3" xfId="3834" hidden="1" xr:uid="{00000000-0005-0000-0000-0000B8130000}"/>
    <cellStyle name="60% - Accent3 3" xfId="3866" hidden="1" xr:uid="{00000000-0005-0000-0000-0000B9130000}"/>
    <cellStyle name="60% - Accent3 3" xfId="3898" hidden="1" xr:uid="{00000000-0005-0000-0000-0000BA130000}"/>
    <cellStyle name="60% - Accent3 3" xfId="3931" hidden="1" xr:uid="{00000000-0005-0000-0000-0000BB130000}"/>
    <cellStyle name="60% - Accent3 3" xfId="3963" hidden="1" xr:uid="{00000000-0005-0000-0000-0000BC130000}"/>
    <cellStyle name="60% - Accent3 3" xfId="3996" hidden="1" xr:uid="{00000000-0005-0000-0000-0000BD130000}"/>
    <cellStyle name="60% - Accent3 3" xfId="4028" hidden="1" xr:uid="{00000000-0005-0000-0000-0000BE130000}"/>
    <cellStyle name="60% - Accent3 3" xfId="4061" hidden="1" xr:uid="{00000000-0005-0000-0000-0000BF130000}"/>
    <cellStyle name="60% - Accent3 3" xfId="4094" hidden="1" xr:uid="{00000000-0005-0000-0000-0000C0130000}"/>
    <cellStyle name="60% - Accent3 3" xfId="4127" hidden="1" xr:uid="{00000000-0005-0000-0000-0000C1130000}"/>
    <cellStyle name="60% - Accent3 3" xfId="4160" hidden="1" xr:uid="{00000000-0005-0000-0000-0000C2130000}"/>
    <cellStyle name="60% - Accent3 3" xfId="4193" hidden="1" xr:uid="{00000000-0005-0000-0000-0000C3130000}"/>
    <cellStyle name="60% - Accent3 3" xfId="4226" hidden="1" xr:uid="{00000000-0005-0000-0000-0000C4130000}"/>
    <cellStyle name="60% - Accent3 3" xfId="4393" hidden="1" xr:uid="{00000000-0005-0000-0000-0000C5130000}"/>
    <cellStyle name="60% - Accent3 3" xfId="4426" hidden="1" xr:uid="{00000000-0005-0000-0000-0000C6130000}"/>
    <cellStyle name="60% - Accent3 3" xfId="4459" hidden="1" xr:uid="{00000000-0005-0000-0000-0000C7130000}"/>
    <cellStyle name="60% - Accent3 3" xfId="4492" hidden="1" xr:uid="{00000000-0005-0000-0000-0000C8130000}"/>
    <cellStyle name="60% - Accent3 3" xfId="4525" hidden="1" xr:uid="{00000000-0005-0000-0000-0000C9130000}"/>
    <cellStyle name="60% - Accent3 3" xfId="4558" hidden="1" xr:uid="{00000000-0005-0000-0000-0000CA130000}"/>
    <cellStyle name="60% - Accent3 3" xfId="4591" hidden="1" xr:uid="{00000000-0005-0000-0000-0000CB130000}"/>
    <cellStyle name="60% - Accent3 3" xfId="4624" hidden="1" xr:uid="{00000000-0005-0000-0000-0000CC130000}"/>
    <cellStyle name="60% - Accent3 3" xfId="4657" hidden="1" xr:uid="{00000000-0005-0000-0000-0000CD130000}"/>
    <cellStyle name="60% - Accent3 3" xfId="4690" hidden="1" xr:uid="{00000000-0005-0000-0000-0000CE130000}"/>
    <cellStyle name="60% - Accent3 3" xfId="4723" hidden="1" xr:uid="{00000000-0005-0000-0000-0000CF130000}"/>
    <cellStyle name="60% - Accent3 3" xfId="4760" hidden="1" xr:uid="{00000000-0005-0000-0000-0000D0130000}"/>
    <cellStyle name="60% - Accent3 3" xfId="4793" hidden="1" xr:uid="{00000000-0005-0000-0000-0000D1130000}"/>
    <cellStyle name="60% - Accent3 3" xfId="4825" hidden="1" xr:uid="{00000000-0005-0000-0000-0000D2130000}"/>
    <cellStyle name="60% - Accent3 3" xfId="4857" hidden="1" xr:uid="{00000000-0005-0000-0000-0000D3130000}"/>
    <cellStyle name="60% - Accent3 3" xfId="4890" hidden="1" xr:uid="{00000000-0005-0000-0000-0000D4130000}"/>
    <cellStyle name="60% - Accent3 3" xfId="4922" hidden="1" xr:uid="{00000000-0005-0000-0000-0000D5130000}"/>
    <cellStyle name="60% - Accent3 3" xfId="4955" hidden="1" xr:uid="{00000000-0005-0000-0000-0000D6130000}"/>
    <cellStyle name="60% - Accent3 3" xfId="4987" hidden="1" xr:uid="{00000000-0005-0000-0000-0000D7130000}"/>
    <cellStyle name="60% - Accent3 3" xfId="5020" hidden="1" xr:uid="{00000000-0005-0000-0000-0000D8130000}"/>
    <cellStyle name="60% - Accent3 3" xfId="5053" hidden="1" xr:uid="{00000000-0005-0000-0000-0000D9130000}"/>
    <cellStyle name="60% - Accent3 3" xfId="5086" hidden="1" xr:uid="{00000000-0005-0000-0000-0000DA130000}"/>
    <cellStyle name="60% - Accent3 3" xfId="5119" hidden="1" xr:uid="{00000000-0005-0000-0000-0000DB130000}"/>
    <cellStyle name="60% - Accent3 3" xfId="5152" hidden="1" xr:uid="{00000000-0005-0000-0000-0000DC130000}"/>
    <cellStyle name="60% - Accent3 3" xfId="5185" hidden="1" xr:uid="{00000000-0005-0000-0000-0000DD130000}"/>
    <cellStyle name="60% - Accent3 3" xfId="5226" hidden="1" xr:uid="{00000000-0005-0000-0000-0000DE130000}"/>
    <cellStyle name="60% - Accent3 3" xfId="5263" hidden="1" xr:uid="{00000000-0005-0000-0000-0000DF130000}"/>
    <cellStyle name="60% - Accent3 3" xfId="5296" hidden="1" xr:uid="{00000000-0005-0000-0000-0000E0130000}"/>
    <cellStyle name="60% - Accent3 3" xfId="5328" hidden="1" xr:uid="{00000000-0005-0000-0000-0000E1130000}"/>
    <cellStyle name="60% - Accent3 3" xfId="5360" hidden="1" xr:uid="{00000000-0005-0000-0000-0000E2130000}"/>
    <cellStyle name="60% - Accent3 3" xfId="5393" hidden="1" xr:uid="{00000000-0005-0000-0000-0000E3130000}"/>
    <cellStyle name="60% - Accent3 3" xfId="5425" hidden="1" xr:uid="{00000000-0005-0000-0000-0000E4130000}"/>
    <cellStyle name="60% - Accent3 3" xfId="5458" hidden="1" xr:uid="{00000000-0005-0000-0000-0000E5130000}"/>
    <cellStyle name="60% - Accent3 3" xfId="5490" hidden="1" xr:uid="{00000000-0005-0000-0000-0000E6130000}"/>
    <cellStyle name="60% - Accent3 3" xfId="5523" hidden="1" xr:uid="{00000000-0005-0000-0000-0000E7130000}"/>
    <cellStyle name="60% - Accent3 3" xfId="5556" hidden="1" xr:uid="{00000000-0005-0000-0000-0000E8130000}"/>
    <cellStyle name="60% - Accent3 3" xfId="5589" hidden="1" xr:uid="{00000000-0005-0000-0000-0000E9130000}"/>
    <cellStyle name="60% - Accent3 3" xfId="5622" hidden="1" xr:uid="{00000000-0005-0000-0000-0000EA130000}"/>
    <cellStyle name="60% - Accent3 3" xfId="5655" hidden="1" xr:uid="{00000000-0005-0000-0000-0000EB130000}"/>
    <cellStyle name="60% - Accent3 3" xfId="5688" hidden="1" xr:uid="{00000000-0005-0000-0000-0000EC130000}"/>
    <cellStyle name="60% - Accent3 3" xfId="5792" hidden="1" xr:uid="{00000000-0005-0000-0000-0000ED130000}"/>
    <cellStyle name="60% - Accent3 3" xfId="5829" hidden="1" xr:uid="{00000000-0005-0000-0000-0000EE130000}"/>
    <cellStyle name="60% - Accent3 3" xfId="5862" hidden="1" xr:uid="{00000000-0005-0000-0000-0000EF130000}"/>
    <cellStyle name="60% - Accent3 3" xfId="5894" hidden="1" xr:uid="{00000000-0005-0000-0000-0000F0130000}"/>
    <cellStyle name="60% - Accent3 3" xfId="5926" hidden="1" xr:uid="{00000000-0005-0000-0000-0000F1130000}"/>
    <cellStyle name="60% - Accent3 3" xfId="5959" hidden="1" xr:uid="{00000000-0005-0000-0000-0000F2130000}"/>
    <cellStyle name="60% - Accent3 3" xfId="5991" hidden="1" xr:uid="{00000000-0005-0000-0000-0000F3130000}"/>
    <cellStyle name="60% - Accent3 3" xfId="6024" hidden="1" xr:uid="{00000000-0005-0000-0000-0000F4130000}"/>
    <cellStyle name="60% - Accent3 3" xfId="6056" hidden="1" xr:uid="{00000000-0005-0000-0000-0000F5130000}"/>
    <cellStyle name="60% - Accent3 3" xfId="6089" hidden="1" xr:uid="{00000000-0005-0000-0000-0000F6130000}"/>
    <cellStyle name="60% - Accent3 3" xfId="6122" hidden="1" xr:uid="{00000000-0005-0000-0000-0000F7130000}"/>
    <cellStyle name="60% - Accent3 3" xfId="6155" hidden="1" xr:uid="{00000000-0005-0000-0000-0000F8130000}"/>
    <cellStyle name="60% - Accent3 3" xfId="6188" hidden="1" xr:uid="{00000000-0005-0000-0000-0000F9130000}"/>
    <cellStyle name="60% - Accent3 3" xfId="6221" hidden="1" xr:uid="{00000000-0005-0000-0000-0000FA130000}"/>
    <cellStyle name="60% - Accent3 3" xfId="6254" hidden="1" xr:uid="{00000000-0005-0000-0000-0000FB130000}"/>
    <cellStyle name="60% - Accent3 3" xfId="5766" hidden="1" xr:uid="{00000000-0005-0000-0000-0000FC130000}"/>
    <cellStyle name="60% - Accent3 3" xfId="6306" hidden="1" xr:uid="{00000000-0005-0000-0000-0000FD130000}"/>
    <cellStyle name="60% - Accent3 3" xfId="6339" hidden="1" xr:uid="{00000000-0005-0000-0000-0000FE130000}"/>
    <cellStyle name="60% - Accent3 3" xfId="6371" hidden="1" xr:uid="{00000000-0005-0000-0000-0000FF130000}"/>
    <cellStyle name="60% - Accent3 3" xfId="6403" hidden="1" xr:uid="{00000000-0005-0000-0000-000000140000}"/>
    <cellStyle name="60% - Accent3 3" xfId="6436" hidden="1" xr:uid="{00000000-0005-0000-0000-000001140000}"/>
    <cellStyle name="60% - Accent3 3" xfId="6468" hidden="1" xr:uid="{00000000-0005-0000-0000-000002140000}"/>
    <cellStyle name="60% - Accent3 3" xfId="6501" hidden="1" xr:uid="{00000000-0005-0000-0000-000003140000}"/>
    <cellStyle name="60% - Accent3 3" xfId="6533" hidden="1" xr:uid="{00000000-0005-0000-0000-000004140000}"/>
    <cellStyle name="60% - Accent3 3" xfId="6566" hidden="1" xr:uid="{00000000-0005-0000-0000-000005140000}"/>
    <cellStyle name="60% - Accent3 3" xfId="6599" hidden="1" xr:uid="{00000000-0005-0000-0000-000006140000}"/>
    <cellStyle name="60% - Accent3 3" xfId="6632" hidden="1" xr:uid="{00000000-0005-0000-0000-000007140000}"/>
    <cellStyle name="60% - Accent3 3" xfId="6665" hidden="1" xr:uid="{00000000-0005-0000-0000-000008140000}"/>
    <cellStyle name="60% - Accent3 3" xfId="6698" hidden="1" xr:uid="{00000000-0005-0000-0000-000009140000}"/>
    <cellStyle name="60% - Accent3 3" xfId="6731" hidden="1" xr:uid="{00000000-0005-0000-0000-00000A140000}"/>
    <cellStyle name="60% - Accent3 3" xfId="6788" hidden="1" xr:uid="{00000000-0005-0000-0000-00000B140000}"/>
    <cellStyle name="60% - Accent3 3" xfId="6825" hidden="1" xr:uid="{00000000-0005-0000-0000-00000C140000}"/>
    <cellStyle name="60% - Accent3 3" xfId="6858" hidden="1" xr:uid="{00000000-0005-0000-0000-00000D140000}"/>
    <cellStyle name="60% - Accent3 3" xfId="6890" hidden="1" xr:uid="{00000000-0005-0000-0000-00000E140000}"/>
    <cellStyle name="60% - Accent3 3" xfId="6922" hidden="1" xr:uid="{00000000-0005-0000-0000-00000F140000}"/>
    <cellStyle name="60% - Accent3 3" xfId="6955" hidden="1" xr:uid="{00000000-0005-0000-0000-000010140000}"/>
    <cellStyle name="60% - Accent3 3" xfId="6987" hidden="1" xr:uid="{00000000-0005-0000-0000-000011140000}"/>
    <cellStyle name="60% - Accent3 3" xfId="7020" hidden="1" xr:uid="{00000000-0005-0000-0000-000012140000}"/>
    <cellStyle name="60% - Accent3 3" xfId="7052" hidden="1" xr:uid="{00000000-0005-0000-0000-000013140000}"/>
    <cellStyle name="60% - Accent3 3" xfId="7085" hidden="1" xr:uid="{00000000-0005-0000-0000-000014140000}"/>
    <cellStyle name="60% - Accent3 3" xfId="7118" hidden="1" xr:uid="{00000000-0005-0000-0000-000015140000}"/>
    <cellStyle name="60% - Accent3 3" xfId="7151" hidden="1" xr:uid="{00000000-0005-0000-0000-000016140000}"/>
    <cellStyle name="60% - Accent3 3" xfId="7184" hidden="1" xr:uid="{00000000-0005-0000-0000-000017140000}"/>
    <cellStyle name="60% - Accent3 3" xfId="7217" hidden="1" xr:uid="{00000000-0005-0000-0000-000018140000}"/>
    <cellStyle name="60% - Accent3 3" xfId="7250" hidden="1" xr:uid="{00000000-0005-0000-0000-000019140000}"/>
    <cellStyle name="60% - Accent3 3" xfId="7301" hidden="1" xr:uid="{00000000-0005-0000-0000-00001A140000}"/>
    <cellStyle name="60% - Accent3 3" xfId="7338" hidden="1" xr:uid="{00000000-0005-0000-0000-00001B140000}"/>
    <cellStyle name="60% - Accent3 3" xfId="7371" hidden="1" xr:uid="{00000000-0005-0000-0000-00001C140000}"/>
    <cellStyle name="60% - Accent3 3" xfId="7403" hidden="1" xr:uid="{00000000-0005-0000-0000-00001D140000}"/>
    <cellStyle name="60% - Accent3 3" xfId="7435" hidden="1" xr:uid="{00000000-0005-0000-0000-00001E140000}"/>
    <cellStyle name="60% - Accent3 3" xfId="7468" hidden="1" xr:uid="{00000000-0005-0000-0000-00001F140000}"/>
    <cellStyle name="60% - Accent3 3" xfId="7500" hidden="1" xr:uid="{00000000-0005-0000-0000-000020140000}"/>
    <cellStyle name="60% - Accent3 3" xfId="7533" hidden="1" xr:uid="{00000000-0005-0000-0000-000021140000}"/>
    <cellStyle name="60% - Accent3 3" xfId="7565" hidden="1" xr:uid="{00000000-0005-0000-0000-000022140000}"/>
    <cellStyle name="60% - Accent3 3" xfId="7598" hidden="1" xr:uid="{00000000-0005-0000-0000-000023140000}"/>
    <cellStyle name="60% - Accent3 3" xfId="7631" hidden="1" xr:uid="{00000000-0005-0000-0000-000024140000}"/>
    <cellStyle name="60% - Accent3 3" xfId="7664" hidden="1" xr:uid="{00000000-0005-0000-0000-000025140000}"/>
    <cellStyle name="60% - Accent3 3" xfId="7697" hidden="1" xr:uid="{00000000-0005-0000-0000-000026140000}"/>
    <cellStyle name="60% - Accent3 3" xfId="7730" hidden="1" xr:uid="{00000000-0005-0000-0000-000027140000}"/>
    <cellStyle name="60% - Accent3 3" xfId="7763" hidden="1" xr:uid="{00000000-0005-0000-0000-000028140000}"/>
    <cellStyle name="60% - Accent3 3" xfId="7275" hidden="1" xr:uid="{00000000-0005-0000-0000-000029140000}"/>
    <cellStyle name="60% - Accent3 3" xfId="7815" hidden="1" xr:uid="{00000000-0005-0000-0000-00002A140000}"/>
    <cellStyle name="60% - Accent3 3" xfId="7848" hidden="1" xr:uid="{00000000-0005-0000-0000-00002B140000}"/>
    <cellStyle name="60% - Accent3 3" xfId="7880" hidden="1" xr:uid="{00000000-0005-0000-0000-00002C140000}"/>
    <cellStyle name="60% - Accent3 3" xfId="7912" hidden="1" xr:uid="{00000000-0005-0000-0000-00002D140000}"/>
    <cellStyle name="60% - Accent3 3" xfId="7945" hidden="1" xr:uid="{00000000-0005-0000-0000-00002E140000}"/>
    <cellStyle name="60% - Accent3 3" xfId="7977" hidden="1" xr:uid="{00000000-0005-0000-0000-00002F140000}"/>
    <cellStyle name="60% - Accent3 3" xfId="8010" hidden="1" xr:uid="{00000000-0005-0000-0000-000030140000}"/>
    <cellStyle name="60% - Accent3 3" xfId="8042" hidden="1" xr:uid="{00000000-0005-0000-0000-000031140000}"/>
    <cellStyle name="60% - Accent3 3" xfId="8075" hidden="1" xr:uid="{00000000-0005-0000-0000-000032140000}"/>
    <cellStyle name="60% - Accent3 3" xfId="8108" hidden="1" xr:uid="{00000000-0005-0000-0000-000033140000}"/>
    <cellStyle name="60% - Accent3 3" xfId="8141" hidden="1" xr:uid="{00000000-0005-0000-0000-000034140000}"/>
    <cellStyle name="60% - Accent3 3" xfId="8174" hidden="1" xr:uid="{00000000-0005-0000-0000-000035140000}"/>
    <cellStyle name="60% - Accent3 3" xfId="8207" hidden="1" xr:uid="{00000000-0005-0000-0000-000036140000}"/>
    <cellStyle name="60% - Accent3 3" xfId="8240" hidden="1" xr:uid="{00000000-0005-0000-0000-000037140000}"/>
    <cellStyle name="60% - Accent3 3" xfId="5765" hidden="1" xr:uid="{00000000-0005-0000-0000-000038140000}"/>
    <cellStyle name="60% - Accent3 3" xfId="4335" hidden="1" xr:uid="{00000000-0005-0000-0000-000039140000}"/>
    <cellStyle name="60% - Accent3 3" xfId="4321" hidden="1" xr:uid="{00000000-0005-0000-0000-00003A140000}"/>
    <cellStyle name="60% - Accent3 3" xfId="4308" hidden="1" xr:uid="{00000000-0005-0000-0000-00003B140000}"/>
    <cellStyle name="60% - Accent3 3" xfId="6754" hidden="1" xr:uid="{00000000-0005-0000-0000-00003C140000}"/>
    <cellStyle name="60% - Accent3 3" xfId="5720" hidden="1" xr:uid="{00000000-0005-0000-0000-00003D140000}"/>
    <cellStyle name="60% - Accent3 3" xfId="4246" hidden="1" xr:uid="{00000000-0005-0000-0000-00003E140000}"/>
    <cellStyle name="60% - Accent3 3" xfId="8285" hidden="1" xr:uid="{00000000-0005-0000-0000-00003F140000}"/>
    <cellStyle name="60% - Accent3 3" xfId="8318" hidden="1" xr:uid="{00000000-0005-0000-0000-000040140000}"/>
    <cellStyle name="60% - Accent3 3" xfId="8351" hidden="1" xr:uid="{00000000-0005-0000-0000-000041140000}"/>
    <cellStyle name="60% - Accent3 3" xfId="8384" hidden="1" xr:uid="{00000000-0005-0000-0000-000042140000}"/>
    <cellStyle name="60% - Accent3 3" xfId="8421" hidden="1" xr:uid="{00000000-0005-0000-0000-000043140000}"/>
    <cellStyle name="60% - Accent3 3" xfId="8454" hidden="1" xr:uid="{00000000-0005-0000-0000-000044140000}"/>
    <cellStyle name="60% - Accent3 3" xfId="8486" hidden="1" xr:uid="{00000000-0005-0000-0000-000045140000}"/>
    <cellStyle name="60% - Accent3 3" xfId="8518" hidden="1" xr:uid="{00000000-0005-0000-0000-000046140000}"/>
    <cellStyle name="60% - Accent3 3" xfId="8551" hidden="1" xr:uid="{00000000-0005-0000-0000-000047140000}"/>
    <cellStyle name="60% - Accent3 3" xfId="8583" hidden="1" xr:uid="{00000000-0005-0000-0000-000048140000}"/>
    <cellStyle name="60% - Accent3 3" xfId="8616" hidden="1" xr:uid="{00000000-0005-0000-0000-000049140000}"/>
    <cellStyle name="60% - Accent3 3" xfId="8648" hidden="1" xr:uid="{00000000-0005-0000-0000-00004A140000}"/>
    <cellStyle name="60% - Accent3 3" xfId="8681" hidden="1" xr:uid="{00000000-0005-0000-0000-00004B140000}"/>
    <cellStyle name="60% - Accent3 3" xfId="8714" hidden="1" xr:uid="{00000000-0005-0000-0000-00004C140000}"/>
    <cellStyle name="60% - Accent3 3" xfId="8747" hidden="1" xr:uid="{00000000-0005-0000-0000-00004D140000}"/>
    <cellStyle name="60% - Accent3 3" xfId="8780" hidden="1" xr:uid="{00000000-0005-0000-0000-00004E140000}"/>
    <cellStyle name="60% - Accent3 3" xfId="8813" hidden="1" xr:uid="{00000000-0005-0000-0000-00004F140000}"/>
    <cellStyle name="60% - Accent3 3" xfId="8846" hidden="1" xr:uid="{00000000-0005-0000-0000-000050140000}"/>
    <cellStyle name="60% - Accent3 3" xfId="8886" hidden="1" xr:uid="{00000000-0005-0000-0000-000051140000}"/>
    <cellStyle name="60% - Accent3 3" xfId="8923" hidden="1" xr:uid="{00000000-0005-0000-0000-000052140000}"/>
    <cellStyle name="60% - Accent3 3" xfId="8956" hidden="1" xr:uid="{00000000-0005-0000-0000-000053140000}"/>
    <cellStyle name="60% - Accent3 3" xfId="8988" hidden="1" xr:uid="{00000000-0005-0000-0000-000054140000}"/>
    <cellStyle name="60% - Accent3 3" xfId="9020" hidden="1" xr:uid="{00000000-0005-0000-0000-000055140000}"/>
    <cellStyle name="60% - Accent3 3" xfId="9053" hidden="1" xr:uid="{00000000-0005-0000-0000-000056140000}"/>
    <cellStyle name="60% - Accent3 3" xfId="9085" hidden="1" xr:uid="{00000000-0005-0000-0000-000057140000}"/>
    <cellStyle name="60% - Accent3 3" xfId="9118" hidden="1" xr:uid="{00000000-0005-0000-0000-000058140000}"/>
    <cellStyle name="60% - Accent3 3" xfId="9150" hidden="1" xr:uid="{00000000-0005-0000-0000-000059140000}"/>
    <cellStyle name="60% - Accent3 3" xfId="9183" hidden="1" xr:uid="{00000000-0005-0000-0000-00005A140000}"/>
    <cellStyle name="60% - Accent3 3" xfId="9216" hidden="1" xr:uid="{00000000-0005-0000-0000-00005B140000}"/>
    <cellStyle name="60% - Accent3 3" xfId="9249" hidden="1" xr:uid="{00000000-0005-0000-0000-00005C140000}"/>
    <cellStyle name="60% - Accent3 3" xfId="9282" hidden="1" xr:uid="{00000000-0005-0000-0000-00005D140000}"/>
    <cellStyle name="60% - Accent3 3" xfId="9315" hidden="1" xr:uid="{00000000-0005-0000-0000-00005E140000}"/>
    <cellStyle name="60% - Accent3 3" xfId="9348" hidden="1" xr:uid="{00000000-0005-0000-0000-00005F140000}"/>
    <cellStyle name="60% - Accent3 3" xfId="9399" hidden="1" xr:uid="{00000000-0005-0000-0000-000060140000}"/>
    <cellStyle name="60% - Accent3 3" xfId="9436" hidden="1" xr:uid="{00000000-0005-0000-0000-000061140000}"/>
    <cellStyle name="60% - Accent3 3" xfId="9469" hidden="1" xr:uid="{00000000-0005-0000-0000-000062140000}"/>
    <cellStyle name="60% - Accent3 3" xfId="9501" hidden="1" xr:uid="{00000000-0005-0000-0000-000063140000}"/>
    <cellStyle name="60% - Accent3 3" xfId="9533" hidden="1" xr:uid="{00000000-0005-0000-0000-000064140000}"/>
    <cellStyle name="60% - Accent3 3" xfId="9566" hidden="1" xr:uid="{00000000-0005-0000-0000-000065140000}"/>
    <cellStyle name="60% - Accent3 3" xfId="9598" hidden="1" xr:uid="{00000000-0005-0000-0000-000066140000}"/>
    <cellStyle name="60% - Accent3 3" xfId="9631" hidden="1" xr:uid="{00000000-0005-0000-0000-000067140000}"/>
    <cellStyle name="60% - Accent3 3" xfId="9663" hidden="1" xr:uid="{00000000-0005-0000-0000-000068140000}"/>
    <cellStyle name="60% - Accent3 3" xfId="9696" hidden="1" xr:uid="{00000000-0005-0000-0000-000069140000}"/>
    <cellStyle name="60% - Accent3 3" xfId="9729" hidden="1" xr:uid="{00000000-0005-0000-0000-00006A140000}"/>
    <cellStyle name="60% - Accent3 3" xfId="9762" hidden="1" xr:uid="{00000000-0005-0000-0000-00006B140000}"/>
    <cellStyle name="60% - Accent3 3" xfId="9795" hidden="1" xr:uid="{00000000-0005-0000-0000-00006C140000}"/>
    <cellStyle name="60% - Accent3 3" xfId="9828" hidden="1" xr:uid="{00000000-0005-0000-0000-00006D140000}"/>
    <cellStyle name="60% - Accent3 3" xfId="9861" hidden="1" xr:uid="{00000000-0005-0000-0000-00006E140000}"/>
    <cellStyle name="60% - Accent3 3" xfId="9373" hidden="1" xr:uid="{00000000-0005-0000-0000-00006F140000}"/>
    <cellStyle name="60% - Accent3 3" xfId="9913" hidden="1" xr:uid="{00000000-0005-0000-0000-000070140000}"/>
    <cellStyle name="60% - Accent3 3" xfId="9946" hidden="1" xr:uid="{00000000-0005-0000-0000-000071140000}"/>
    <cellStyle name="60% - Accent3 3" xfId="9978" hidden="1" xr:uid="{00000000-0005-0000-0000-000072140000}"/>
    <cellStyle name="60% - Accent3 3" xfId="10010" hidden="1" xr:uid="{00000000-0005-0000-0000-000073140000}"/>
    <cellStyle name="60% - Accent3 3" xfId="10043" hidden="1" xr:uid="{00000000-0005-0000-0000-000074140000}"/>
    <cellStyle name="60% - Accent3 3" xfId="10075" hidden="1" xr:uid="{00000000-0005-0000-0000-000075140000}"/>
    <cellStyle name="60% - Accent3 3" xfId="10108" hidden="1" xr:uid="{00000000-0005-0000-0000-000076140000}"/>
    <cellStyle name="60% - Accent3 3" xfId="10140" hidden="1" xr:uid="{00000000-0005-0000-0000-000077140000}"/>
    <cellStyle name="60% - Accent3 3" xfId="10173" hidden="1" xr:uid="{00000000-0005-0000-0000-000078140000}"/>
    <cellStyle name="60% - Accent3 3" xfId="10206" hidden="1" xr:uid="{00000000-0005-0000-0000-000079140000}"/>
    <cellStyle name="60% - Accent3 3" xfId="10239" hidden="1" xr:uid="{00000000-0005-0000-0000-00007A140000}"/>
    <cellStyle name="60% - Accent3 3" xfId="10272" hidden="1" xr:uid="{00000000-0005-0000-0000-00007B140000}"/>
    <cellStyle name="60% - Accent3 3" xfId="10305" hidden="1" xr:uid="{00000000-0005-0000-0000-00007C140000}"/>
    <cellStyle name="60% - Accent3 3" xfId="10338" hidden="1" xr:uid="{00000000-0005-0000-0000-00007D140000}"/>
    <cellStyle name="60% - Accent3 3" xfId="10364" hidden="1" xr:uid="{00000000-0005-0000-0000-00007E140000}"/>
    <cellStyle name="60% - Accent3 3" xfId="10401" hidden="1" xr:uid="{00000000-0005-0000-0000-00007F140000}"/>
    <cellStyle name="60% - Accent3 3" xfId="10434" hidden="1" xr:uid="{00000000-0005-0000-0000-000080140000}"/>
    <cellStyle name="60% - Accent3 3" xfId="10466" hidden="1" xr:uid="{00000000-0005-0000-0000-000081140000}"/>
    <cellStyle name="60% - Accent3 3" xfId="10498" hidden="1" xr:uid="{00000000-0005-0000-0000-000082140000}"/>
    <cellStyle name="60% - Accent3 3" xfId="10531" hidden="1" xr:uid="{00000000-0005-0000-0000-000083140000}"/>
    <cellStyle name="60% - Accent3 3" xfId="10563" hidden="1" xr:uid="{00000000-0005-0000-0000-000084140000}"/>
    <cellStyle name="60% - Accent3 3" xfId="10596" hidden="1" xr:uid="{00000000-0005-0000-0000-000085140000}"/>
    <cellStyle name="60% - Accent3 3" xfId="10628" hidden="1" xr:uid="{00000000-0005-0000-0000-000086140000}"/>
    <cellStyle name="60% - Accent3 3" xfId="10661" hidden="1" xr:uid="{00000000-0005-0000-0000-000087140000}"/>
    <cellStyle name="60% - Accent3 3" xfId="10694" hidden="1" xr:uid="{00000000-0005-0000-0000-000088140000}"/>
    <cellStyle name="60% - Accent3 3" xfId="10727" hidden="1" xr:uid="{00000000-0005-0000-0000-000089140000}"/>
    <cellStyle name="60% - Accent3 3" xfId="10760" hidden="1" xr:uid="{00000000-0005-0000-0000-00008A140000}"/>
    <cellStyle name="60% - Accent3 3" xfId="10793" hidden="1" xr:uid="{00000000-0005-0000-0000-00008B140000}"/>
    <cellStyle name="60% - Accent3 3" xfId="10826" hidden="1" xr:uid="{00000000-0005-0000-0000-00008C140000}"/>
    <cellStyle name="60% - Accent3 3" xfId="10877" hidden="1" xr:uid="{00000000-0005-0000-0000-00008D140000}"/>
    <cellStyle name="60% - Accent3 3" xfId="10914" hidden="1" xr:uid="{00000000-0005-0000-0000-00008E140000}"/>
    <cellStyle name="60% - Accent3 3" xfId="10947" hidden="1" xr:uid="{00000000-0005-0000-0000-00008F140000}"/>
    <cellStyle name="60% - Accent3 3" xfId="10979" hidden="1" xr:uid="{00000000-0005-0000-0000-000090140000}"/>
    <cellStyle name="60% - Accent3 3" xfId="11011" hidden="1" xr:uid="{00000000-0005-0000-0000-000091140000}"/>
    <cellStyle name="60% - Accent3 3" xfId="11044" hidden="1" xr:uid="{00000000-0005-0000-0000-000092140000}"/>
    <cellStyle name="60% - Accent3 3" xfId="11076" hidden="1" xr:uid="{00000000-0005-0000-0000-000093140000}"/>
    <cellStyle name="60% - Accent3 3" xfId="11109" hidden="1" xr:uid="{00000000-0005-0000-0000-000094140000}"/>
    <cellStyle name="60% - Accent3 3" xfId="11141" hidden="1" xr:uid="{00000000-0005-0000-0000-000095140000}"/>
    <cellStyle name="60% - Accent3 3" xfId="11174" hidden="1" xr:uid="{00000000-0005-0000-0000-000096140000}"/>
    <cellStyle name="60% - Accent3 3" xfId="11207" hidden="1" xr:uid="{00000000-0005-0000-0000-000097140000}"/>
    <cellStyle name="60% - Accent3 3" xfId="11240" hidden="1" xr:uid="{00000000-0005-0000-0000-000098140000}"/>
    <cellStyle name="60% - Accent3 3" xfId="11273" hidden="1" xr:uid="{00000000-0005-0000-0000-000099140000}"/>
    <cellStyle name="60% - Accent3 3" xfId="11306" hidden="1" xr:uid="{00000000-0005-0000-0000-00009A140000}"/>
    <cellStyle name="60% - Accent3 3" xfId="11339" hidden="1" xr:uid="{00000000-0005-0000-0000-00009B140000}"/>
    <cellStyle name="60% - Accent3 3" xfId="10851" hidden="1" xr:uid="{00000000-0005-0000-0000-00009C140000}"/>
    <cellStyle name="60% - Accent3 3" xfId="11391" hidden="1" xr:uid="{00000000-0005-0000-0000-00009D140000}"/>
    <cellStyle name="60% - Accent3 3" xfId="11424" hidden="1" xr:uid="{00000000-0005-0000-0000-00009E140000}"/>
    <cellStyle name="60% - Accent3 3" xfId="11456" hidden="1" xr:uid="{00000000-0005-0000-0000-00009F140000}"/>
    <cellStyle name="60% - Accent3 3" xfId="11488" hidden="1" xr:uid="{00000000-0005-0000-0000-0000A0140000}"/>
    <cellStyle name="60% - Accent3 3" xfId="11521" hidden="1" xr:uid="{00000000-0005-0000-0000-0000A1140000}"/>
    <cellStyle name="60% - Accent3 3" xfId="11553" hidden="1" xr:uid="{00000000-0005-0000-0000-0000A2140000}"/>
    <cellStyle name="60% - Accent3 3" xfId="11586" hidden="1" xr:uid="{00000000-0005-0000-0000-0000A3140000}"/>
    <cellStyle name="60% - Accent3 3" xfId="11618" hidden="1" xr:uid="{00000000-0005-0000-0000-0000A4140000}"/>
    <cellStyle name="60% - Accent3 3" xfId="11651" hidden="1" xr:uid="{00000000-0005-0000-0000-0000A5140000}"/>
    <cellStyle name="60% - Accent3 3" xfId="11684" hidden="1" xr:uid="{00000000-0005-0000-0000-0000A6140000}"/>
    <cellStyle name="60% - Accent3 3" xfId="11717" hidden="1" xr:uid="{00000000-0005-0000-0000-0000A7140000}"/>
    <cellStyle name="60% - Accent3 3" xfId="11750" hidden="1" xr:uid="{00000000-0005-0000-0000-0000A8140000}"/>
    <cellStyle name="60% - Accent3 3" xfId="11783" hidden="1" xr:uid="{00000000-0005-0000-0000-0000A9140000}"/>
    <cellStyle name="60% - Accent3 3" xfId="11816" xr:uid="{00000000-0005-0000-0000-0000AA140000}"/>
    <cellStyle name="60% - Accent4 2" xfId="70" xr:uid="{00000000-0005-0000-0000-0000AB140000}"/>
    <cellStyle name="60% - Accent4 2 2" xfId="1588" xr:uid="{00000000-0005-0000-0000-0000AC140000}"/>
    <cellStyle name="60% - Accent4 2 3" xfId="2725" xr:uid="{00000000-0005-0000-0000-0000AD140000}"/>
    <cellStyle name="60% - Accent4 3" xfId="225" hidden="1" xr:uid="{00000000-0005-0000-0000-0000AE140000}"/>
    <cellStyle name="60% - Accent4 3" xfId="238" hidden="1" xr:uid="{00000000-0005-0000-0000-0000AF140000}"/>
    <cellStyle name="60% - Accent4 3" xfId="271" hidden="1" xr:uid="{00000000-0005-0000-0000-0000B0140000}"/>
    <cellStyle name="60% - Accent4 3" xfId="304" hidden="1" xr:uid="{00000000-0005-0000-0000-0000B1140000}"/>
    <cellStyle name="60% - Accent4 3" xfId="337" hidden="1" xr:uid="{00000000-0005-0000-0000-0000B2140000}"/>
    <cellStyle name="60% - Accent4 3" xfId="371" hidden="1" xr:uid="{00000000-0005-0000-0000-0000B3140000}"/>
    <cellStyle name="60% - Accent4 3" xfId="404" hidden="1" xr:uid="{00000000-0005-0000-0000-0000B4140000}"/>
    <cellStyle name="60% - Accent4 3" xfId="437" hidden="1" xr:uid="{00000000-0005-0000-0000-0000B5140000}"/>
    <cellStyle name="60% - Accent4 3" xfId="470" hidden="1" xr:uid="{00000000-0005-0000-0000-0000B6140000}"/>
    <cellStyle name="60% - Accent4 3" xfId="503" hidden="1" xr:uid="{00000000-0005-0000-0000-0000B7140000}"/>
    <cellStyle name="60% - Accent4 3" xfId="536" hidden="1" xr:uid="{00000000-0005-0000-0000-0000B8140000}"/>
    <cellStyle name="60% - Accent4 3" xfId="569" hidden="1" xr:uid="{00000000-0005-0000-0000-0000B9140000}"/>
    <cellStyle name="60% - Accent4 3" xfId="606" hidden="1" xr:uid="{00000000-0005-0000-0000-0000BA140000}"/>
    <cellStyle name="60% - Accent4 3" xfId="639" hidden="1" xr:uid="{00000000-0005-0000-0000-0000BB140000}"/>
    <cellStyle name="60% - Accent4 3" xfId="671" hidden="1" xr:uid="{00000000-0005-0000-0000-0000BC140000}"/>
    <cellStyle name="60% - Accent4 3" xfId="703" hidden="1" xr:uid="{00000000-0005-0000-0000-0000BD140000}"/>
    <cellStyle name="60% - Accent4 3" xfId="736" hidden="1" xr:uid="{00000000-0005-0000-0000-0000BE140000}"/>
    <cellStyle name="60% - Accent4 3" xfId="768" hidden="1" xr:uid="{00000000-0005-0000-0000-0000BF140000}"/>
    <cellStyle name="60% - Accent4 3" xfId="801" hidden="1" xr:uid="{00000000-0005-0000-0000-0000C0140000}"/>
    <cellStyle name="60% - Accent4 3" xfId="833" hidden="1" xr:uid="{00000000-0005-0000-0000-0000C1140000}"/>
    <cellStyle name="60% - Accent4 3" xfId="866" hidden="1" xr:uid="{00000000-0005-0000-0000-0000C2140000}"/>
    <cellStyle name="60% - Accent4 3" xfId="899" hidden="1" xr:uid="{00000000-0005-0000-0000-0000C3140000}"/>
    <cellStyle name="60% - Accent4 3" xfId="932" hidden="1" xr:uid="{00000000-0005-0000-0000-0000C4140000}"/>
    <cellStyle name="60% - Accent4 3" xfId="965" hidden="1" xr:uid="{00000000-0005-0000-0000-0000C5140000}"/>
    <cellStyle name="60% - Accent4 3" xfId="998" hidden="1" xr:uid="{00000000-0005-0000-0000-0000C6140000}"/>
    <cellStyle name="60% - Accent4 3" xfId="1031" hidden="1" xr:uid="{00000000-0005-0000-0000-0000C7140000}"/>
    <cellStyle name="60% - Accent4 3" xfId="1074" hidden="1" xr:uid="{00000000-0005-0000-0000-0000C8140000}"/>
    <cellStyle name="60% - Accent4 3" xfId="1112" hidden="1" xr:uid="{00000000-0005-0000-0000-0000C9140000}"/>
    <cellStyle name="60% - Accent4 3" xfId="1145" hidden="1" xr:uid="{00000000-0005-0000-0000-0000CA140000}"/>
    <cellStyle name="60% - Accent4 3" xfId="1177" hidden="1" xr:uid="{00000000-0005-0000-0000-0000CB140000}"/>
    <cellStyle name="60% - Accent4 3" xfId="1209" hidden="1" xr:uid="{00000000-0005-0000-0000-0000CC140000}"/>
    <cellStyle name="60% - Accent4 3" xfId="1242" hidden="1" xr:uid="{00000000-0005-0000-0000-0000CD140000}"/>
    <cellStyle name="60% - Accent4 3" xfId="1274" hidden="1" xr:uid="{00000000-0005-0000-0000-0000CE140000}"/>
    <cellStyle name="60% - Accent4 3" xfId="1307" hidden="1" xr:uid="{00000000-0005-0000-0000-0000CF140000}"/>
    <cellStyle name="60% - Accent4 3" xfId="1339" hidden="1" xr:uid="{00000000-0005-0000-0000-0000D0140000}"/>
    <cellStyle name="60% - Accent4 3" xfId="1372" hidden="1" xr:uid="{00000000-0005-0000-0000-0000D1140000}"/>
    <cellStyle name="60% - Accent4 3" xfId="1405" hidden="1" xr:uid="{00000000-0005-0000-0000-0000D2140000}"/>
    <cellStyle name="60% - Accent4 3" xfId="1438" hidden="1" xr:uid="{00000000-0005-0000-0000-0000D3140000}"/>
    <cellStyle name="60% - Accent4 3" xfId="1471" hidden="1" xr:uid="{00000000-0005-0000-0000-0000D4140000}"/>
    <cellStyle name="60% - Accent4 3" xfId="1504" hidden="1" xr:uid="{00000000-0005-0000-0000-0000D5140000}"/>
    <cellStyle name="60% - Accent4 3" xfId="1537" hidden="1" xr:uid="{00000000-0005-0000-0000-0000D6140000}"/>
    <cellStyle name="60% - Accent4 3" xfId="1751" hidden="1" xr:uid="{00000000-0005-0000-0000-0000D7140000}"/>
    <cellStyle name="60% - Accent4 3" xfId="1788" hidden="1" xr:uid="{00000000-0005-0000-0000-0000D8140000}"/>
    <cellStyle name="60% - Accent4 3" xfId="1821" hidden="1" xr:uid="{00000000-0005-0000-0000-0000D9140000}"/>
    <cellStyle name="60% - Accent4 3" xfId="1853" hidden="1" xr:uid="{00000000-0005-0000-0000-0000DA140000}"/>
    <cellStyle name="60% - Accent4 3" xfId="1885" hidden="1" xr:uid="{00000000-0005-0000-0000-0000DB140000}"/>
    <cellStyle name="60% - Accent4 3" xfId="1918" hidden="1" xr:uid="{00000000-0005-0000-0000-0000DC140000}"/>
    <cellStyle name="60% - Accent4 3" xfId="1950" hidden="1" xr:uid="{00000000-0005-0000-0000-0000DD140000}"/>
    <cellStyle name="60% - Accent4 3" xfId="1983" hidden="1" xr:uid="{00000000-0005-0000-0000-0000DE140000}"/>
    <cellStyle name="60% - Accent4 3" xfId="2015" hidden="1" xr:uid="{00000000-0005-0000-0000-0000DF140000}"/>
    <cellStyle name="60% - Accent4 3" xfId="2048" hidden="1" xr:uid="{00000000-0005-0000-0000-0000E0140000}"/>
    <cellStyle name="60% - Accent4 3" xfId="2081" hidden="1" xr:uid="{00000000-0005-0000-0000-0000E1140000}"/>
    <cellStyle name="60% - Accent4 3" xfId="2114" hidden="1" xr:uid="{00000000-0005-0000-0000-0000E2140000}"/>
    <cellStyle name="60% - Accent4 3" xfId="2147" hidden="1" xr:uid="{00000000-0005-0000-0000-0000E3140000}"/>
    <cellStyle name="60% - Accent4 3" xfId="2180" hidden="1" xr:uid="{00000000-0005-0000-0000-0000E4140000}"/>
    <cellStyle name="60% - Accent4 3" xfId="2213" hidden="1" xr:uid="{00000000-0005-0000-0000-0000E5140000}"/>
    <cellStyle name="60% - Accent4 3" xfId="1731" hidden="1" xr:uid="{00000000-0005-0000-0000-0000E6140000}"/>
    <cellStyle name="60% - Accent4 3" xfId="2265" hidden="1" xr:uid="{00000000-0005-0000-0000-0000E7140000}"/>
    <cellStyle name="60% - Accent4 3" xfId="2298" hidden="1" xr:uid="{00000000-0005-0000-0000-0000E8140000}"/>
    <cellStyle name="60% - Accent4 3" xfId="2330" hidden="1" xr:uid="{00000000-0005-0000-0000-0000E9140000}"/>
    <cellStyle name="60% - Accent4 3" xfId="2362" hidden="1" xr:uid="{00000000-0005-0000-0000-0000EA140000}"/>
    <cellStyle name="60% - Accent4 3" xfId="2395" hidden="1" xr:uid="{00000000-0005-0000-0000-0000EB140000}"/>
    <cellStyle name="60% - Accent4 3" xfId="2427" hidden="1" xr:uid="{00000000-0005-0000-0000-0000EC140000}"/>
    <cellStyle name="60% - Accent4 3" xfId="2460" hidden="1" xr:uid="{00000000-0005-0000-0000-0000ED140000}"/>
    <cellStyle name="60% - Accent4 3" xfId="2492" hidden="1" xr:uid="{00000000-0005-0000-0000-0000EE140000}"/>
    <cellStyle name="60% - Accent4 3" xfId="2525" hidden="1" xr:uid="{00000000-0005-0000-0000-0000EF140000}"/>
    <cellStyle name="60% - Accent4 3" xfId="2558" hidden="1" xr:uid="{00000000-0005-0000-0000-0000F0140000}"/>
    <cellStyle name="60% - Accent4 3" xfId="2591" hidden="1" xr:uid="{00000000-0005-0000-0000-0000F1140000}"/>
    <cellStyle name="60% - Accent4 3" xfId="2624" hidden="1" xr:uid="{00000000-0005-0000-0000-0000F2140000}"/>
    <cellStyle name="60% - Accent4 3" xfId="2657" hidden="1" xr:uid="{00000000-0005-0000-0000-0000F3140000}"/>
    <cellStyle name="60% - Accent4 3" xfId="2690" hidden="1" xr:uid="{00000000-0005-0000-0000-0000F4140000}"/>
    <cellStyle name="60% - Accent4 3" xfId="2771" hidden="1" xr:uid="{00000000-0005-0000-0000-0000F5140000}"/>
    <cellStyle name="60% - Accent4 3" xfId="2808" hidden="1" xr:uid="{00000000-0005-0000-0000-0000F6140000}"/>
    <cellStyle name="60% - Accent4 3" xfId="2841" hidden="1" xr:uid="{00000000-0005-0000-0000-0000F7140000}"/>
    <cellStyle name="60% - Accent4 3" xfId="2873" hidden="1" xr:uid="{00000000-0005-0000-0000-0000F8140000}"/>
    <cellStyle name="60% - Accent4 3" xfId="2905" hidden="1" xr:uid="{00000000-0005-0000-0000-0000F9140000}"/>
    <cellStyle name="60% - Accent4 3" xfId="2938" hidden="1" xr:uid="{00000000-0005-0000-0000-0000FA140000}"/>
    <cellStyle name="60% - Accent4 3" xfId="2970" hidden="1" xr:uid="{00000000-0005-0000-0000-0000FB140000}"/>
    <cellStyle name="60% - Accent4 3" xfId="3003" hidden="1" xr:uid="{00000000-0005-0000-0000-0000FC140000}"/>
    <cellStyle name="60% - Accent4 3" xfId="3035" hidden="1" xr:uid="{00000000-0005-0000-0000-0000FD140000}"/>
    <cellStyle name="60% - Accent4 3" xfId="3068" hidden="1" xr:uid="{00000000-0005-0000-0000-0000FE140000}"/>
    <cellStyle name="60% - Accent4 3" xfId="3101" hidden="1" xr:uid="{00000000-0005-0000-0000-0000FF140000}"/>
    <cellStyle name="60% - Accent4 3" xfId="3134" hidden="1" xr:uid="{00000000-0005-0000-0000-000000150000}"/>
    <cellStyle name="60% - Accent4 3" xfId="3167" hidden="1" xr:uid="{00000000-0005-0000-0000-000001150000}"/>
    <cellStyle name="60% - Accent4 3" xfId="3200" hidden="1" xr:uid="{00000000-0005-0000-0000-000002150000}"/>
    <cellStyle name="60% - Accent4 3" xfId="3233" hidden="1" xr:uid="{00000000-0005-0000-0000-000003150000}"/>
    <cellStyle name="60% - Accent4 3" xfId="3284" hidden="1" xr:uid="{00000000-0005-0000-0000-000004150000}"/>
    <cellStyle name="60% - Accent4 3" xfId="3321" hidden="1" xr:uid="{00000000-0005-0000-0000-000005150000}"/>
    <cellStyle name="60% - Accent4 3" xfId="3354" hidden="1" xr:uid="{00000000-0005-0000-0000-000006150000}"/>
    <cellStyle name="60% - Accent4 3" xfId="3386" hidden="1" xr:uid="{00000000-0005-0000-0000-000007150000}"/>
    <cellStyle name="60% - Accent4 3" xfId="3418" hidden="1" xr:uid="{00000000-0005-0000-0000-000008150000}"/>
    <cellStyle name="60% - Accent4 3" xfId="3451" hidden="1" xr:uid="{00000000-0005-0000-0000-000009150000}"/>
    <cellStyle name="60% - Accent4 3" xfId="3483" hidden="1" xr:uid="{00000000-0005-0000-0000-00000A150000}"/>
    <cellStyle name="60% - Accent4 3" xfId="3516" hidden="1" xr:uid="{00000000-0005-0000-0000-00000B150000}"/>
    <cellStyle name="60% - Accent4 3" xfId="3548" hidden="1" xr:uid="{00000000-0005-0000-0000-00000C150000}"/>
    <cellStyle name="60% - Accent4 3" xfId="3581" hidden="1" xr:uid="{00000000-0005-0000-0000-00000D150000}"/>
    <cellStyle name="60% - Accent4 3" xfId="3614" hidden="1" xr:uid="{00000000-0005-0000-0000-00000E150000}"/>
    <cellStyle name="60% - Accent4 3" xfId="3647" hidden="1" xr:uid="{00000000-0005-0000-0000-00000F150000}"/>
    <cellStyle name="60% - Accent4 3" xfId="3680" hidden="1" xr:uid="{00000000-0005-0000-0000-000010150000}"/>
    <cellStyle name="60% - Accent4 3" xfId="3713" hidden="1" xr:uid="{00000000-0005-0000-0000-000011150000}"/>
    <cellStyle name="60% - Accent4 3" xfId="3746" hidden="1" xr:uid="{00000000-0005-0000-0000-000012150000}"/>
    <cellStyle name="60% - Accent4 3" xfId="3264" hidden="1" xr:uid="{00000000-0005-0000-0000-000013150000}"/>
    <cellStyle name="60% - Accent4 3" xfId="3798" hidden="1" xr:uid="{00000000-0005-0000-0000-000014150000}"/>
    <cellStyle name="60% - Accent4 3" xfId="3831" hidden="1" xr:uid="{00000000-0005-0000-0000-000015150000}"/>
    <cellStyle name="60% - Accent4 3" xfId="3863" hidden="1" xr:uid="{00000000-0005-0000-0000-000016150000}"/>
    <cellStyle name="60% - Accent4 3" xfId="3895" hidden="1" xr:uid="{00000000-0005-0000-0000-000017150000}"/>
    <cellStyle name="60% - Accent4 3" xfId="3928" hidden="1" xr:uid="{00000000-0005-0000-0000-000018150000}"/>
    <cellStyle name="60% - Accent4 3" xfId="3960" hidden="1" xr:uid="{00000000-0005-0000-0000-000019150000}"/>
    <cellStyle name="60% - Accent4 3" xfId="3993" hidden="1" xr:uid="{00000000-0005-0000-0000-00001A150000}"/>
    <cellStyle name="60% - Accent4 3" xfId="4025" hidden="1" xr:uid="{00000000-0005-0000-0000-00001B150000}"/>
    <cellStyle name="60% - Accent4 3" xfId="4058" hidden="1" xr:uid="{00000000-0005-0000-0000-00001C150000}"/>
    <cellStyle name="60% - Accent4 3" xfId="4091" hidden="1" xr:uid="{00000000-0005-0000-0000-00001D150000}"/>
    <cellStyle name="60% - Accent4 3" xfId="4124" hidden="1" xr:uid="{00000000-0005-0000-0000-00001E150000}"/>
    <cellStyle name="60% - Accent4 3" xfId="4157" hidden="1" xr:uid="{00000000-0005-0000-0000-00001F150000}"/>
    <cellStyle name="60% - Accent4 3" xfId="4190" hidden="1" xr:uid="{00000000-0005-0000-0000-000020150000}"/>
    <cellStyle name="60% - Accent4 3" xfId="4223" hidden="1" xr:uid="{00000000-0005-0000-0000-000021150000}"/>
    <cellStyle name="60% - Accent4 3" xfId="4390" hidden="1" xr:uid="{00000000-0005-0000-0000-000022150000}"/>
    <cellStyle name="60% - Accent4 3" xfId="4423" hidden="1" xr:uid="{00000000-0005-0000-0000-000023150000}"/>
    <cellStyle name="60% - Accent4 3" xfId="4456" hidden="1" xr:uid="{00000000-0005-0000-0000-000024150000}"/>
    <cellStyle name="60% - Accent4 3" xfId="4489" hidden="1" xr:uid="{00000000-0005-0000-0000-000025150000}"/>
    <cellStyle name="60% - Accent4 3" xfId="4522" hidden="1" xr:uid="{00000000-0005-0000-0000-000026150000}"/>
    <cellStyle name="60% - Accent4 3" xfId="4555" hidden="1" xr:uid="{00000000-0005-0000-0000-000027150000}"/>
    <cellStyle name="60% - Accent4 3" xfId="4588" hidden="1" xr:uid="{00000000-0005-0000-0000-000028150000}"/>
    <cellStyle name="60% - Accent4 3" xfId="4621" hidden="1" xr:uid="{00000000-0005-0000-0000-000029150000}"/>
    <cellStyle name="60% - Accent4 3" xfId="4654" hidden="1" xr:uid="{00000000-0005-0000-0000-00002A150000}"/>
    <cellStyle name="60% - Accent4 3" xfId="4687" hidden="1" xr:uid="{00000000-0005-0000-0000-00002B150000}"/>
    <cellStyle name="60% - Accent4 3" xfId="4720" hidden="1" xr:uid="{00000000-0005-0000-0000-00002C150000}"/>
    <cellStyle name="60% - Accent4 3" xfId="4757" hidden="1" xr:uid="{00000000-0005-0000-0000-00002D150000}"/>
    <cellStyle name="60% - Accent4 3" xfId="4790" hidden="1" xr:uid="{00000000-0005-0000-0000-00002E150000}"/>
    <cellStyle name="60% - Accent4 3" xfId="4822" hidden="1" xr:uid="{00000000-0005-0000-0000-00002F150000}"/>
    <cellStyle name="60% - Accent4 3" xfId="4854" hidden="1" xr:uid="{00000000-0005-0000-0000-000030150000}"/>
    <cellStyle name="60% - Accent4 3" xfId="4887" hidden="1" xr:uid="{00000000-0005-0000-0000-000031150000}"/>
    <cellStyle name="60% - Accent4 3" xfId="4919" hidden="1" xr:uid="{00000000-0005-0000-0000-000032150000}"/>
    <cellStyle name="60% - Accent4 3" xfId="4952" hidden="1" xr:uid="{00000000-0005-0000-0000-000033150000}"/>
    <cellStyle name="60% - Accent4 3" xfId="4984" hidden="1" xr:uid="{00000000-0005-0000-0000-000034150000}"/>
    <cellStyle name="60% - Accent4 3" xfId="5017" hidden="1" xr:uid="{00000000-0005-0000-0000-000035150000}"/>
    <cellStyle name="60% - Accent4 3" xfId="5050" hidden="1" xr:uid="{00000000-0005-0000-0000-000036150000}"/>
    <cellStyle name="60% - Accent4 3" xfId="5083" hidden="1" xr:uid="{00000000-0005-0000-0000-000037150000}"/>
    <cellStyle name="60% - Accent4 3" xfId="5116" hidden="1" xr:uid="{00000000-0005-0000-0000-000038150000}"/>
    <cellStyle name="60% - Accent4 3" xfId="5149" hidden="1" xr:uid="{00000000-0005-0000-0000-000039150000}"/>
    <cellStyle name="60% - Accent4 3" xfId="5182" hidden="1" xr:uid="{00000000-0005-0000-0000-00003A150000}"/>
    <cellStyle name="60% - Accent4 3" xfId="5223" hidden="1" xr:uid="{00000000-0005-0000-0000-00003B150000}"/>
    <cellStyle name="60% - Accent4 3" xfId="5260" hidden="1" xr:uid="{00000000-0005-0000-0000-00003C150000}"/>
    <cellStyle name="60% - Accent4 3" xfId="5293" hidden="1" xr:uid="{00000000-0005-0000-0000-00003D150000}"/>
    <cellStyle name="60% - Accent4 3" xfId="5325" hidden="1" xr:uid="{00000000-0005-0000-0000-00003E150000}"/>
    <cellStyle name="60% - Accent4 3" xfId="5357" hidden="1" xr:uid="{00000000-0005-0000-0000-00003F150000}"/>
    <cellStyle name="60% - Accent4 3" xfId="5390" hidden="1" xr:uid="{00000000-0005-0000-0000-000040150000}"/>
    <cellStyle name="60% - Accent4 3" xfId="5422" hidden="1" xr:uid="{00000000-0005-0000-0000-000041150000}"/>
    <cellStyle name="60% - Accent4 3" xfId="5455" hidden="1" xr:uid="{00000000-0005-0000-0000-000042150000}"/>
    <cellStyle name="60% - Accent4 3" xfId="5487" hidden="1" xr:uid="{00000000-0005-0000-0000-000043150000}"/>
    <cellStyle name="60% - Accent4 3" xfId="5520" hidden="1" xr:uid="{00000000-0005-0000-0000-000044150000}"/>
    <cellStyle name="60% - Accent4 3" xfId="5553" hidden="1" xr:uid="{00000000-0005-0000-0000-000045150000}"/>
    <cellStyle name="60% - Accent4 3" xfId="5586" hidden="1" xr:uid="{00000000-0005-0000-0000-000046150000}"/>
    <cellStyle name="60% - Accent4 3" xfId="5619" hidden="1" xr:uid="{00000000-0005-0000-0000-000047150000}"/>
    <cellStyle name="60% - Accent4 3" xfId="5652" hidden="1" xr:uid="{00000000-0005-0000-0000-000048150000}"/>
    <cellStyle name="60% - Accent4 3" xfId="5685" hidden="1" xr:uid="{00000000-0005-0000-0000-000049150000}"/>
    <cellStyle name="60% - Accent4 3" xfId="5789" hidden="1" xr:uid="{00000000-0005-0000-0000-00004A150000}"/>
    <cellStyle name="60% - Accent4 3" xfId="5826" hidden="1" xr:uid="{00000000-0005-0000-0000-00004B150000}"/>
    <cellStyle name="60% - Accent4 3" xfId="5859" hidden="1" xr:uid="{00000000-0005-0000-0000-00004C150000}"/>
    <cellStyle name="60% - Accent4 3" xfId="5891" hidden="1" xr:uid="{00000000-0005-0000-0000-00004D150000}"/>
    <cellStyle name="60% - Accent4 3" xfId="5923" hidden="1" xr:uid="{00000000-0005-0000-0000-00004E150000}"/>
    <cellStyle name="60% - Accent4 3" xfId="5956" hidden="1" xr:uid="{00000000-0005-0000-0000-00004F150000}"/>
    <cellStyle name="60% - Accent4 3" xfId="5988" hidden="1" xr:uid="{00000000-0005-0000-0000-000050150000}"/>
    <cellStyle name="60% - Accent4 3" xfId="6021" hidden="1" xr:uid="{00000000-0005-0000-0000-000051150000}"/>
    <cellStyle name="60% - Accent4 3" xfId="6053" hidden="1" xr:uid="{00000000-0005-0000-0000-000052150000}"/>
    <cellStyle name="60% - Accent4 3" xfId="6086" hidden="1" xr:uid="{00000000-0005-0000-0000-000053150000}"/>
    <cellStyle name="60% - Accent4 3" xfId="6119" hidden="1" xr:uid="{00000000-0005-0000-0000-000054150000}"/>
    <cellStyle name="60% - Accent4 3" xfId="6152" hidden="1" xr:uid="{00000000-0005-0000-0000-000055150000}"/>
    <cellStyle name="60% - Accent4 3" xfId="6185" hidden="1" xr:uid="{00000000-0005-0000-0000-000056150000}"/>
    <cellStyle name="60% - Accent4 3" xfId="6218" hidden="1" xr:uid="{00000000-0005-0000-0000-000057150000}"/>
    <cellStyle name="60% - Accent4 3" xfId="6251" hidden="1" xr:uid="{00000000-0005-0000-0000-000058150000}"/>
    <cellStyle name="60% - Accent4 3" xfId="5769" hidden="1" xr:uid="{00000000-0005-0000-0000-000059150000}"/>
    <cellStyle name="60% - Accent4 3" xfId="6303" hidden="1" xr:uid="{00000000-0005-0000-0000-00005A150000}"/>
    <cellStyle name="60% - Accent4 3" xfId="6336" hidden="1" xr:uid="{00000000-0005-0000-0000-00005B150000}"/>
    <cellStyle name="60% - Accent4 3" xfId="6368" hidden="1" xr:uid="{00000000-0005-0000-0000-00005C150000}"/>
    <cellStyle name="60% - Accent4 3" xfId="6400" hidden="1" xr:uid="{00000000-0005-0000-0000-00005D150000}"/>
    <cellStyle name="60% - Accent4 3" xfId="6433" hidden="1" xr:uid="{00000000-0005-0000-0000-00005E150000}"/>
    <cellStyle name="60% - Accent4 3" xfId="6465" hidden="1" xr:uid="{00000000-0005-0000-0000-00005F150000}"/>
    <cellStyle name="60% - Accent4 3" xfId="6498" hidden="1" xr:uid="{00000000-0005-0000-0000-000060150000}"/>
    <cellStyle name="60% - Accent4 3" xfId="6530" hidden="1" xr:uid="{00000000-0005-0000-0000-000061150000}"/>
    <cellStyle name="60% - Accent4 3" xfId="6563" hidden="1" xr:uid="{00000000-0005-0000-0000-000062150000}"/>
    <cellStyle name="60% - Accent4 3" xfId="6596" hidden="1" xr:uid="{00000000-0005-0000-0000-000063150000}"/>
    <cellStyle name="60% - Accent4 3" xfId="6629" hidden="1" xr:uid="{00000000-0005-0000-0000-000064150000}"/>
    <cellStyle name="60% - Accent4 3" xfId="6662" hidden="1" xr:uid="{00000000-0005-0000-0000-000065150000}"/>
    <cellStyle name="60% - Accent4 3" xfId="6695" hidden="1" xr:uid="{00000000-0005-0000-0000-000066150000}"/>
    <cellStyle name="60% - Accent4 3" xfId="6728" hidden="1" xr:uid="{00000000-0005-0000-0000-000067150000}"/>
    <cellStyle name="60% - Accent4 3" xfId="6785" hidden="1" xr:uid="{00000000-0005-0000-0000-000068150000}"/>
    <cellStyle name="60% - Accent4 3" xfId="6822" hidden="1" xr:uid="{00000000-0005-0000-0000-000069150000}"/>
    <cellStyle name="60% - Accent4 3" xfId="6855" hidden="1" xr:uid="{00000000-0005-0000-0000-00006A150000}"/>
    <cellStyle name="60% - Accent4 3" xfId="6887" hidden="1" xr:uid="{00000000-0005-0000-0000-00006B150000}"/>
    <cellStyle name="60% - Accent4 3" xfId="6919" hidden="1" xr:uid="{00000000-0005-0000-0000-00006C150000}"/>
    <cellStyle name="60% - Accent4 3" xfId="6952" hidden="1" xr:uid="{00000000-0005-0000-0000-00006D150000}"/>
    <cellStyle name="60% - Accent4 3" xfId="6984" hidden="1" xr:uid="{00000000-0005-0000-0000-00006E150000}"/>
    <cellStyle name="60% - Accent4 3" xfId="7017" hidden="1" xr:uid="{00000000-0005-0000-0000-00006F150000}"/>
    <cellStyle name="60% - Accent4 3" xfId="7049" hidden="1" xr:uid="{00000000-0005-0000-0000-000070150000}"/>
    <cellStyle name="60% - Accent4 3" xfId="7082" hidden="1" xr:uid="{00000000-0005-0000-0000-000071150000}"/>
    <cellStyle name="60% - Accent4 3" xfId="7115" hidden="1" xr:uid="{00000000-0005-0000-0000-000072150000}"/>
    <cellStyle name="60% - Accent4 3" xfId="7148" hidden="1" xr:uid="{00000000-0005-0000-0000-000073150000}"/>
    <cellStyle name="60% - Accent4 3" xfId="7181" hidden="1" xr:uid="{00000000-0005-0000-0000-000074150000}"/>
    <cellStyle name="60% - Accent4 3" xfId="7214" hidden="1" xr:uid="{00000000-0005-0000-0000-000075150000}"/>
    <cellStyle name="60% - Accent4 3" xfId="7247" hidden="1" xr:uid="{00000000-0005-0000-0000-000076150000}"/>
    <cellStyle name="60% - Accent4 3" xfId="7298" hidden="1" xr:uid="{00000000-0005-0000-0000-000077150000}"/>
    <cellStyle name="60% - Accent4 3" xfId="7335" hidden="1" xr:uid="{00000000-0005-0000-0000-000078150000}"/>
    <cellStyle name="60% - Accent4 3" xfId="7368" hidden="1" xr:uid="{00000000-0005-0000-0000-000079150000}"/>
    <cellStyle name="60% - Accent4 3" xfId="7400" hidden="1" xr:uid="{00000000-0005-0000-0000-00007A150000}"/>
    <cellStyle name="60% - Accent4 3" xfId="7432" hidden="1" xr:uid="{00000000-0005-0000-0000-00007B150000}"/>
    <cellStyle name="60% - Accent4 3" xfId="7465" hidden="1" xr:uid="{00000000-0005-0000-0000-00007C150000}"/>
    <cellStyle name="60% - Accent4 3" xfId="7497" hidden="1" xr:uid="{00000000-0005-0000-0000-00007D150000}"/>
    <cellStyle name="60% - Accent4 3" xfId="7530" hidden="1" xr:uid="{00000000-0005-0000-0000-00007E150000}"/>
    <cellStyle name="60% - Accent4 3" xfId="7562" hidden="1" xr:uid="{00000000-0005-0000-0000-00007F150000}"/>
    <cellStyle name="60% - Accent4 3" xfId="7595" hidden="1" xr:uid="{00000000-0005-0000-0000-000080150000}"/>
    <cellStyle name="60% - Accent4 3" xfId="7628" hidden="1" xr:uid="{00000000-0005-0000-0000-000081150000}"/>
    <cellStyle name="60% - Accent4 3" xfId="7661" hidden="1" xr:uid="{00000000-0005-0000-0000-000082150000}"/>
    <cellStyle name="60% - Accent4 3" xfId="7694" hidden="1" xr:uid="{00000000-0005-0000-0000-000083150000}"/>
    <cellStyle name="60% - Accent4 3" xfId="7727" hidden="1" xr:uid="{00000000-0005-0000-0000-000084150000}"/>
    <cellStyle name="60% - Accent4 3" xfId="7760" hidden="1" xr:uid="{00000000-0005-0000-0000-000085150000}"/>
    <cellStyle name="60% - Accent4 3" xfId="7278" hidden="1" xr:uid="{00000000-0005-0000-0000-000086150000}"/>
    <cellStyle name="60% - Accent4 3" xfId="7812" hidden="1" xr:uid="{00000000-0005-0000-0000-000087150000}"/>
    <cellStyle name="60% - Accent4 3" xfId="7845" hidden="1" xr:uid="{00000000-0005-0000-0000-000088150000}"/>
    <cellStyle name="60% - Accent4 3" xfId="7877" hidden="1" xr:uid="{00000000-0005-0000-0000-000089150000}"/>
    <cellStyle name="60% - Accent4 3" xfId="7909" hidden="1" xr:uid="{00000000-0005-0000-0000-00008A150000}"/>
    <cellStyle name="60% - Accent4 3" xfId="7942" hidden="1" xr:uid="{00000000-0005-0000-0000-00008B150000}"/>
    <cellStyle name="60% - Accent4 3" xfId="7974" hidden="1" xr:uid="{00000000-0005-0000-0000-00008C150000}"/>
    <cellStyle name="60% - Accent4 3" xfId="8007" hidden="1" xr:uid="{00000000-0005-0000-0000-00008D150000}"/>
    <cellStyle name="60% - Accent4 3" xfId="8039" hidden="1" xr:uid="{00000000-0005-0000-0000-00008E150000}"/>
    <cellStyle name="60% - Accent4 3" xfId="8072" hidden="1" xr:uid="{00000000-0005-0000-0000-00008F150000}"/>
    <cellStyle name="60% - Accent4 3" xfId="8105" hidden="1" xr:uid="{00000000-0005-0000-0000-000090150000}"/>
    <cellStyle name="60% - Accent4 3" xfId="8138" hidden="1" xr:uid="{00000000-0005-0000-0000-000091150000}"/>
    <cellStyle name="60% - Accent4 3" xfId="8171" hidden="1" xr:uid="{00000000-0005-0000-0000-000092150000}"/>
    <cellStyle name="60% - Accent4 3" xfId="8204" hidden="1" xr:uid="{00000000-0005-0000-0000-000093150000}"/>
    <cellStyle name="60% - Accent4 3" xfId="8237" hidden="1" xr:uid="{00000000-0005-0000-0000-000094150000}"/>
    <cellStyle name="60% - Accent4 3" xfId="4351" hidden="1" xr:uid="{00000000-0005-0000-0000-000095150000}"/>
    <cellStyle name="60% - Accent4 3" xfId="4338" hidden="1" xr:uid="{00000000-0005-0000-0000-000096150000}"/>
    <cellStyle name="60% - Accent4 3" xfId="4322" hidden="1" xr:uid="{00000000-0005-0000-0000-000097150000}"/>
    <cellStyle name="60% - Accent4 3" xfId="4368" hidden="1" xr:uid="{00000000-0005-0000-0000-000098150000}"/>
    <cellStyle name="60% - Accent4 3" xfId="5723" hidden="1" xr:uid="{00000000-0005-0000-0000-000099150000}"/>
    <cellStyle name="60% - Accent4 3" xfId="4266" hidden="1" xr:uid="{00000000-0005-0000-0000-00009A150000}"/>
    <cellStyle name="60% - Accent4 3" xfId="4249" hidden="1" xr:uid="{00000000-0005-0000-0000-00009B150000}"/>
    <cellStyle name="60% - Accent4 3" xfId="8282" hidden="1" xr:uid="{00000000-0005-0000-0000-00009C150000}"/>
    <cellStyle name="60% - Accent4 3" xfId="8315" hidden="1" xr:uid="{00000000-0005-0000-0000-00009D150000}"/>
    <cellStyle name="60% - Accent4 3" xfId="8348" hidden="1" xr:uid="{00000000-0005-0000-0000-00009E150000}"/>
    <cellStyle name="60% - Accent4 3" xfId="8381" hidden="1" xr:uid="{00000000-0005-0000-0000-00009F150000}"/>
    <cellStyle name="60% - Accent4 3" xfId="8418" hidden="1" xr:uid="{00000000-0005-0000-0000-0000A0150000}"/>
    <cellStyle name="60% - Accent4 3" xfId="8451" hidden="1" xr:uid="{00000000-0005-0000-0000-0000A1150000}"/>
    <cellStyle name="60% - Accent4 3" xfId="8483" hidden="1" xr:uid="{00000000-0005-0000-0000-0000A2150000}"/>
    <cellStyle name="60% - Accent4 3" xfId="8515" hidden="1" xr:uid="{00000000-0005-0000-0000-0000A3150000}"/>
    <cellStyle name="60% - Accent4 3" xfId="8548" hidden="1" xr:uid="{00000000-0005-0000-0000-0000A4150000}"/>
    <cellStyle name="60% - Accent4 3" xfId="8580" hidden="1" xr:uid="{00000000-0005-0000-0000-0000A5150000}"/>
    <cellStyle name="60% - Accent4 3" xfId="8613" hidden="1" xr:uid="{00000000-0005-0000-0000-0000A6150000}"/>
    <cellStyle name="60% - Accent4 3" xfId="8645" hidden="1" xr:uid="{00000000-0005-0000-0000-0000A7150000}"/>
    <cellStyle name="60% - Accent4 3" xfId="8678" hidden="1" xr:uid="{00000000-0005-0000-0000-0000A8150000}"/>
    <cellStyle name="60% - Accent4 3" xfId="8711" hidden="1" xr:uid="{00000000-0005-0000-0000-0000A9150000}"/>
    <cellStyle name="60% - Accent4 3" xfId="8744" hidden="1" xr:uid="{00000000-0005-0000-0000-0000AA150000}"/>
    <cellStyle name="60% - Accent4 3" xfId="8777" hidden="1" xr:uid="{00000000-0005-0000-0000-0000AB150000}"/>
    <cellStyle name="60% - Accent4 3" xfId="8810" hidden="1" xr:uid="{00000000-0005-0000-0000-0000AC150000}"/>
    <cellStyle name="60% - Accent4 3" xfId="8843" hidden="1" xr:uid="{00000000-0005-0000-0000-0000AD150000}"/>
    <cellStyle name="60% - Accent4 3" xfId="8883" hidden="1" xr:uid="{00000000-0005-0000-0000-0000AE150000}"/>
    <cellStyle name="60% - Accent4 3" xfId="8920" hidden="1" xr:uid="{00000000-0005-0000-0000-0000AF150000}"/>
    <cellStyle name="60% - Accent4 3" xfId="8953" hidden="1" xr:uid="{00000000-0005-0000-0000-0000B0150000}"/>
    <cellStyle name="60% - Accent4 3" xfId="8985" hidden="1" xr:uid="{00000000-0005-0000-0000-0000B1150000}"/>
    <cellStyle name="60% - Accent4 3" xfId="9017" hidden="1" xr:uid="{00000000-0005-0000-0000-0000B2150000}"/>
    <cellStyle name="60% - Accent4 3" xfId="9050" hidden="1" xr:uid="{00000000-0005-0000-0000-0000B3150000}"/>
    <cellStyle name="60% - Accent4 3" xfId="9082" hidden="1" xr:uid="{00000000-0005-0000-0000-0000B4150000}"/>
    <cellStyle name="60% - Accent4 3" xfId="9115" hidden="1" xr:uid="{00000000-0005-0000-0000-0000B5150000}"/>
    <cellStyle name="60% - Accent4 3" xfId="9147" hidden="1" xr:uid="{00000000-0005-0000-0000-0000B6150000}"/>
    <cellStyle name="60% - Accent4 3" xfId="9180" hidden="1" xr:uid="{00000000-0005-0000-0000-0000B7150000}"/>
    <cellStyle name="60% - Accent4 3" xfId="9213" hidden="1" xr:uid="{00000000-0005-0000-0000-0000B8150000}"/>
    <cellStyle name="60% - Accent4 3" xfId="9246" hidden="1" xr:uid="{00000000-0005-0000-0000-0000B9150000}"/>
    <cellStyle name="60% - Accent4 3" xfId="9279" hidden="1" xr:uid="{00000000-0005-0000-0000-0000BA150000}"/>
    <cellStyle name="60% - Accent4 3" xfId="9312" hidden="1" xr:uid="{00000000-0005-0000-0000-0000BB150000}"/>
    <cellStyle name="60% - Accent4 3" xfId="9345" hidden="1" xr:uid="{00000000-0005-0000-0000-0000BC150000}"/>
    <cellStyle name="60% - Accent4 3" xfId="9396" hidden="1" xr:uid="{00000000-0005-0000-0000-0000BD150000}"/>
    <cellStyle name="60% - Accent4 3" xfId="9433" hidden="1" xr:uid="{00000000-0005-0000-0000-0000BE150000}"/>
    <cellStyle name="60% - Accent4 3" xfId="9466" hidden="1" xr:uid="{00000000-0005-0000-0000-0000BF150000}"/>
    <cellStyle name="60% - Accent4 3" xfId="9498" hidden="1" xr:uid="{00000000-0005-0000-0000-0000C0150000}"/>
    <cellStyle name="60% - Accent4 3" xfId="9530" hidden="1" xr:uid="{00000000-0005-0000-0000-0000C1150000}"/>
    <cellStyle name="60% - Accent4 3" xfId="9563" hidden="1" xr:uid="{00000000-0005-0000-0000-0000C2150000}"/>
    <cellStyle name="60% - Accent4 3" xfId="9595" hidden="1" xr:uid="{00000000-0005-0000-0000-0000C3150000}"/>
    <cellStyle name="60% - Accent4 3" xfId="9628" hidden="1" xr:uid="{00000000-0005-0000-0000-0000C4150000}"/>
    <cellStyle name="60% - Accent4 3" xfId="9660" hidden="1" xr:uid="{00000000-0005-0000-0000-0000C5150000}"/>
    <cellStyle name="60% - Accent4 3" xfId="9693" hidden="1" xr:uid="{00000000-0005-0000-0000-0000C6150000}"/>
    <cellStyle name="60% - Accent4 3" xfId="9726" hidden="1" xr:uid="{00000000-0005-0000-0000-0000C7150000}"/>
    <cellStyle name="60% - Accent4 3" xfId="9759" hidden="1" xr:uid="{00000000-0005-0000-0000-0000C8150000}"/>
    <cellStyle name="60% - Accent4 3" xfId="9792" hidden="1" xr:uid="{00000000-0005-0000-0000-0000C9150000}"/>
    <cellStyle name="60% - Accent4 3" xfId="9825" hidden="1" xr:uid="{00000000-0005-0000-0000-0000CA150000}"/>
    <cellStyle name="60% - Accent4 3" xfId="9858" hidden="1" xr:uid="{00000000-0005-0000-0000-0000CB150000}"/>
    <cellStyle name="60% - Accent4 3" xfId="9376" hidden="1" xr:uid="{00000000-0005-0000-0000-0000CC150000}"/>
    <cellStyle name="60% - Accent4 3" xfId="9910" hidden="1" xr:uid="{00000000-0005-0000-0000-0000CD150000}"/>
    <cellStyle name="60% - Accent4 3" xfId="9943" hidden="1" xr:uid="{00000000-0005-0000-0000-0000CE150000}"/>
    <cellStyle name="60% - Accent4 3" xfId="9975" hidden="1" xr:uid="{00000000-0005-0000-0000-0000CF150000}"/>
    <cellStyle name="60% - Accent4 3" xfId="10007" hidden="1" xr:uid="{00000000-0005-0000-0000-0000D0150000}"/>
    <cellStyle name="60% - Accent4 3" xfId="10040" hidden="1" xr:uid="{00000000-0005-0000-0000-0000D1150000}"/>
    <cellStyle name="60% - Accent4 3" xfId="10072" hidden="1" xr:uid="{00000000-0005-0000-0000-0000D2150000}"/>
    <cellStyle name="60% - Accent4 3" xfId="10105" hidden="1" xr:uid="{00000000-0005-0000-0000-0000D3150000}"/>
    <cellStyle name="60% - Accent4 3" xfId="10137" hidden="1" xr:uid="{00000000-0005-0000-0000-0000D4150000}"/>
    <cellStyle name="60% - Accent4 3" xfId="10170" hidden="1" xr:uid="{00000000-0005-0000-0000-0000D5150000}"/>
    <cellStyle name="60% - Accent4 3" xfId="10203" hidden="1" xr:uid="{00000000-0005-0000-0000-0000D6150000}"/>
    <cellStyle name="60% - Accent4 3" xfId="10236" hidden="1" xr:uid="{00000000-0005-0000-0000-0000D7150000}"/>
    <cellStyle name="60% - Accent4 3" xfId="10269" hidden="1" xr:uid="{00000000-0005-0000-0000-0000D8150000}"/>
    <cellStyle name="60% - Accent4 3" xfId="10302" hidden="1" xr:uid="{00000000-0005-0000-0000-0000D9150000}"/>
    <cellStyle name="60% - Accent4 3" xfId="10335" hidden="1" xr:uid="{00000000-0005-0000-0000-0000DA150000}"/>
    <cellStyle name="60% - Accent4 3" xfId="10361" hidden="1" xr:uid="{00000000-0005-0000-0000-0000DB150000}"/>
    <cellStyle name="60% - Accent4 3" xfId="10398" hidden="1" xr:uid="{00000000-0005-0000-0000-0000DC150000}"/>
    <cellStyle name="60% - Accent4 3" xfId="10431" hidden="1" xr:uid="{00000000-0005-0000-0000-0000DD150000}"/>
    <cellStyle name="60% - Accent4 3" xfId="10463" hidden="1" xr:uid="{00000000-0005-0000-0000-0000DE150000}"/>
    <cellStyle name="60% - Accent4 3" xfId="10495" hidden="1" xr:uid="{00000000-0005-0000-0000-0000DF150000}"/>
    <cellStyle name="60% - Accent4 3" xfId="10528" hidden="1" xr:uid="{00000000-0005-0000-0000-0000E0150000}"/>
    <cellStyle name="60% - Accent4 3" xfId="10560" hidden="1" xr:uid="{00000000-0005-0000-0000-0000E1150000}"/>
    <cellStyle name="60% - Accent4 3" xfId="10593" hidden="1" xr:uid="{00000000-0005-0000-0000-0000E2150000}"/>
    <cellStyle name="60% - Accent4 3" xfId="10625" hidden="1" xr:uid="{00000000-0005-0000-0000-0000E3150000}"/>
    <cellStyle name="60% - Accent4 3" xfId="10658" hidden="1" xr:uid="{00000000-0005-0000-0000-0000E4150000}"/>
    <cellStyle name="60% - Accent4 3" xfId="10691" hidden="1" xr:uid="{00000000-0005-0000-0000-0000E5150000}"/>
    <cellStyle name="60% - Accent4 3" xfId="10724" hidden="1" xr:uid="{00000000-0005-0000-0000-0000E6150000}"/>
    <cellStyle name="60% - Accent4 3" xfId="10757" hidden="1" xr:uid="{00000000-0005-0000-0000-0000E7150000}"/>
    <cellStyle name="60% - Accent4 3" xfId="10790" hidden="1" xr:uid="{00000000-0005-0000-0000-0000E8150000}"/>
    <cellStyle name="60% - Accent4 3" xfId="10823" hidden="1" xr:uid="{00000000-0005-0000-0000-0000E9150000}"/>
    <cellStyle name="60% - Accent4 3" xfId="10874" hidden="1" xr:uid="{00000000-0005-0000-0000-0000EA150000}"/>
    <cellStyle name="60% - Accent4 3" xfId="10911" hidden="1" xr:uid="{00000000-0005-0000-0000-0000EB150000}"/>
    <cellStyle name="60% - Accent4 3" xfId="10944" hidden="1" xr:uid="{00000000-0005-0000-0000-0000EC150000}"/>
    <cellStyle name="60% - Accent4 3" xfId="10976" hidden="1" xr:uid="{00000000-0005-0000-0000-0000ED150000}"/>
    <cellStyle name="60% - Accent4 3" xfId="11008" hidden="1" xr:uid="{00000000-0005-0000-0000-0000EE150000}"/>
    <cellStyle name="60% - Accent4 3" xfId="11041" hidden="1" xr:uid="{00000000-0005-0000-0000-0000EF150000}"/>
    <cellStyle name="60% - Accent4 3" xfId="11073" hidden="1" xr:uid="{00000000-0005-0000-0000-0000F0150000}"/>
    <cellStyle name="60% - Accent4 3" xfId="11106" hidden="1" xr:uid="{00000000-0005-0000-0000-0000F1150000}"/>
    <cellStyle name="60% - Accent4 3" xfId="11138" hidden="1" xr:uid="{00000000-0005-0000-0000-0000F2150000}"/>
    <cellStyle name="60% - Accent4 3" xfId="11171" hidden="1" xr:uid="{00000000-0005-0000-0000-0000F3150000}"/>
    <cellStyle name="60% - Accent4 3" xfId="11204" hidden="1" xr:uid="{00000000-0005-0000-0000-0000F4150000}"/>
    <cellStyle name="60% - Accent4 3" xfId="11237" hidden="1" xr:uid="{00000000-0005-0000-0000-0000F5150000}"/>
    <cellStyle name="60% - Accent4 3" xfId="11270" hidden="1" xr:uid="{00000000-0005-0000-0000-0000F6150000}"/>
    <cellStyle name="60% - Accent4 3" xfId="11303" hidden="1" xr:uid="{00000000-0005-0000-0000-0000F7150000}"/>
    <cellStyle name="60% - Accent4 3" xfId="11336" hidden="1" xr:uid="{00000000-0005-0000-0000-0000F8150000}"/>
    <cellStyle name="60% - Accent4 3" xfId="10854" hidden="1" xr:uid="{00000000-0005-0000-0000-0000F9150000}"/>
    <cellStyle name="60% - Accent4 3" xfId="11388" hidden="1" xr:uid="{00000000-0005-0000-0000-0000FA150000}"/>
    <cellStyle name="60% - Accent4 3" xfId="11421" hidden="1" xr:uid="{00000000-0005-0000-0000-0000FB150000}"/>
    <cellStyle name="60% - Accent4 3" xfId="11453" hidden="1" xr:uid="{00000000-0005-0000-0000-0000FC150000}"/>
    <cellStyle name="60% - Accent4 3" xfId="11485" hidden="1" xr:uid="{00000000-0005-0000-0000-0000FD150000}"/>
    <cellStyle name="60% - Accent4 3" xfId="11518" hidden="1" xr:uid="{00000000-0005-0000-0000-0000FE150000}"/>
    <cellStyle name="60% - Accent4 3" xfId="11550" hidden="1" xr:uid="{00000000-0005-0000-0000-0000FF150000}"/>
    <cellStyle name="60% - Accent4 3" xfId="11583" hidden="1" xr:uid="{00000000-0005-0000-0000-000000160000}"/>
    <cellStyle name="60% - Accent4 3" xfId="11615" hidden="1" xr:uid="{00000000-0005-0000-0000-000001160000}"/>
    <cellStyle name="60% - Accent4 3" xfId="11648" hidden="1" xr:uid="{00000000-0005-0000-0000-000002160000}"/>
    <cellStyle name="60% - Accent4 3" xfId="11681" hidden="1" xr:uid="{00000000-0005-0000-0000-000003160000}"/>
    <cellStyle name="60% - Accent4 3" xfId="11714" hidden="1" xr:uid="{00000000-0005-0000-0000-000004160000}"/>
    <cellStyle name="60% - Accent4 3" xfId="11747" hidden="1" xr:uid="{00000000-0005-0000-0000-000005160000}"/>
    <cellStyle name="60% - Accent4 3" xfId="11780" hidden="1" xr:uid="{00000000-0005-0000-0000-000006160000}"/>
    <cellStyle name="60% - Accent4 3" xfId="11813" xr:uid="{00000000-0005-0000-0000-000007160000}"/>
    <cellStyle name="60% - Accent5 2" xfId="71" xr:uid="{00000000-0005-0000-0000-000008160000}"/>
    <cellStyle name="60% - Accent5 2 2" xfId="1589" xr:uid="{00000000-0005-0000-0000-000009160000}"/>
    <cellStyle name="60% - Accent5 2 3" xfId="2726" xr:uid="{00000000-0005-0000-0000-00000A160000}"/>
    <cellStyle name="60% - Accent5 3" xfId="228" hidden="1" xr:uid="{00000000-0005-0000-0000-00000B160000}"/>
    <cellStyle name="60% - Accent5 3" xfId="235" hidden="1" xr:uid="{00000000-0005-0000-0000-00000C160000}"/>
    <cellStyle name="60% - Accent5 3" xfId="268" hidden="1" xr:uid="{00000000-0005-0000-0000-00000D160000}"/>
    <cellStyle name="60% - Accent5 3" xfId="301" hidden="1" xr:uid="{00000000-0005-0000-0000-00000E160000}"/>
    <cellStyle name="60% - Accent5 3" xfId="334" hidden="1" xr:uid="{00000000-0005-0000-0000-00000F160000}"/>
    <cellStyle name="60% - Accent5 3" xfId="368" hidden="1" xr:uid="{00000000-0005-0000-0000-000010160000}"/>
    <cellStyle name="60% - Accent5 3" xfId="401" hidden="1" xr:uid="{00000000-0005-0000-0000-000011160000}"/>
    <cellStyle name="60% - Accent5 3" xfId="434" hidden="1" xr:uid="{00000000-0005-0000-0000-000012160000}"/>
    <cellStyle name="60% - Accent5 3" xfId="467" hidden="1" xr:uid="{00000000-0005-0000-0000-000013160000}"/>
    <cellStyle name="60% - Accent5 3" xfId="500" hidden="1" xr:uid="{00000000-0005-0000-0000-000014160000}"/>
    <cellStyle name="60% - Accent5 3" xfId="533" hidden="1" xr:uid="{00000000-0005-0000-0000-000015160000}"/>
    <cellStyle name="60% - Accent5 3" xfId="566" hidden="1" xr:uid="{00000000-0005-0000-0000-000016160000}"/>
    <cellStyle name="60% - Accent5 3" xfId="603" hidden="1" xr:uid="{00000000-0005-0000-0000-000017160000}"/>
    <cellStyle name="60% - Accent5 3" xfId="636" hidden="1" xr:uid="{00000000-0005-0000-0000-000018160000}"/>
    <cellStyle name="60% - Accent5 3" xfId="668" hidden="1" xr:uid="{00000000-0005-0000-0000-000019160000}"/>
    <cellStyle name="60% - Accent5 3" xfId="700" hidden="1" xr:uid="{00000000-0005-0000-0000-00001A160000}"/>
    <cellStyle name="60% - Accent5 3" xfId="733" hidden="1" xr:uid="{00000000-0005-0000-0000-00001B160000}"/>
    <cellStyle name="60% - Accent5 3" xfId="765" hidden="1" xr:uid="{00000000-0005-0000-0000-00001C160000}"/>
    <cellStyle name="60% - Accent5 3" xfId="798" hidden="1" xr:uid="{00000000-0005-0000-0000-00001D160000}"/>
    <cellStyle name="60% - Accent5 3" xfId="830" hidden="1" xr:uid="{00000000-0005-0000-0000-00001E160000}"/>
    <cellStyle name="60% - Accent5 3" xfId="863" hidden="1" xr:uid="{00000000-0005-0000-0000-00001F160000}"/>
    <cellStyle name="60% - Accent5 3" xfId="896" hidden="1" xr:uid="{00000000-0005-0000-0000-000020160000}"/>
    <cellStyle name="60% - Accent5 3" xfId="929" hidden="1" xr:uid="{00000000-0005-0000-0000-000021160000}"/>
    <cellStyle name="60% - Accent5 3" xfId="962" hidden="1" xr:uid="{00000000-0005-0000-0000-000022160000}"/>
    <cellStyle name="60% - Accent5 3" xfId="995" hidden="1" xr:uid="{00000000-0005-0000-0000-000023160000}"/>
    <cellStyle name="60% - Accent5 3" xfId="1028" hidden="1" xr:uid="{00000000-0005-0000-0000-000024160000}"/>
    <cellStyle name="60% - Accent5 3" xfId="1071" hidden="1" xr:uid="{00000000-0005-0000-0000-000025160000}"/>
    <cellStyle name="60% - Accent5 3" xfId="1109" hidden="1" xr:uid="{00000000-0005-0000-0000-000026160000}"/>
    <cellStyle name="60% - Accent5 3" xfId="1142" hidden="1" xr:uid="{00000000-0005-0000-0000-000027160000}"/>
    <cellStyle name="60% - Accent5 3" xfId="1174" hidden="1" xr:uid="{00000000-0005-0000-0000-000028160000}"/>
    <cellStyle name="60% - Accent5 3" xfId="1206" hidden="1" xr:uid="{00000000-0005-0000-0000-000029160000}"/>
    <cellStyle name="60% - Accent5 3" xfId="1239" hidden="1" xr:uid="{00000000-0005-0000-0000-00002A160000}"/>
    <cellStyle name="60% - Accent5 3" xfId="1271" hidden="1" xr:uid="{00000000-0005-0000-0000-00002B160000}"/>
    <cellStyle name="60% - Accent5 3" xfId="1304" hidden="1" xr:uid="{00000000-0005-0000-0000-00002C160000}"/>
    <cellStyle name="60% - Accent5 3" xfId="1336" hidden="1" xr:uid="{00000000-0005-0000-0000-00002D160000}"/>
    <cellStyle name="60% - Accent5 3" xfId="1369" hidden="1" xr:uid="{00000000-0005-0000-0000-00002E160000}"/>
    <cellStyle name="60% - Accent5 3" xfId="1402" hidden="1" xr:uid="{00000000-0005-0000-0000-00002F160000}"/>
    <cellStyle name="60% - Accent5 3" xfId="1435" hidden="1" xr:uid="{00000000-0005-0000-0000-000030160000}"/>
    <cellStyle name="60% - Accent5 3" xfId="1468" hidden="1" xr:uid="{00000000-0005-0000-0000-000031160000}"/>
    <cellStyle name="60% - Accent5 3" xfId="1501" hidden="1" xr:uid="{00000000-0005-0000-0000-000032160000}"/>
    <cellStyle name="60% - Accent5 3" xfId="1534" hidden="1" xr:uid="{00000000-0005-0000-0000-000033160000}"/>
    <cellStyle name="60% - Accent5 3" xfId="1748" hidden="1" xr:uid="{00000000-0005-0000-0000-000034160000}"/>
    <cellStyle name="60% - Accent5 3" xfId="1785" hidden="1" xr:uid="{00000000-0005-0000-0000-000035160000}"/>
    <cellStyle name="60% - Accent5 3" xfId="1818" hidden="1" xr:uid="{00000000-0005-0000-0000-000036160000}"/>
    <cellStyle name="60% - Accent5 3" xfId="1850" hidden="1" xr:uid="{00000000-0005-0000-0000-000037160000}"/>
    <cellStyle name="60% - Accent5 3" xfId="1882" hidden="1" xr:uid="{00000000-0005-0000-0000-000038160000}"/>
    <cellStyle name="60% - Accent5 3" xfId="1915" hidden="1" xr:uid="{00000000-0005-0000-0000-000039160000}"/>
    <cellStyle name="60% - Accent5 3" xfId="1947" hidden="1" xr:uid="{00000000-0005-0000-0000-00003A160000}"/>
    <cellStyle name="60% - Accent5 3" xfId="1980" hidden="1" xr:uid="{00000000-0005-0000-0000-00003B160000}"/>
    <cellStyle name="60% - Accent5 3" xfId="2012" hidden="1" xr:uid="{00000000-0005-0000-0000-00003C160000}"/>
    <cellStyle name="60% - Accent5 3" xfId="2045" hidden="1" xr:uid="{00000000-0005-0000-0000-00003D160000}"/>
    <cellStyle name="60% - Accent5 3" xfId="2078" hidden="1" xr:uid="{00000000-0005-0000-0000-00003E160000}"/>
    <cellStyle name="60% - Accent5 3" xfId="2111" hidden="1" xr:uid="{00000000-0005-0000-0000-00003F160000}"/>
    <cellStyle name="60% - Accent5 3" xfId="2144" hidden="1" xr:uid="{00000000-0005-0000-0000-000040160000}"/>
    <cellStyle name="60% - Accent5 3" xfId="2177" hidden="1" xr:uid="{00000000-0005-0000-0000-000041160000}"/>
    <cellStyle name="60% - Accent5 3" xfId="2210" hidden="1" xr:uid="{00000000-0005-0000-0000-000042160000}"/>
    <cellStyle name="60% - Accent5 3" xfId="1734" hidden="1" xr:uid="{00000000-0005-0000-0000-000043160000}"/>
    <cellStyle name="60% - Accent5 3" xfId="2262" hidden="1" xr:uid="{00000000-0005-0000-0000-000044160000}"/>
    <cellStyle name="60% - Accent5 3" xfId="2295" hidden="1" xr:uid="{00000000-0005-0000-0000-000045160000}"/>
    <cellStyle name="60% - Accent5 3" xfId="2327" hidden="1" xr:uid="{00000000-0005-0000-0000-000046160000}"/>
    <cellStyle name="60% - Accent5 3" xfId="2359" hidden="1" xr:uid="{00000000-0005-0000-0000-000047160000}"/>
    <cellStyle name="60% - Accent5 3" xfId="2392" hidden="1" xr:uid="{00000000-0005-0000-0000-000048160000}"/>
    <cellStyle name="60% - Accent5 3" xfId="2424" hidden="1" xr:uid="{00000000-0005-0000-0000-000049160000}"/>
    <cellStyle name="60% - Accent5 3" xfId="2457" hidden="1" xr:uid="{00000000-0005-0000-0000-00004A160000}"/>
    <cellStyle name="60% - Accent5 3" xfId="2489" hidden="1" xr:uid="{00000000-0005-0000-0000-00004B160000}"/>
    <cellStyle name="60% - Accent5 3" xfId="2522" hidden="1" xr:uid="{00000000-0005-0000-0000-00004C160000}"/>
    <cellStyle name="60% - Accent5 3" xfId="2555" hidden="1" xr:uid="{00000000-0005-0000-0000-00004D160000}"/>
    <cellStyle name="60% - Accent5 3" xfId="2588" hidden="1" xr:uid="{00000000-0005-0000-0000-00004E160000}"/>
    <cellStyle name="60% - Accent5 3" xfId="2621" hidden="1" xr:uid="{00000000-0005-0000-0000-00004F160000}"/>
    <cellStyle name="60% - Accent5 3" xfId="2654" hidden="1" xr:uid="{00000000-0005-0000-0000-000050160000}"/>
    <cellStyle name="60% - Accent5 3" xfId="2687" hidden="1" xr:uid="{00000000-0005-0000-0000-000051160000}"/>
    <cellStyle name="60% - Accent5 3" xfId="2768" hidden="1" xr:uid="{00000000-0005-0000-0000-000052160000}"/>
    <cellStyle name="60% - Accent5 3" xfId="2805" hidden="1" xr:uid="{00000000-0005-0000-0000-000053160000}"/>
    <cellStyle name="60% - Accent5 3" xfId="2838" hidden="1" xr:uid="{00000000-0005-0000-0000-000054160000}"/>
    <cellStyle name="60% - Accent5 3" xfId="2870" hidden="1" xr:uid="{00000000-0005-0000-0000-000055160000}"/>
    <cellStyle name="60% - Accent5 3" xfId="2902" hidden="1" xr:uid="{00000000-0005-0000-0000-000056160000}"/>
    <cellStyle name="60% - Accent5 3" xfId="2935" hidden="1" xr:uid="{00000000-0005-0000-0000-000057160000}"/>
    <cellStyle name="60% - Accent5 3" xfId="2967" hidden="1" xr:uid="{00000000-0005-0000-0000-000058160000}"/>
    <cellStyle name="60% - Accent5 3" xfId="3000" hidden="1" xr:uid="{00000000-0005-0000-0000-000059160000}"/>
    <cellStyle name="60% - Accent5 3" xfId="3032" hidden="1" xr:uid="{00000000-0005-0000-0000-00005A160000}"/>
    <cellStyle name="60% - Accent5 3" xfId="3065" hidden="1" xr:uid="{00000000-0005-0000-0000-00005B160000}"/>
    <cellStyle name="60% - Accent5 3" xfId="3098" hidden="1" xr:uid="{00000000-0005-0000-0000-00005C160000}"/>
    <cellStyle name="60% - Accent5 3" xfId="3131" hidden="1" xr:uid="{00000000-0005-0000-0000-00005D160000}"/>
    <cellStyle name="60% - Accent5 3" xfId="3164" hidden="1" xr:uid="{00000000-0005-0000-0000-00005E160000}"/>
    <cellStyle name="60% - Accent5 3" xfId="3197" hidden="1" xr:uid="{00000000-0005-0000-0000-00005F160000}"/>
    <cellStyle name="60% - Accent5 3" xfId="3230" hidden="1" xr:uid="{00000000-0005-0000-0000-000060160000}"/>
    <cellStyle name="60% - Accent5 3" xfId="3281" hidden="1" xr:uid="{00000000-0005-0000-0000-000061160000}"/>
    <cellStyle name="60% - Accent5 3" xfId="3318" hidden="1" xr:uid="{00000000-0005-0000-0000-000062160000}"/>
    <cellStyle name="60% - Accent5 3" xfId="3351" hidden="1" xr:uid="{00000000-0005-0000-0000-000063160000}"/>
    <cellStyle name="60% - Accent5 3" xfId="3383" hidden="1" xr:uid="{00000000-0005-0000-0000-000064160000}"/>
    <cellStyle name="60% - Accent5 3" xfId="3415" hidden="1" xr:uid="{00000000-0005-0000-0000-000065160000}"/>
    <cellStyle name="60% - Accent5 3" xfId="3448" hidden="1" xr:uid="{00000000-0005-0000-0000-000066160000}"/>
    <cellStyle name="60% - Accent5 3" xfId="3480" hidden="1" xr:uid="{00000000-0005-0000-0000-000067160000}"/>
    <cellStyle name="60% - Accent5 3" xfId="3513" hidden="1" xr:uid="{00000000-0005-0000-0000-000068160000}"/>
    <cellStyle name="60% - Accent5 3" xfId="3545" hidden="1" xr:uid="{00000000-0005-0000-0000-000069160000}"/>
    <cellStyle name="60% - Accent5 3" xfId="3578" hidden="1" xr:uid="{00000000-0005-0000-0000-00006A160000}"/>
    <cellStyle name="60% - Accent5 3" xfId="3611" hidden="1" xr:uid="{00000000-0005-0000-0000-00006B160000}"/>
    <cellStyle name="60% - Accent5 3" xfId="3644" hidden="1" xr:uid="{00000000-0005-0000-0000-00006C160000}"/>
    <cellStyle name="60% - Accent5 3" xfId="3677" hidden="1" xr:uid="{00000000-0005-0000-0000-00006D160000}"/>
    <cellStyle name="60% - Accent5 3" xfId="3710" hidden="1" xr:uid="{00000000-0005-0000-0000-00006E160000}"/>
    <cellStyle name="60% - Accent5 3" xfId="3743" hidden="1" xr:uid="{00000000-0005-0000-0000-00006F160000}"/>
    <cellStyle name="60% - Accent5 3" xfId="3267" hidden="1" xr:uid="{00000000-0005-0000-0000-000070160000}"/>
    <cellStyle name="60% - Accent5 3" xfId="3795" hidden="1" xr:uid="{00000000-0005-0000-0000-000071160000}"/>
    <cellStyle name="60% - Accent5 3" xfId="3828" hidden="1" xr:uid="{00000000-0005-0000-0000-000072160000}"/>
    <cellStyle name="60% - Accent5 3" xfId="3860" hidden="1" xr:uid="{00000000-0005-0000-0000-000073160000}"/>
    <cellStyle name="60% - Accent5 3" xfId="3892" hidden="1" xr:uid="{00000000-0005-0000-0000-000074160000}"/>
    <cellStyle name="60% - Accent5 3" xfId="3925" hidden="1" xr:uid="{00000000-0005-0000-0000-000075160000}"/>
    <cellStyle name="60% - Accent5 3" xfId="3957" hidden="1" xr:uid="{00000000-0005-0000-0000-000076160000}"/>
    <cellStyle name="60% - Accent5 3" xfId="3990" hidden="1" xr:uid="{00000000-0005-0000-0000-000077160000}"/>
    <cellStyle name="60% - Accent5 3" xfId="4022" hidden="1" xr:uid="{00000000-0005-0000-0000-000078160000}"/>
    <cellStyle name="60% - Accent5 3" xfId="4055" hidden="1" xr:uid="{00000000-0005-0000-0000-000079160000}"/>
    <cellStyle name="60% - Accent5 3" xfId="4088" hidden="1" xr:uid="{00000000-0005-0000-0000-00007A160000}"/>
    <cellStyle name="60% - Accent5 3" xfId="4121" hidden="1" xr:uid="{00000000-0005-0000-0000-00007B160000}"/>
    <cellStyle name="60% - Accent5 3" xfId="4154" hidden="1" xr:uid="{00000000-0005-0000-0000-00007C160000}"/>
    <cellStyle name="60% - Accent5 3" xfId="4187" hidden="1" xr:uid="{00000000-0005-0000-0000-00007D160000}"/>
    <cellStyle name="60% - Accent5 3" xfId="4220" hidden="1" xr:uid="{00000000-0005-0000-0000-00007E160000}"/>
    <cellStyle name="60% - Accent5 3" xfId="4387" hidden="1" xr:uid="{00000000-0005-0000-0000-00007F160000}"/>
    <cellStyle name="60% - Accent5 3" xfId="4420" hidden="1" xr:uid="{00000000-0005-0000-0000-000080160000}"/>
    <cellStyle name="60% - Accent5 3" xfId="4453" hidden="1" xr:uid="{00000000-0005-0000-0000-000081160000}"/>
    <cellStyle name="60% - Accent5 3" xfId="4486" hidden="1" xr:uid="{00000000-0005-0000-0000-000082160000}"/>
    <cellStyle name="60% - Accent5 3" xfId="4519" hidden="1" xr:uid="{00000000-0005-0000-0000-000083160000}"/>
    <cellStyle name="60% - Accent5 3" xfId="4552" hidden="1" xr:uid="{00000000-0005-0000-0000-000084160000}"/>
    <cellStyle name="60% - Accent5 3" xfId="4585" hidden="1" xr:uid="{00000000-0005-0000-0000-000085160000}"/>
    <cellStyle name="60% - Accent5 3" xfId="4618" hidden="1" xr:uid="{00000000-0005-0000-0000-000086160000}"/>
    <cellStyle name="60% - Accent5 3" xfId="4651" hidden="1" xr:uid="{00000000-0005-0000-0000-000087160000}"/>
    <cellStyle name="60% - Accent5 3" xfId="4684" hidden="1" xr:uid="{00000000-0005-0000-0000-000088160000}"/>
    <cellStyle name="60% - Accent5 3" xfId="4717" hidden="1" xr:uid="{00000000-0005-0000-0000-000089160000}"/>
    <cellStyle name="60% - Accent5 3" xfId="4754" hidden="1" xr:uid="{00000000-0005-0000-0000-00008A160000}"/>
    <cellStyle name="60% - Accent5 3" xfId="4787" hidden="1" xr:uid="{00000000-0005-0000-0000-00008B160000}"/>
    <cellStyle name="60% - Accent5 3" xfId="4819" hidden="1" xr:uid="{00000000-0005-0000-0000-00008C160000}"/>
    <cellStyle name="60% - Accent5 3" xfId="4851" hidden="1" xr:uid="{00000000-0005-0000-0000-00008D160000}"/>
    <cellStyle name="60% - Accent5 3" xfId="4884" hidden="1" xr:uid="{00000000-0005-0000-0000-00008E160000}"/>
    <cellStyle name="60% - Accent5 3" xfId="4916" hidden="1" xr:uid="{00000000-0005-0000-0000-00008F160000}"/>
    <cellStyle name="60% - Accent5 3" xfId="4949" hidden="1" xr:uid="{00000000-0005-0000-0000-000090160000}"/>
    <cellStyle name="60% - Accent5 3" xfId="4981" hidden="1" xr:uid="{00000000-0005-0000-0000-000091160000}"/>
    <cellStyle name="60% - Accent5 3" xfId="5014" hidden="1" xr:uid="{00000000-0005-0000-0000-000092160000}"/>
    <cellStyle name="60% - Accent5 3" xfId="5047" hidden="1" xr:uid="{00000000-0005-0000-0000-000093160000}"/>
    <cellStyle name="60% - Accent5 3" xfId="5080" hidden="1" xr:uid="{00000000-0005-0000-0000-000094160000}"/>
    <cellStyle name="60% - Accent5 3" xfId="5113" hidden="1" xr:uid="{00000000-0005-0000-0000-000095160000}"/>
    <cellStyle name="60% - Accent5 3" xfId="5146" hidden="1" xr:uid="{00000000-0005-0000-0000-000096160000}"/>
    <cellStyle name="60% - Accent5 3" xfId="5179" hidden="1" xr:uid="{00000000-0005-0000-0000-000097160000}"/>
    <cellStyle name="60% - Accent5 3" xfId="5220" hidden="1" xr:uid="{00000000-0005-0000-0000-000098160000}"/>
    <cellStyle name="60% - Accent5 3" xfId="5257" hidden="1" xr:uid="{00000000-0005-0000-0000-000099160000}"/>
    <cellStyle name="60% - Accent5 3" xfId="5290" hidden="1" xr:uid="{00000000-0005-0000-0000-00009A160000}"/>
    <cellStyle name="60% - Accent5 3" xfId="5322" hidden="1" xr:uid="{00000000-0005-0000-0000-00009B160000}"/>
    <cellStyle name="60% - Accent5 3" xfId="5354" hidden="1" xr:uid="{00000000-0005-0000-0000-00009C160000}"/>
    <cellStyle name="60% - Accent5 3" xfId="5387" hidden="1" xr:uid="{00000000-0005-0000-0000-00009D160000}"/>
    <cellStyle name="60% - Accent5 3" xfId="5419" hidden="1" xr:uid="{00000000-0005-0000-0000-00009E160000}"/>
    <cellStyle name="60% - Accent5 3" xfId="5452" hidden="1" xr:uid="{00000000-0005-0000-0000-00009F160000}"/>
    <cellStyle name="60% - Accent5 3" xfId="5484" hidden="1" xr:uid="{00000000-0005-0000-0000-0000A0160000}"/>
    <cellStyle name="60% - Accent5 3" xfId="5517" hidden="1" xr:uid="{00000000-0005-0000-0000-0000A1160000}"/>
    <cellStyle name="60% - Accent5 3" xfId="5550" hidden="1" xr:uid="{00000000-0005-0000-0000-0000A2160000}"/>
    <cellStyle name="60% - Accent5 3" xfId="5583" hidden="1" xr:uid="{00000000-0005-0000-0000-0000A3160000}"/>
    <cellStyle name="60% - Accent5 3" xfId="5616" hidden="1" xr:uid="{00000000-0005-0000-0000-0000A4160000}"/>
    <cellStyle name="60% - Accent5 3" xfId="5649" hidden="1" xr:uid="{00000000-0005-0000-0000-0000A5160000}"/>
    <cellStyle name="60% - Accent5 3" xfId="5682" hidden="1" xr:uid="{00000000-0005-0000-0000-0000A6160000}"/>
    <cellStyle name="60% - Accent5 3" xfId="5786" hidden="1" xr:uid="{00000000-0005-0000-0000-0000A7160000}"/>
    <cellStyle name="60% - Accent5 3" xfId="5823" hidden="1" xr:uid="{00000000-0005-0000-0000-0000A8160000}"/>
    <cellStyle name="60% - Accent5 3" xfId="5856" hidden="1" xr:uid="{00000000-0005-0000-0000-0000A9160000}"/>
    <cellStyle name="60% - Accent5 3" xfId="5888" hidden="1" xr:uid="{00000000-0005-0000-0000-0000AA160000}"/>
    <cellStyle name="60% - Accent5 3" xfId="5920" hidden="1" xr:uid="{00000000-0005-0000-0000-0000AB160000}"/>
    <cellStyle name="60% - Accent5 3" xfId="5953" hidden="1" xr:uid="{00000000-0005-0000-0000-0000AC160000}"/>
    <cellStyle name="60% - Accent5 3" xfId="5985" hidden="1" xr:uid="{00000000-0005-0000-0000-0000AD160000}"/>
    <cellStyle name="60% - Accent5 3" xfId="6018" hidden="1" xr:uid="{00000000-0005-0000-0000-0000AE160000}"/>
    <cellStyle name="60% - Accent5 3" xfId="6050" hidden="1" xr:uid="{00000000-0005-0000-0000-0000AF160000}"/>
    <cellStyle name="60% - Accent5 3" xfId="6083" hidden="1" xr:uid="{00000000-0005-0000-0000-0000B0160000}"/>
    <cellStyle name="60% - Accent5 3" xfId="6116" hidden="1" xr:uid="{00000000-0005-0000-0000-0000B1160000}"/>
    <cellStyle name="60% - Accent5 3" xfId="6149" hidden="1" xr:uid="{00000000-0005-0000-0000-0000B2160000}"/>
    <cellStyle name="60% - Accent5 3" xfId="6182" hidden="1" xr:uid="{00000000-0005-0000-0000-0000B3160000}"/>
    <cellStyle name="60% - Accent5 3" xfId="6215" hidden="1" xr:uid="{00000000-0005-0000-0000-0000B4160000}"/>
    <cellStyle name="60% - Accent5 3" xfId="6248" hidden="1" xr:uid="{00000000-0005-0000-0000-0000B5160000}"/>
    <cellStyle name="60% - Accent5 3" xfId="5772" hidden="1" xr:uid="{00000000-0005-0000-0000-0000B6160000}"/>
    <cellStyle name="60% - Accent5 3" xfId="6300" hidden="1" xr:uid="{00000000-0005-0000-0000-0000B7160000}"/>
    <cellStyle name="60% - Accent5 3" xfId="6333" hidden="1" xr:uid="{00000000-0005-0000-0000-0000B8160000}"/>
    <cellStyle name="60% - Accent5 3" xfId="6365" hidden="1" xr:uid="{00000000-0005-0000-0000-0000B9160000}"/>
    <cellStyle name="60% - Accent5 3" xfId="6397" hidden="1" xr:uid="{00000000-0005-0000-0000-0000BA160000}"/>
    <cellStyle name="60% - Accent5 3" xfId="6430" hidden="1" xr:uid="{00000000-0005-0000-0000-0000BB160000}"/>
    <cellStyle name="60% - Accent5 3" xfId="6462" hidden="1" xr:uid="{00000000-0005-0000-0000-0000BC160000}"/>
    <cellStyle name="60% - Accent5 3" xfId="6495" hidden="1" xr:uid="{00000000-0005-0000-0000-0000BD160000}"/>
    <cellStyle name="60% - Accent5 3" xfId="6527" hidden="1" xr:uid="{00000000-0005-0000-0000-0000BE160000}"/>
    <cellStyle name="60% - Accent5 3" xfId="6560" hidden="1" xr:uid="{00000000-0005-0000-0000-0000BF160000}"/>
    <cellStyle name="60% - Accent5 3" xfId="6593" hidden="1" xr:uid="{00000000-0005-0000-0000-0000C0160000}"/>
    <cellStyle name="60% - Accent5 3" xfId="6626" hidden="1" xr:uid="{00000000-0005-0000-0000-0000C1160000}"/>
    <cellStyle name="60% - Accent5 3" xfId="6659" hidden="1" xr:uid="{00000000-0005-0000-0000-0000C2160000}"/>
    <cellStyle name="60% - Accent5 3" xfId="6692" hidden="1" xr:uid="{00000000-0005-0000-0000-0000C3160000}"/>
    <cellStyle name="60% - Accent5 3" xfId="6725" hidden="1" xr:uid="{00000000-0005-0000-0000-0000C4160000}"/>
    <cellStyle name="60% - Accent5 3" xfId="6782" hidden="1" xr:uid="{00000000-0005-0000-0000-0000C5160000}"/>
    <cellStyle name="60% - Accent5 3" xfId="6819" hidden="1" xr:uid="{00000000-0005-0000-0000-0000C6160000}"/>
    <cellStyle name="60% - Accent5 3" xfId="6852" hidden="1" xr:uid="{00000000-0005-0000-0000-0000C7160000}"/>
    <cellStyle name="60% - Accent5 3" xfId="6884" hidden="1" xr:uid="{00000000-0005-0000-0000-0000C8160000}"/>
    <cellStyle name="60% - Accent5 3" xfId="6916" hidden="1" xr:uid="{00000000-0005-0000-0000-0000C9160000}"/>
    <cellStyle name="60% - Accent5 3" xfId="6949" hidden="1" xr:uid="{00000000-0005-0000-0000-0000CA160000}"/>
    <cellStyle name="60% - Accent5 3" xfId="6981" hidden="1" xr:uid="{00000000-0005-0000-0000-0000CB160000}"/>
    <cellStyle name="60% - Accent5 3" xfId="7014" hidden="1" xr:uid="{00000000-0005-0000-0000-0000CC160000}"/>
    <cellStyle name="60% - Accent5 3" xfId="7046" hidden="1" xr:uid="{00000000-0005-0000-0000-0000CD160000}"/>
    <cellStyle name="60% - Accent5 3" xfId="7079" hidden="1" xr:uid="{00000000-0005-0000-0000-0000CE160000}"/>
    <cellStyle name="60% - Accent5 3" xfId="7112" hidden="1" xr:uid="{00000000-0005-0000-0000-0000CF160000}"/>
    <cellStyle name="60% - Accent5 3" xfId="7145" hidden="1" xr:uid="{00000000-0005-0000-0000-0000D0160000}"/>
    <cellStyle name="60% - Accent5 3" xfId="7178" hidden="1" xr:uid="{00000000-0005-0000-0000-0000D1160000}"/>
    <cellStyle name="60% - Accent5 3" xfId="7211" hidden="1" xr:uid="{00000000-0005-0000-0000-0000D2160000}"/>
    <cellStyle name="60% - Accent5 3" xfId="7244" hidden="1" xr:uid="{00000000-0005-0000-0000-0000D3160000}"/>
    <cellStyle name="60% - Accent5 3" xfId="7295" hidden="1" xr:uid="{00000000-0005-0000-0000-0000D4160000}"/>
    <cellStyle name="60% - Accent5 3" xfId="7332" hidden="1" xr:uid="{00000000-0005-0000-0000-0000D5160000}"/>
    <cellStyle name="60% - Accent5 3" xfId="7365" hidden="1" xr:uid="{00000000-0005-0000-0000-0000D6160000}"/>
    <cellStyle name="60% - Accent5 3" xfId="7397" hidden="1" xr:uid="{00000000-0005-0000-0000-0000D7160000}"/>
    <cellStyle name="60% - Accent5 3" xfId="7429" hidden="1" xr:uid="{00000000-0005-0000-0000-0000D8160000}"/>
    <cellStyle name="60% - Accent5 3" xfId="7462" hidden="1" xr:uid="{00000000-0005-0000-0000-0000D9160000}"/>
    <cellStyle name="60% - Accent5 3" xfId="7494" hidden="1" xr:uid="{00000000-0005-0000-0000-0000DA160000}"/>
    <cellStyle name="60% - Accent5 3" xfId="7527" hidden="1" xr:uid="{00000000-0005-0000-0000-0000DB160000}"/>
    <cellStyle name="60% - Accent5 3" xfId="7559" hidden="1" xr:uid="{00000000-0005-0000-0000-0000DC160000}"/>
    <cellStyle name="60% - Accent5 3" xfId="7592" hidden="1" xr:uid="{00000000-0005-0000-0000-0000DD160000}"/>
    <cellStyle name="60% - Accent5 3" xfId="7625" hidden="1" xr:uid="{00000000-0005-0000-0000-0000DE160000}"/>
    <cellStyle name="60% - Accent5 3" xfId="7658" hidden="1" xr:uid="{00000000-0005-0000-0000-0000DF160000}"/>
    <cellStyle name="60% - Accent5 3" xfId="7691" hidden="1" xr:uid="{00000000-0005-0000-0000-0000E0160000}"/>
    <cellStyle name="60% - Accent5 3" xfId="7724" hidden="1" xr:uid="{00000000-0005-0000-0000-0000E1160000}"/>
    <cellStyle name="60% - Accent5 3" xfId="7757" hidden="1" xr:uid="{00000000-0005-0000-0000-0000E2160000}"/>
    <cellStyle name="60% - Accent5 3" xfId="7281" hidden="1" xr:uid="{00000000-0005-0000-0000-0000E3160000}"/>
    <cellStyle name="60% - Accent5 3" xfId="7809" hidden="1" xr:uid="{00000000-0005-0000-0000-0000E4160000}"/>
    <cellStyle name="60% - Accent5 3" xfId="7842" hidden="1" xr:uid="{00000000-0005-0000-0000-0000E5160000}"/>
    <cellStyle name="60% - Accent5 3" xfId="7874" hidden="1" xr:uid="{00000000-0005-0000-0000-0000E6160000}"/>
    <cellStyle name="60% - Accent5 3" xfId="7906" hidden="1" xr:uid="{00000000-0005-0000-0000-0000E7160000}"/>
    <cellStyle name="60% - Accent5 3" xfId="7939" hidden="1" xr:uid="{00000000-0005-0000-0000-0000E8160000}"/>
    <cellStyle name="60% - Accent5 3" xfId="7971" hidden="1" xr:uid="{00000000-0005-0000-0000-0000E9160000}"/>
    <cellStyle name="60% - Accent5 3" xfId="8004" hidden="1" xr:uid="{00000000-0005-0000-0000-0000EA160000}"/>
    <cellStyle name="60% - Accent5 3" xfId="8036" hidden="1" xr:uid="{00000000-0005-0000-0000-0000EB160000}"/>
    <cellStyle name="60% - Accent5 3" xfId="8069" hidden="1" xr:uid="{00000000-0005-0000-0000-0000EC160000}"/>
    <cellStyle name="60% - Accent5 3" xfId="8102" hidden="1" xr:uid="{00000000-0005-0000-0000-0000ED160000}"/>
    <cellStyle name="60% - Accent5 3" xfId="8135" hidden="1" xr:uid="{00000000-0005-0000-0000-0000EE160000}"/>
    <cellStyle name="60% - Accent5 3" xfId="8168" hidden="1" xr:uid="{00000000-0005-0000-0000-0000EF160000}"/>
    <cellStyle name="60% - Accent5 3" xfId="8201" hidden="1" xr:uid="{00000000-0005-0000-0000-0000F0160000}"/>
    <cellStyle name="60% - Accent5 3" xfId="8234" hidden="1" xr:uid="{00000000-0005-0000-0000-0000F1160000}"/>
    <cellStyle name="60% - Accent5 3" xfId="6777" hidden="1" xr:uid="{00000000-0005-0000-0000-0000F2160000}"/>
    <cellStyle name="60% - Accent5 3" xfId="5742" hidden="1" xr:uid="{00000000-0005-0000-0000-0000F3160000}"/>
    <cellStyle name="60% - Accent5 3" xfId="4323" hidden="1" xr:uid="{00000000-0005-0000-0000-0000F4160000}"/>
    <cellStyle name="60% - Accent5 3" xfId="6761" hidden="1" xr:uid="{00000000-0005-0000-0000-0000F5160000}"/>
    <cellStyle name="60% - Accent5 3" xfId="4293" hidden="1" xr:uid="{00000000-0005-0000-0000-0000F6160000}"/>
    <cellStyle name="60% - Accent5 3" xfId="4381" hidden="1" xr:uid="{00000000-0005-0000-0000-0000F7160000}"/>
    <cellStyle name="60% - Accent5 3" xfId="4252" hidden="1" xr:uid="{00000000-0005-0000-0000-0000F8160000}"/>
    <cellStyle name="60% - Accent5 3" xfId="8279" hidden="1" xr:uid="{00000000-0005-0000-0000-0000F9160000}"/>
    <cellStyle name="60% - Accent5 3" xfId="8312" hidden="1" xr:uid="{00000000-0005-0000-0000-0000FA160000}"/>
    <cellStyle name="60% - Accent5 3" xfId="8345" hidden="1" xr:uid="{00000000-0005-0000-0000-0000FB160000}"/>
    <cellStyle name="60% - Accent5 3" xfId="8378" hidden="1" xr:uid="{00000000-0005-0000-0000-0000FC160000}"/>
    <cellStyle name="60% - Accent5 3" xfId="8415" hidden="1" xr:uid="{00000000-0005-0000-0000-0000FD160000}"/>
    <cellStyle name="60% - Accent5 3" xfId="8448" hidden="1" xr:uid="{00000000-0005-0000-0000-0000FE160000}"/>
    <cellStyle name="60% - Accent5 3" xfId="8480" hidden="1" xr:uid="{00000000-0005-0000-0000-0000FF160000}"/>
    <cellStyle name="60% - Accent5 3" xfId="8512" hidden="1" xr:uid="{00000000-0005-0000-0000-000000170000}"/>
    <cellStyle name="60% - Accent5 3" xfId="8545" hidden="1" xr:uid="{00000000-0005-0000-0000-000001170000}"/>
    <cellStyle name="60% - Accent5 3" xfId="8577" hidden="1" xr:uid="{00000000-0005-0000-0000-000002170000}"/>
    <cellStyle name="60% - Accent5 3" xfId="8610" hidden="1" xr:uid="{00000000-0005-0000-0000-000003170000}"/>
    <cellStyle name="60% - Accent5 3" xfId="8642" hidden="1" xr:uid="{00000000-0005-0000-0000-000004170000}"/>
    <cellStyle name="60% - Accent5 3" xfId="8675" hidden="1" xr:uid="{00000000-0005-0000-0000-000005170000}"/>
    <cellStyle name="60% - Accent5 3" xfId="8708" hidden="1" xr:uid="{00000000-0005-0000-0000-000006170000}"/>
    <cellStyle name="60% - Accent5 3" xfId="8741" hidden="1" xr:uid="{00000000-0005-0000-0000-000007170000}"/>
    <cellStyle name="60% - Accent5 3" xfId="8774" hidden="1" xr:uid="{00000000-0005-0000-0000-000008170000}"/>
    <cellStyle name="60% - Accent5 3" xfId="8807" hidden="1" xr:uid="{00000000-0005-0000-0000-000009170000}"/>
    <cellStyle name="60% - Accent5 3" xfId="8840" hidden="1" xr:uid="{00000000-0005-0000-0000-00000A170000}"/>
    <cellStyle name="60% - Accent5 3" xfId="8880" hidden="1" xr:uid="{00000000-0005-0000-0000-00000B170000}"/>
    <cellStyle name="60% - Accent5 3" xfId="8917" hidden="1" xr:uid="{00000000-0005-0000-0000-00000C170000}"/>
    <cellStyle name="60% - Accent5 3" xfId="8950" hidden="1" xr:uid="{00000000-0005-0000-0000-00000D170000}"/>
    <cellStyle name="60% - Accent5 3" xfId="8982" hidden="1" xr:uid="{00000000-0005-0000-0000-00000E170000}"/>
    <cellStyle name="60% - Accent5 3" xfId="9014" hidden="1" xr:uid="{00000000-0005-0000-0000-00000F170000}"/>
    <cellStyle name="60% - Accent5 3" xfId="9047" hidden="1" xr:uid="{00000000-0005-0000-0000-000010170000}"/>
    <cellStyle name="60% - Accent5 3" xfId="9079" hidden="1" xr:uid="{00000000-0005-0000-0000-000011170000}"/>
    <cellStyle name="60% - Accent5 3" xfId="9112" hidden="1" xr:uid="{00000000-0005-0000-0000-000012170000}"/>
    <cellStyle name="60% - Accent5 3" xfId="9144" hidden="1" xr:uid="{00000000-0005-0000-0000-000013170000}"/>
    <cellStyle name="60% - Accent5 3" xfId="9177" hidden="1" xr:uid="{00000000-0005-0000-0000-000014170000}"/>
    <cellStyle name="60% - Accent5 3" xfId="9210" hidden="1" xr:uid="{00000000-0005-0000-0000-000015170000}"/>
    <cellStyle name="60% - Accent5 3" xfId="9243" hidden="1" xr:uid="{00000000-0005-0000-0000-000016170000}"/>
    <cellStyle name="60% - Accent5 3" xfId="9276" hidden="1" xr:uid="{00000000-0005-0000-0000-000017170000}"/>
    <cellStyle name="60% - Accent5 3" xfId="9309" hidden="1" xr:uid="{00000000-0005-0000-0000-000018170000}"/>
    <cellStyle name="60% - Accent5 3" xfId="9342" hidden="1" xr:uid="{00000000-0005-0000-0000-000019170000}"/>
    <cellStyle name="60% - Accent5 3" xfId="9393" hidden="1" xr:uid="{00000000-0005-0000-0000-00001A170000}"/>
    <cellStyle name="60% - Accent5 3" xfId="9430" hidden="1" xr:uid="{00000000-0005-0000-0000-00001B170000}"/>
    <cellStyle name="60% - Accent5 3" xfId="9463" hidden="1" xr:uid="{00000000-0005-0000-0000-00001C170000}"/>
    <cellStyle name="60% - Accent5 3" xfId="9495" hidden="1" xr:uid="{00000000-0005-0000-0000-00001D170000}"/>
    <cellStyle name="60% - Accent5 3" xfId="9527" hidden="1" xr:uid="{00000000-0005-0000-0000-00001E170000}"/>
    <cellStyle name="60% - Accent5 3" xfId="9560" hidden="1" xr:uid="{00000000-0005-0000-0000-00001F170000}"/>
    <cellStyle name="60% - Accent5 3" xfId="9592" hidden="1" xr:uid="{00000000-0005-0000-0000-000020170000}"/>
    <cellStyle name="60% - Accent5 3" xfId="9625" hidden="1" xr:uid="{00000000-0005-0000-0000-000021170000}"/>
    <cellStyle name="60% - Accent5 3" xfId="9657" hidden="1" xr:uid="{00000000-0005-0000-0000-000022170000}"/>
    <cellStyle name="60% - Accent5 3" xfId="9690" hidden="1" xr:uid="{00000000-0005-0000-0000-000023170000}"/>
    <cellStyle name="60% - Accent5 3" xfId="9723" hidden="1" xr:uid="{00000000-0005-0000-0000-000024170000}"/>
    <cellStyle name="60% - Accent5 3" xfId="9756" hidden="1" xr:uid="{00000000-0005-0000-0000-000025170000}"/>
    <cellStyle name="60% - Accent5 3" xfId="9789" hidden="1" xr:uid="{00000000-0005-0000-0000-000026170000}"/>
    <cellStyle name="60% - Accent5 3" xfId="9822" hidden="1" xr:uid="{00000000-0005-0000-0000-000027170000}"/>
    <cellStyle name="60% - Accent5 3" xfId="9855" hidden="1" xr:uid="{00000000-0005-0000-0000-000028170000}"/>
    <cellStyle name="60% - Accent5 3" xfId="9379" hidden="1" xr:uid="{00000000-0005-0000-0000-000029170000}"/>
    <cellStyle name="60% - Accent5 3" xfId="9907" hidden="1" xr:uid="{00000000-0005-0000-0000-00002A170000}"/>
    <cellStyle name="60% - Accent5 3" xfId="9940" hidden="1" xr:uid="{00000000-0005-0000-0000-00002B170000}"/>
    <cellStyle name="60% - Accent5 3" xfId="9972" hidden="1" xr:uid="{00000000-0005-0000-0000-00002C170000}"/>
    <cellStyle name="60% - Accent5 3" xfId="10004" hidden="1" xr:uid="{00000000-0005-0000-0000-00002D170000}"/>
    <cellStyle name="60% - Accent5 3" xfId="10037" hidden="1" xr:uid="{00000000-0005-0000-0000-00002E170000}"/>
    <cellStyle name="60% - Accent5 3" xfId="10069" hidden="1" xr:uid="{00000000-0005-0000-0000-00002F170000}"/>
    <cellStyle name="60% - Accent5 3" xfId="10102" hidden="1" xr:uid="{00000000-0005-0000-0000-000030170000}"/>
    <cellStyle name="60% - Accent5 3" xfId="10134" hidden="1" xr:uid="{00000000-0005-0000-0000-000031170000}"/>
    <cellStyle name="60% - Accent5 3" xfId="10167" hidden="1" xr:uid="{00000000-0005-0000-0000-000032170000}"/>
    <cellStyle name="60% - Accent5 3" xfId="10200" hidden="1" xr:uid="{00000000-0005-0000-0000-000033170000}"/>
    <cellStyle name="60% - Accent5 3" xfId="10233" hidden="1" xr:uid="{00000000-0005-0000-0000-000034170000}"/>
    <cellStyle name="60% - Accent5 3" xfId="10266" hidden="1" xr:uid="{00000000-0005-0000-0000-000035170000}"/>
    <cellStyle name="60% - Accent5 3" xfId="10299" hidden="1" xr:uid="{00000000-0005-0000-0000-000036170000}"/>
    <cellStyle name="60% - Accent5 3" xfId="10332" hidden="1" xr:uid="{00000000-0005-0000-0000-000037170000}"/>
    <cellStyle name="60% - Accent5 3" xfId="10358" hidden="1" xr:uid="{00000000-0005-0000-0000-000038170000}"/>
    <cellStyle name="60% - Accent5 3" xfId="10395" hidden="1" xr:uid="{00000000-0005-0000-0000-000039170000}"/>
    <cellStyle name="60% - Accent5 3" xfId="10428" hidden="1" xr:uid="{00000000-0005-0000-0000-00003A170000}"/>
    <cellStyle name="60% - Accent5 3" xfId="10460" hidden="1" xr:uid="{00000000-0005-0000-0000-00003B170000}"/>
    <cellStyle name="60% - Accent5 3" xfId="10492" hidden="1" xr:uid="{00000000-0005-0000-0000-00003C170000}"/>
    <cellStyle name="60% - Accent5 3" xfId="10525" hidden="1" xr:uid="{00000000-0005-0000-0000-00003D170000}"/>
    <cellStyle name="60% - Accent5 3" xfId="10557" hidden="1" xr:uid="{00000000-0005-0000-0000-00003E170000}"/>
    <cellStyle name="60% - Accent5 3" xfId="10590" hidden="1" xr:uid="{00000000-0005-0000-0000-00003F170000}"/>
    <cellStyle name="60% - Accent5 3" xfId="10622" hidden="1" xr:uid="{00000000-0005-0000-0000-000040170000}"/>
    <cellStyle name="60% - Accent5 3" xfId="10655" hidden="1" xr:uid="{00000000-0005-0000-0000-000041170000}"/>
    <cellStyle name="60% - Accent5 3" xfId="10688" hidden="1" xr:uid="{00000000-0005-0000-0000-000042170000}"/>
    <cellStyle name="60% - Accent5 3" xfId="10721" hidden="1" xr:uid="{00000000-0005-0000-0000-000043170000}"/>
    <cellStyle name="60% - Accent5 3" xfId="10754" hidden="1" xr:uid="{00000000-0005-0000-0000-000044170000}"/>
    <cellStyle name="60% - Accent5 3" xfId="10787" hidden="1" xr:uid="{00000000-0005-0000-0000-000045170000}"/>
    <cellStyle name="60% - Accent5 3" xfId="10820" hidden="1" xr:uid="{00000000-0005-0000-0000-000046170000}"/>
    <cellStyle name="60% - Accent5 3" xfId="10871" hidden="1" xr:uid="{00000000-0005-0000-0000-000047170000}"/>
    <cellStyle name="60% - Accent5 3" xfId="10908" hidden="1" xr:uid="{00000000-0005-0000-0000-000048170000}"/>
    <cellStyle name="60% - Accent5 3" xfId="10941" hidden="1" xr:uid="{00000000-0005-0000-0000-000049170000}"/>
    <cellStyle name="60% - Accent5 3" xfId="10973" hidden="1" xr:uid="{00000000-0005-0000-0000-00004A170000}"/>
    <cellStyle name="60% - Accent5 3" xfId="11005" hidden="1" xr:uid="{00000000-0005-0000-0000-00004B170000}"/>
    <cellStyle name="60% - Accent5 3" xfId="11038" hidden="1" xr:uid="{00000000-0005-0000-0000-00004C170000}"/>
    <cellStyle name="60% - Accent5 3" xfId="11070" hidden="1" xr:uid="{00000000-0005-0000-0000-00004D170000}"/>
    <cellStyle name="60% - Accent5 3" xfId="11103" hidden="1" xr:uid="{00000000-0005-0000-0000-00004E170000}"/>
    <cellStyle name="60% - Accent5 3" xfId="11135" hidden="1" xr:uid="{00000000-0005-0000-0000-00004F170000}"/>
    <cellStyle name="60% - Accent5 3" xfId="11168" hidden="1" xr:uid="{00000000-0005-0000-0000-000050170000}"/>
    <cellStyle name="60% - Accent5 3" xfId="11201" hidden="1" xr:uid="{00000000-0005-0000-0000-000051170000}"/>
    <cellStyle name="60% - Accent5 3" xfId="11234" hidden="1" xr:uid="{00000000-0005-0000-0000-000052170000}"/>
    <cellStyle name="60% - Accent5 3" xfId="11267" hidden="1" xr:uid="{00000000-0005-0000-0000-000053170000}"/>
    <cellStyle name="60% - Accent5 3" xfId="11300" hidden="1" xr:uid="{00000000-0005-0000-0000-000054170000}"/>
    <cellStyle name="60% - Accent5 3" xfId="11333" hidden="1" xr:uid="{00000000-0005-0000-0000-000055170000}"/>
    <cellStyle name="60% - Accent5 3" xfId="10857" hidden="1" xr:uid="{00000000-0005-0000-0000-000056170000}"/>
    <cellStyle name="60% - Accent5 3" xfId="11385" hidden="1" xr:uid="{00000000-0005-0000-0000-000057170000}"/>
    <cellStyle name="60% - Accent5 3" xfId="11418" hidden="1" xr:uid="{00000000-0005-0000-0000-000058170000}"/>
    <cellStyle name="60% - Accent5 3" xfId="11450" hidden="1" xr:uid="{00000000-0005-0000-0000-000059170000}"/>
    <cellStyle name="60% - Accent5 3" xfId="11482" hidden="1" xr:uid="{00000000-0005-0000-0000-00005A170000}"/>
    <cellStyle name="60% - Accent5 3" xfId="11515" hidden="1" xr:uid="{00000000-0005-0000-0000-00005B170000}"/>
    <cellStyle name="60% - Accent5 3" xfId="11547" hidden="1" xr:uid="{00000000-0005-0000-0000-00005C170000}"/>
    <cellStyle name="60% - Accent5 3" xfId="11580" hidden="1" xr:uid="{00000000-0005-0000-0000-00005D170000}"/>
    <cellStyle name="60% - Accent5 3" xfId="11612" hidden="1" xr:uid="{00000000-0005-0000-0000-00005E170000}"/>
    <cellStyle name="60% - Accent5 3" xfId="11645" hidden="1" xr:uid="{00000000-0005-0000-0000-00005F170000}"/>
    <cellStyle name="60% - Accent5 3" xfId="11678" hidden="1" xr:uid="{00000000-0005-0000-0000-000060170000}"/>
    <cellStyle name="60% - Accent5 3" xfId="11711" hidden="1" xr:uid="{00000000-0005-0000-0000-000061170000}"/>
    <cellStyle name="60% - Accent5 3" xfId="11744" hidden="1" xr:uid="{00000000-0005-0000-0000-000062170000}"/>
    <cellStyle name="60% - Accent5 3" xfId="11777" hidden="1" xr:uid="{00000000-0005-0000-0000-000063170000}"/>
    <cellStyle name="60% - Accent5 3" xfId="11810" xr:uid="{00000000-0005-0000-0000-000064170000}"/>
    <cellStyle name="60% - Accent6 2" xfId="72" xr:uid="{00000000-0005-0000-0000-000065170000}"/>
    <cellStyle name="60% - Accent6 2 2" xfId="1590" xr:uid="{00000000-0005-0000-0000-000066170000}"/>
    <cellStyle name="60% - Accent6 2 3" xfId="2727" xr:uid="{00000000-0005-0000-0000-000067170000}"/>
    <cellStyle name="60% - Accent6 3" xfId="231" hidden="1" xr:uid="{00000000-0005-0000-0000-000068170000}"/>
    <cellStyle name="60% - Accent6 3" xfId="232" hidden="1" xr:uid="{00000000-0005-0000-0000-000069170000}"/>
    <cellStyle name="60% - Accent6 3" xfId="265" hidden="1" xr:uid="{00000000-0005-0000-0000-00006A170000}"/>
    <cellStyle name="60% - Accent6 3" xfId="298" hidden="1" xr:uid="{00000000-0005-0000-0000-00006B170000}"/>
    <cellStyle name="60% - Accent6 3" xfId="331" hidden="1" xr:uid="{00000000-0005-0000-0000-00006C170000}"/>
    <cellStyle name="60% - Accent6 3" xfId="365" hidden="1" xr:uid="{00000000-0005-0000-0000-00006D170000}"/>
    <cellStyle name="60% - Accent6 3" xfId="398" hidden="1" xr:uid="{00000000-0005-0000-0000-00006E170000}"/>
    <cellStyle name="60% - Accent6 3" xfId="431" hidden="1" xr:uid="{00000000-0005-0000-0000-00006F170000}"/>
    <cellStyle name="60% - Accent6 3" xfId="464" hidden="1" xr:uid="{00000000-0005-0000-0000-000070170000}"/>
    <cellStyle name="60% - Accent6 3" xfId="497" hidden="1" xr:uid="{00000000-0005-0000-0000-000071170000}"/>
    <cellStyle name="60% - Accent6 3" xfId="530" hidden="1" xr:uid="{00000000-0005-0000-0000-000072170000}"/>
    <cellStyle name="60% - Accent6 3" xfId="563" hidden="1" xr:uid="{00000000-0005-0000-0000-000073170000}"/>
    <cellStyle name="60% - Accent6 3" xfId="600" hidden="1" xr:uid="{00000000-0005-0000-0000-000074170000}"/>
    <cellStyle name="60% - Accent6 3" xfId="633" hidden="1" xr:uid="{00000000-0005-0000-0000-000075170000}"/>
    <cellStyle name="60% - Accent6 3" xfId="597" hidden="1" xr:uid="{00000000-0005-0000-0000-000076170000}"/>
    <cellStyle name="60% - Accent6 3" xfId="596" hidden="1" xr:uid="{00000000-0005-0000-0000-000077170000}"/>
    <cellStyle name="60% - Accent6 3" xfId="730" hidden="1" xr:uid="{00000000-0005-0000-0000-000078170000}"/>
    <cellStyle name="60% - Accent6 3" xfId="598" hidden="1" xr:uid="{00000000-0005-0000-0000-000079170000}"/>
    <cellStyle name="60% - Accent6 3" xfId="795" hidden="1" xr:uid="{00000000-0005-0000-0000-00007A170000}"/>
    <cellStyle name="60% - Accent6 3" xfId="599" hidden="1" xr:uid="{00000000-0005-0000-0000-00007B170000}"/>
    <cellStyle name="60% - Accent6 3" xfId="860" hidden="1" xr:uid="{00000000-0005-0000-0000-00007C170000}"/>
    <cellStyle name="60% - Accent6 3" xfId="893" hidden="1" xr:uid="{00000000-0005-0000-0000-00007D170000}"/>
    <cellStyle name="60% - Accent6 3" xfId="926" hidden="1" xr:uid="{00000000-0005-0000-0000-00007E170000}"/>
    <cellStyle name="60% - Accent6 3" xfId="959" hidden="1" xr:uid="{00000000-0005-0000-0000-00007F170000}"/>
    <cellStyle name="60% - Accent6 3" xfId="992" hidden="1" xr:uid="{00000000-0005-0000-0000-000080170000}"/>
    <cellStyle name="60% - Accent6 3" xfId="1025" hidden="1" xr:uid="{00000000-0005-0000-0000-000081170000}"/>
    <cellStyle name="60% - Accent6 3" xfId="1068" hidden="1" xr:uid="{00000000-0005-0000-0000-000082170000}"/>
    <cellStyle name="60% - Accent6 3" xfId="1106" hidden="1" xr:uid="{00000000-0005-0000-0000-000083170000}"/>
    <cellStyle name="60% - Accent6 3" xfId="1139" hidden="1" xr:uid="{00000000-0005-0000-0000-000084170000}"/>
    <cellStyle name="60% - Accent6 3" xfId="1103" hidden="1" xr:uid="{00000000-0005-0000-0000-000085170000}"/>
    <cellStyle name="60% - Accent6 3" xfId="1102" hidden="1" xr:uid="{00000000-0005-0000-0000-000086170000}"/>
    <cellStyle name="60% - Accent6 3" xfId="1236" hidden="1" xr:uid="{00000000-0005-0000-0000-000087170000}"/>
    <cellStyle name="60% - Accent6 3" xfId="1104" hidden="1" xr:uid="{00000000-0005-0000-0000-000088170000}"/>
    <cellStyle name="60% - Accent6 3" xfId="1301" hidden="1" xr:uid="{00000000-0005-0000-0000-000089170000}"/>
    <cellStyle name="60% - Accent6 3" xfId="1105" hidden="1" xr:uid="{00000000-0005-0000-0000-00008A170000}"/>
    <cellStyle name="60% - Accent6 3" xfId="1366" hidden="1" xr:uid="{00000000-0005-0000-0000-00008B170000}"/>
    <cellStyle name="60% - Accent6 3" xfId="1399" hidden="1" xr:uid="{00000000-0005-0000-0000-00008C170000}"/>
    <cellStyle name="60% - Accent6 3" xfId="1432" hidden="1" xr:uid="{00000000-0005-0000-0000-00008D170000}"/>
    <cellStyle name="60% - Accent6 3" xfId="1465" hidden="1" xr:uid="{00000000-0005-0000-0000-00008E170000}"/>
    <cellStyle name="60% - Accent6 3" xfId="1498" hidden="1" xr:uid="{00000000-0005-0000-0000-00008F170000}"/>
    <cellStyle name="60% - Accent6 3" xfId="1531" hidden="1" xr:uid="{00000000-0005-0000-0000-000090170000}"/>
    <cellStyle name="60% - Accent6 3" xfId="1745" hidden="1" xr:uid="{00000000-0005-0000-0000-000091170000}"/>
    <cellStyle name="60% - Accent6 3" xfId="1782" hidden="1" xr:uid="{00000000-0005-0000-0000-000092170000}"/>
    <cellStyle name="60% - Accent6 3" xfId="1815" hidden="1" xr:uid="{00000000-0005-0000-0000-000093170000}"/>
    <cellStyle name="60% - Accent6 3" xfId="1779" hidden="1" xr:uid="{00000000-0005-0000-0000-000094170000}"/>
    <cellStyle name="60% - Accent6 3" xfId="1778" hidden="1" xr:uid="{00000000-0005-0000-0000-000095170000}"/>
    <cellStyle name="60% - Accent6 3" xfId="1912" hidden="1" xr:uid="{00000000-0005-0000-0000-000096170000}"/>
    <cellStyle name="60% - Accent6 3" xfId="1780" hidden="1" xr:uid="{00000000-0005-0000-0000-000097170000}"/>
    <cellStyle name="60% - Accent6 3" xfId="1977" hidden="1" xr:uid="{00000000-0005-0000-0000-000098170000}"/>
    <cellStyle name="60% - Accent6 3" xfId="1781" hidden="1" xr:uid="{00000000-0005-0000-0000-000099170000}"/>
    <cellStyle name="60% - Accent6 3" xfId="2042" hidden="1" xr:uid="{00000000-0005-0000-0000-00009A170000}"/>
    <cellStyle name="60% - Accent6 3" xfId="2075" hidden="1" xr:uid="{00000000-0005-0000-0000-00009B170000}"/>
    <cellStyle name="60% - Accent6 3" xfId="2108" hidden="1" xr:uid="{00000000-0005-0000-0000-00009C170000}"/>
    <cellStyle name="60% - Accent6 3" xfId="2141" hidden="1" xr:uid="{00000000-0005-0000-0000-00009D170000}"/>
    <cellStyle name="60% - Accent6 3" xfId="2174" hidden="1" xr:uid="{00000000-0005-0000-0000-00009E170000}"/>
    <cellStyle name="60% - Accent6 3" xfId="2207" hidden="1" xr:uid="{00000000-0005-0000-0000-00009F170000}"/>
    <cellStyle name="60% - Accent6 3" xfId="1737" hidden="1" xr:uid="{00000000-0005-0000-0000-0000A0170000}"/>
    <cellStyle name="60% - Accent6 3" xfId="2259" hidden="1" xr:uid="{00000000-0005-0000-0000-0000A1170000}"/>
    <cellStyle name="60% - Accent6 3" xfId="2292" hidden="1" xr:uid="{00000000-0005-0000-0000-0000A2170000}"/>
    <cellStyle name="60% - Accent6 3" xfId="2256" hidden="1" xr:uid="{00000000-0005-0000-0000-0000A3170000}"/>
    <cellStyle name="60% - Accent6 3" xfId="2255" hidden="1" xr:uid="{00000000-0005-0000-0000-0000A4170000}"/>
    <cellStyle name="60% - Accent6 3" xfId="2389" hidden="1" xr:uid="{00000000-0005-0000-0000-0000A5170000}"/>
    <cellStyle name="60% - Accent6 3" xfId="2257" hidden="1" xr:uid="{00000000-0005-0000-0000-0000A6170000}"/>
    <cellStyle name="60% - Accent6 3" xfId="2454" hidden="1" xr:uid="{00000000-0005-0000-0000-0000A7170000}"/>
    <cellStyle name="60% - Accent6 3" xfId="2258" hidden="1" xr:uid="{00000000-0005-0000-0000-0000A8170000}"/>
    <cellStyle name="60% - Accent6 3" xfId="2519" hidden="1" xr:uid="{00000000-0005-0000-0000-0000A9170000}"/>
    <cellStyle name="60% - Accent6 3" xfId="2552" hidden="1" xr:uid="{00000000-0005-0000-0000-0000AA170000}"/>
    <cellStyle name="60% - Accent6 3" xfId="2585" hidden="1" xr:uid="{00000000-0005-0000-0000-0000AB170000}"/>
    <cellStyle name="60% - Accent6 3" xfId="2618" hidden="1" xr:uid="{00000000-0005-0000-0000-0000AC170000}"/>
    <cellStyle name="60% - Accent6 3" xfId="2651" hidden="1" xr:uid="{00000000-0005-0000-0000-0000AD170000}"/>
    <cellStyle name="60% - Accent6 3" xfId="2684" hidden="1" xr:uid="{00000000-0005-0000-0000-0000AE170000}"/>
    <cellStyle name="60% - Accent6 3" xfId="2765" hidden="1" xr:uid="{00000000-0005-0000-0000-0000AF170000}"/>
    <cellStyle name="60% - Accent6 3" xfId="2802" hidden="1" xr:uid="{00000000-0005-0000-0000-0000B0170000}"/>
    <cellStyle name="60% - Accent6 3" xfId="2835" hidden="1" xr:uid="{00000000-0005-0000-0000-0000B1170000}"/>
    <cellStyle name="60% - Accent6 3" xfId="2799" hidden="1" xr:uid="{00000000-0005-0000-0000-0000B2170000}"/>
    <cellStyle name="60% - Accent6 3" xfId="2798" hidden="1" xr:uid="{00000000-0005-0000-0000-0000B3170000}"/>
    <cellStyle name="60% - Accent6 3" xfId="2932" hidden="1" xr:uid="{00000000-0005-0000-0000-0000B4170000}"/>
    <cellStyle name="60% - Accent6 3" xfId="2800" hidden="1" xr:uid="{00000000-0005-0000-0000-0000B5170000}"/>
    <cellStyle name="60% - Accent6 3" xfId="2997" hidden="1" xr:uid="{00000000-0005-0000-0000-0000B6170000}"/>
    <cellStyle name="60% - Accent6 3" xfId="2801" hidden="1" xr:uid="{00000000-0005-0000-0000-0000B7170000}"/>
    <cellStyle name="60% - Accent6 3" xfId="3062" hidden="1" xr:uid="{00000000-0005-0000-0000-0000B8170000}"/>
    <cellStyle name="60% - Accent6 3" xfId="3095" hidden="1" xr:uid="{00000000-0005-0000-0000-0000B9170000}"/>
    <cellStyle name="60% - Accent6 3" xfId="3128" hidden="1" xr:uid="{00000000-0005-0000-0000-0000BA170000}"/>
    <cellStyle name="60% - Accent6 3" xfId="3161" hidden="1" xr:uid="{00000000-0005-0000-0000-0000BB170000}"/>
    <cellStyle name="60% - Accent6 3" xfId="3194" hidden="1" xr:uid="{00000000-0005-0000-0000-0000BC170000}"/>
    <cellStyle name="60% - Accent6 3" xfId="3227" hidden="1" xr:uid="{00000000-0005-0000-0000-0000BD170000}"/>
    <cellStyle name="60% - Accent6 3" xfId="3278" hidden="1" xr:uid="{00000000-0005-0000-0000-0000BE170000}"/>
    <cellStyle name="60% - Accent6 3" xfId="3315" hidden="1" xr:uid="{00000000-0005-0000-0000-0000BF170000}"/>
    <cellStyle name="60% - Accent6 3" xfId="3348" hidden="1" xr:uid="{00000000-0005-0000-0000-0000C0170000}"/>
    <cellStyle name="60% - Accent6 3" xfId="3312" hidden="1" xr:uid="{00000000-0005-0000-0000-0000C1170000}"/>
    <cellStyle name="60% - Accent6 3" xfId="3311" hidden="1" xr:uid="{00000000-0005-0000-0000-0000C2170000}"/>
    <cellStyle name="60% - Accent6 3" xfId="3445" hidden="1" xr:uid="{00000000-0005-0000-0000-0000C3170000}"/>
    <cellStyle name="60% - Accent6 3" xfId="3313" hidden="1" xr:uid="{00000000-0005-0000-0000-0000C4170000}"/>
    <cellStyle name="60% - Accent6 3" xfId="3510" hidden="1" xr:uid="{00000000-0005-0000-0000-0000C5170000}"/>
    <cellStyle name="60% - Accent6 3" xfId="3314" hidden="1" xr:uid="{00000000-0005-0000-0000-0000C6170000}"/>
    <cellStyle name="60% - Accent6 3" xfId="3575" hidden="1" xr:uid="{00000000-0005-0000-0000-0000C7170000}"/>
    <cellStyle name="60% - Accent6 3" xfId="3608" hidden="1" xr:uid="{00000000-0005-0000-0000-0000C8170000}"/>
    <cellStyle name="60% - Accent6 3" xfId="3641" hidden="1" xr:uid="{00000000-0005-0000-0000-0000C9170000}"/>
    <cellStyle name="60% - Accent6 3" xfId="3674" hidden="1" xr:uid="{00000000-0005-0000-0000-0000CA170000}"/>
    <cellStyle name="60% - Accent6 3" xfId="3707" hidden="1" xr:uid="{00000000-0005-0000-0000-0000CB170000}"/>
    <cellStyle name="60% - Accent6 3" xfId="3740" hidden="1" xr:uid="{00000000-0005-0000-0000-0000CC170000}"/>
    <cellStyle name="60% - Accent6 3" xfId="3270" hidden="1" xr:uid="{00000000-0005-0000-0000-0000CD170000}"/>
    <cellStyle name="60% - Accent6 3" xfId="3792" hidden="1" xr:uid="{00000000-0005-0000-0000-0000CE170000}"/>
    <cellStyle name="60% - Accent6 3" xfId="3825" hidden="1" xr:uid="{00000000-0005-0000-0000-0000CF170000}"/>
    <cellStyle name="60% - Accent6 3" xfId="3789" hidden="1" xr:uid="{00000000-0005-0000-0000-0000D0170000}"/>
    <cellStyle name="60% - Accent6 3" xfId="3788" hidden="1" xr:uid="{00000000-0005-0000-0000-0000D1170000}"/>
    <cellStyle name="60% - Accent6 3" xfId="3922" hidden="1" xr:uid="{00000000-0005-0000-0000-0000D2170000}"/>
    <cellStyle name="60% - Accent6 3" xfId="3790" hidden="1" xr:uid="{00000000-0005-0000-0000-0000D3170000}"/>
    <cellStyle name="60% - Accent6 3" xfId="3987" hidden="1" xr:uid="{00000000-0005-0000-0000-0000D4170000}"/>
    <cellStyle name="60% - Accent6 3" xfId="3791" hidden="1" xr:uid="{00000000-0005-0000-0000-0000D5170000}"/>
    <cellStyle name="60% - Accent6 3" xfId="4052" hidden="1" xr:uid="{00000000-0005-0000-0000-0000D6170000}"/>
    <cellStyle name="60% - Accent6 3" xfId="4085" hidden="1" xr:uid="{00000000-0005-0000-0000-0000D7170000}"/>
    <cellStyle name="60% - Accent6 3" xfId="4118" hidden="1" xr:uid="{00000000-0005-0000-0000-0000D8170000}"/>
    <cellStyle name="60% - Accent6 3" xfId="4151" hidden="1" xr:uid="{00000000-0005-0000-0000-0000D9170000}"/>
    <cellStyle name="60% - Accent6 3" xfId="4184" hidden="1" xr:uid="{00000000-0005-0000-0000-0000DA170000}"/>
    <cellStyle name="60% - Accent6 3" xfId="4217" hidden="1" xr:uid="{00000000-0005-0000-0000-0000DB170000}"/>
    <cellStyle name="60% - Accent6 3" xfId="4384" hidden="1" xr:uid="{00000000-0005-0000-0000-0000DC170000}"/>
    <cellStyle name="60% - Accent6 3" xfId="4417" hidden="1" xr:uid="{00000000-0005-0000-0000-0000DD170000}"/>
    <cellStyle name="60% - Accent6 3" xfId="4450" hidden="1" xr:uid="{00000000-0005-0000-0000-0000DE170000}"/>
    <cellStyle name="60% - Accent6 3" xfId="4483" hidden="1" xr:uid="{00000000-0005-0000-0000-0000DF170000}"/>
    <cellStyle name="60% - Accent6 3" xfId="4516" hidden="1" xr:uid="{00000000-0005-0000-0000-0000E0170000}"/>
    <cellStyle name="60% - Accent6 3" xfId="4549" hidden="1" xr:uid="{00000000-0005-0000-0000-0000E1170000}"/>
    <cellStyle name="60% - Accent6 3" xfId="4582" hidden="1" xr:uid="{00000000-0005-0000-0000-0000E2170000}"/>
    <cellStyle name="60% - Accent6 3" xfId="4615" hidden="1" xr:uid="{00000000-0005-0000-0000-0000E3170000}"/>
    <cellStyle name="60% - Accent6 3" xfId="4648" hidden="1" xr:uid="{00000000-0005-0000-0000-0000E4170000}"/>
    <cellStyle name="60% - Accent6 3" xfId="4681" hidden="1" xr:uid="{00000000-0005-0000-0000-0000E5170000}"/>
    <cellStyle name="60% - Accent6 3" xfId="4714" hidden="1" xr:uid="{00000000-0005-0000-0000-0000E6170000}"/>
    <cellStyle name="60% - Accent6 3" xfId="4751" hidden="1" xr:uid="{00000000-0005-0000-0000-0000E7170000}"/>
    <cellStyle name="60% - Accent6 3" xfId="4784" hidden="1" xr:uid="{00000000-0005-0000-0000-0000E8170000}"/>
    <cellStyle name="60% - Accent6 3" xfId="4748" hidden="1" xr:uid="{00000000-0005-0000-0000-0000E9170000}"/>
    <cellStyle name="60% - Accent6 3" xfId="4747" hidden="1" xr:uid="{00000000-0005-0000-0000-0000EA170000}"/>
    <cellStyle name="60% - Accent6 3" xfId="4881" hidden="1" xr:uid="{00000000-0005-0000-0000-0000EB170000}"/>
    <cellStyle name="60% - Accent6 3" xfId="4749" hidden="1" xr:uid="{00000000-0005-0000-0000-0000EC170000}"/>
    <cellStyle name="60% - Accent6 3" xfId="4946" hidden="1" xr:uid="{00000000-0005-0000-0000-0000ED170000}"/>
    <cellStyle name="60% - Accent6 3" xfId="4750" hidden="1" xr:uid="{00000000-0005-0000-0000-0000EE170000}"/>
    <cellStyle name="60% - Accent6 3" xfId="5011" hidden="1" xr:uid="{00000000-0005-0000-0000-0000EF170000}"/>
    <cellStyle name="60% - Accent6 3" xfId="5044" hidden="1" xr:uid="{00000000-0005-0000-0000-0000F0170000}"/>
    <cellStyle name="60% - Accent6 3" xfId="5077" hidden="1" xr:uid="{00000000-0005-0000-0000-0000F1170000}"/>
    <cellStyle name="60% - Accent6 3" xfId="5110" hidden="1" xr:uid="{00000000-0005-0000-0000-0000F2170000}"/>
    <cellStyle name="60% - Accent6 3" xfId="5143" hidden="1" xr:uid="{00000000-0005-0000-0000-0000F3170000}"/>
    <cellStyle name="60% - Accent6 3" xfId="5176" hidden="1" xr:uid="{00000000-0005-0000-0000-0000F4170000}"/>
    <cellStyle name="60% - Accent6 3" xfId="5217" hidden="1" xr:uid="{00000000-0005-0000-0000-0000F5170000}"/>
    <cellStyle name="60% - Accent6 3" xfId="5254" hidden="1" xr:uid="{00000000-0005-0000-0000-0000F6170000}"/>
    <cellStyle name="60% - Accent6 3" xfId="5287" hidden="1" xr:uid="{00000000-0005-0000-0000-0000F7170000}"/>
    <cellStyle name="60% - Accent6 3" xfId="5251" hidden="1" xr:uid="{00000000-0005-0000-0000-0000F8170000}"/>
    <cellStyle name="60% - Accent6 3" xfId="5250" hidden="1" xr:uid="{00000000-0005-0000-0000-0000F9170000}"/>
    <cellStyle name="60% - Accent6 3" xfId="5384" hidden="1" xr:uid="{00000000-0005-0000-0000-0000FA170000}"/>
    <cellStyle name="60% - Accent6 3" xfId="5252" hidden="1" xr:uid="{00000000-0005-0000-0000-0000FB170000}"/>
    <cellStyle name="60% - Accent6 3" xfId="5449" hidden="1" xr:uid="{00000000-0005-0000-0000-0000FC170000}"/>
    <cellStyle name="60% - Accent6 3" xfId="5253" hidden="1" xr:uid="{00000000-0005-0000-0000-0000FD170000}"/>
    <cellStyle name="60% - Accent6 3" xfId="5514" hidden="1" xr:uid="{00000000-0005-0000-0000-0000FE170000}"/>
    <cellStyle name="60% - Accent6 3" xfId="5547" hidden="1" xr:uid="{00000000-0005-0000-0000-0000FF170000}"/>
    <cellStyle name="60% - Accent6 3" xfId="5580" hidden="1" xr:uid="{00000000-0005-0000-0000-000000180000}"/>
    <cellStyle name="60% - Accent6 3" xfId="5613" hidden="1" xr:uid="{00000000-0005-0000-0000-000001180000}"/>
    <cellStyle name="60% - Accent6 3" xfId="5646" hidden="1" xr:uid="{00000000-0005-0000-0000-000002180000}"/>
    <cellStyle name="60% - Accent6 3" xfId="5679" hidden="1" xr:uid="{00000000-0005-0000-0000-000003180000}"/>
    <cellStyle name="60% - Accent6 3" xfId="5783" hidden="1" xr:uid="{00000000-0005-0000-0000-000004180000}"/>
    <cellStyle name="60% - Accent6 3" xfId="5820" hidden="1" xr:uid="{00000000-0005-0000-0000-000005180000}"/>
    <cellStyle name="60% - Accent6 3" xfId="5853" hidden="1" xr:uid="{00000000-0005-0000-0000-000006180000}"/>
    <cellStyle name="60% - Accent6 3" xfId="5817" hidden="1" xr:uid="{00000000-0005-0000-0000-000007180000}"/>
    <cellStyle name="60% - Accent6 3" xfId="5816" hidden="1" xr:uid="{00000000-0005-0000-0000-000008180000}"/>
    <cellStyle name="60% - Accent6 3" xfId="5950" hidden="1" xr:uid="{00000000-0005-0000-0000-000009180000}"/>
    <cellStyle name="60% - Accent6 3" xfId="5818" hidden="1" xr:uid="{00000000-0005-0000-0000-00000A180000}"/>
    <cellStyle name="60% - Accent6 3" xfId="6015" hidden="1" xr:uid="{00000000-0005-0000-0000-00000B180000}"/>
    <cellStyle name="60% - Accent6 3" xfId="5819" hidden="1" xr:uid="{00000000-0005-0000-0000-00000C180000}"/>
    <cellStyle name="60% - Accent6 3" xfId="6080" hidden="1" xr:uid="{00000000-0005-0000-0000-00000D180000}"/>
    <cellStyle name="60% - Accent6 3" xfId="6113" hidden="1" xr:uid="{00000000-0005-0000-0000-00000E180000}"/>
    <cellStyle name="60% - Accent6 3" xfId="6146" hidden="1" xr:uid="{00000000-0005-0000-0000-00000F180000}"/>
    <cellStyle name="60% - Accent6 3" xfId="6179" hidden="1" xr:uid="{00000000-0005-0000-0000-000010180000}"/>
    <cellStyle name="60% - Accent6 3" xfId="6212" hidden="1" xr:uid="{00000000-0005-0000-0000-000011180000}"/>
    <cellStyle name="60% - Accent6 3" xfId="6245" hidden="1" xr:uid="{00000000-0005-0000-0000-000012180000}"/>
    <cellStyle name="60% - Accent6 3" xfId="5775" hidden="1" xr:uid="{00000000-0005-0000-0000-000013180000}"/>
    <cellStyle name="60% - Accent6 3" xfId="6297" hidden="1" xr:uid="{00000000-0005-0000-0000-000014180000}"/>
    <cellStyle name="60% - Accent6 3" xfId="6330" hidden="1" xr:uid="{00000000-0005-0000-0000-000015180000}"/>
    <cellStyle name="60% - Accent6 3" xfId="6294" hidden="1" xr:uid="{00000000-0005-0000-0000-000016180000}"/>
    <cellStyle name="60% - Accent6 3" xfId="6293" hidden="1" xr:uid="{00000000-0005-0000-0000-000017180000}"/>
    <cellStyle name="60% - Accent6 3" xfId="6427" hidden="1" xr:uid="{00000000-0005-0000-0000-000018180000}"/>
    <cellStyle name="60% - Accent6 3" xfId="6295" hidden="1" xr:uid="{00000000-0005-0000-0000-000019180000}"/>
    <cellStyle name="60% - Accent6 3" xfId="6492" hidden="1" xr:uid="{00000000-0005-0000-0000-00001A180000}"/>
    <cellStyle name="60% - Accent6 3" xfId="6296" hidden="1" xr:uid="{00000000-0005-0000-0000-00001B180000}"/>
    <cellStyle name="60% - Accent6 3" xfId="6557" hidden="1" xr:uid="{00000000-0005-0000-0000-00001C180000}"/>
    <cellStyle name="60% - Accent6 3" xfId="6590" hidden="1" xr:uid="{00000000-0005-0000-0000-00001D180000}"/>
    <cellStyle name="60% - Accent6 3" xfId="6623" hidden="1" xr:uid="{00000000-0005-0000-0000-00001E180000}"/>
    <cellStyle name="60% - Accent6 3" xfId="6656" hidden="1" xr:uid="{00000000-0005-0000-0000-00001F180000}"/>
    <cellStyle name="60% - Accent6 3" xfId="6689" hidden="1" xr:uid="{00000000-0005-0000-0000-000020180000}"/>
    <cellStyle name="60% - Accent6 3" xfId="6722" hidden="1" xr:uid="{00000000-0005-0000-0000-000021180000}"/>
    <cellStyle name="60% - Accent6 3" xfId="6779" hidden="1" xr:uid="{00000000-0005-0000-0000-000022180000}"/>
    <cellStyle name="60% - Accent6 3" xfId="6816" hidden="1" xr:uid="{00000000-0005-0000-0000-000023180000}"/>
    <cellStyle name="60% - Accent6 3" xfId="6849" hidden="1" xr:uid="{00000000-0005-0000-0000-000024180000}"/>
    <cellStyle name="60% - Accent6 3" xfId="6813" hidden="1" xr:uid="{00000000-0005-0000-0000-000025180000}"/>
    <cellStyle name="60% - Accent6 3" xfId="6812" hidden="1" xr:uid="{00000000-0005-0000-0000-000026180000}"/>
    <cellStyle name="60% - Accent6 3" xfId="6946" hidden="1" xr:uid="{00000000-0005-0000-0000-000027180000}"/>
    <cellStyle name="60% - Accent6 3" xfId="6814" hidden="1" xr:uid="{00000000-0005-0000-0000-000028180000}"/>
    <cellStyle name="60% - Accent6 3" xfId="7011" hidden="1" xr:uid="{00000000-0005-0000-0000-000029180000}"/>
    <cellStyle name="60% - Accent6 3" xfId="6815" hidden="1" xr:uid="{00000000-0005-0000-0000-00002A180000}"/>
    <cellStyle name="60% - Accent6 3" xfId="7076" hidden="1" xr:uid="{00000000-0005-0000-0000-00002B180000}"/>
    <cellStyle name="60% - Accent6 3" xfId="7109" hidden="1" xr:uid="{00000000-0005-0000-0000-00002C180000}"/>
    <cellStyle name="60% - Accent6 3" xfId="7142" hidden="1" xr:uid="{00000000-0005-0000-0000-00002D180000}"/>
    <cellStyle name="60% - Accent6 3" xfId="7175" hidden="1" xr:uid="{00000000-0005-0000-0000-00002E180000}"/>
    <cellStyle name="60% - Accent6 3" xfId="7208" hidden="1" xr:uid="{00000000-0005-0000-0000-00002F180000}"/>
    <cellStyle name="60% - Accent6 3" xfId="7241" hidden="1" xr:uid="{00000000-0005-0000-0000-000030180000}"/>
    <cellStyle name="60% - Accent6 3" xfId="7292" hidden="1" xr:uid="{00000000-0005-0000-0000-000031180000}"/>
    <cellStyle name="60% - Accent6 3" xfId="7329" hidden="1" xr:uid="{00000000-0005-0000-0000-000032180000}"/>
    <cellStyle name="60% - Accent6 3" xfId="7362" hidden="1" xr:uid="{00000000-0005-0000-0000-000033180000}"/>
    <cellStyle name="60% - Accent6 3" xfId="7326" hidden="1" xr:uid="{00000000-0005-0000-0000-000034180000}"/>
    <cellStyle name="60% - Accent6 3" xfId="7325" hidden="1" xr:uid="{00000000-0005-0000-0000-000035180000}"/>
    <cellStyle name="60% - Accent6 3" xfId="7459" hidden="1" xr:uid="{00000000-0005-0000-0000-000036180000}"/>
    <cellStyle name="60% - Accent6 3" xfId="7327" hidden="1" xr:uid="{00000000-0005-0000-0000-000037180000}"/>
    <cellStyle name="60% - Accent6 3" xfId="7524" hidden="1" xr:uid="{00000000-0005-0000-0000-000038180000}"/>
    <cellStyle name="60% - Accent6 3" xfId="7328" hidden="1" xr:uid="{00000000-0005-0000-0000-000039180000}"/>
    <cellStyle name="60% - Accent6 3" xfId="7589" hidden="1" xr:uid="{00000000-0005-0000-0000-00003A180000}"/>
    <cellStyle name="60% - Accent6 3" xfId="7622" hidden="1" xr:uid="{00000000-0005-0000-0000-00003B180000}"/>
    <cellStyle name="60% - Accent6 3" xfId="7655" hidden="1" xr:uid="{00000000-0005-0000-0000-00003C180000}"/>
    <cellStyle name="60% - Accent6 3" xfId="7688" hidden="1" xr:uid="{00000000-0005-0000-0000-00003D180000}"/>
    <cellStyle name="60% - Accent6 3" xfId="7721" hidden="1" xr:uid="{00000000-0005-0000-0000-00003E180000}"/>
    <cellStyle name="60% - Accent6 3" xfId="7754" hidden="1" xr:uid="{00000000-0005-0000-0000-00003F180000}"/>
    <cellStyle name="60% - Accent6 3" xfId="7284" hidden="1" xr:uid="{00000000-0005-0000-0000-000040180000}"/>
    <cellStyle name="60% - Accent6 3" xfId="7806" hidden="1" xr:uid="{00000000-0005-0000-0000-000041180000}"/>
    <cellStyle name="60% - Accent6 3" xfId="7839" hidden="1" xr:uid="{00000000-0005-0000-0000-000042180000}"/>
    <cellStyle name="60% - Accent6 3" xfId="7803" hidden="1" xr:uid="{00000000-0005-0000-0000-000043180000}"/>
    <cellStyle name="60% - Accent6 3" xfId="7802" hidden="1" xr:uid="{00000000-0005-0000-0000-000044180000}"/>
    <cellStyle name="60% - Accent6 3" xfId="7936" hidden="1" xr:uid="{00000000-0005-0000-0000-000045180000}"/>
    <cellStyle name="60% - Accent6 3" xfId="7804" hidden="1" xr:uid="{00000000-0005-0000-0000-000046180000}"/>
    <cellStyle name="60% - Accent6 3" xfId="8001" hidden="1" xr:uid="{00000000-0005-0000-0000-000047180000}"/>
    <cellStyle name="60% - Accent6 3" xfId="7805" hidden="1" xr:uid="{00000000-0005-0000-0000-000048180000}"/>
    <cellStyle name="60% - Accent6 3" xfId="8066" hidden="1" xr:uid="{00000000-0005-0000-0000-000049180000}"/>
    <cellStyle name="60% - Accent6 3" xfId="8099" hidden="1" xr:uid="{00000000-0005-0000-0000-00004A180000}"/>
    <cellStyle name="60% - Accent6 3" xfId="8132" hidden="1" xr:uid="{00000000-0005-0000-0000-00004B180000}"/>
    <cellStyle name="60% - Accent6 3" xfId="8165" hidden="1" xr:uid="{00000000-0005-0000-0000-00004C180000}"/>
    <cellStyle name="60% - Accent6 3" xfId="8198" hidden="1" xr:uid="{00000000-0005-0000-0000-00004D180000}"/>
    <cellStyle name="60% - Accent6 3" xfId="8231" hidden="1" xr:uid="{00000000-0005-0000-0000-00004E180000}"/>
    <cellStyle name="60% - Accent6 3" xfId="4354" hidden="1" xr:uid="{00000000-0005-0000-0000-00004F180000}"/>
    <cellStyle name="60% - Accent6 3" xfId="5745" hidden="1" xr:uid="{00000000-0005-0000-0000-000050180000}"/>
    <cellStyle name="60% - Accent6 3" xfId="4324" hidden="1" xr:uid="{00000000-0005-0000-0000-000051180000}"/>
    <cellStyle name="60% - Accent6 3" xfId="5730" hidden="1" xr:uid="{00000000-0005-0000-0000-000052180000}"/>
    <cellStyle name="60% - Accent6 3" xfId="4373" hidden="1" xr:uid="{00000000-0005-0000-0000-000053180000}"/>
    <cellStyle name="60% - Accent6 3" xfId="4269" hidden="1" xr:uid="{00000000-0005-0000-0000-000054180000}"/>
    <cellStyle name="60% - Accent6 3" xfId="4255" hidden="1" xr:uid="{00000000-0005-0000-0000-000055180000}"/>
    <cellStyle name="60% - Accent6 3" xfId="8276" hidden="1" xr:uid="{00000000-0005-0000-0000-000056180000}"/>
    <cellStyle name="60% - Accent6 3" xfId="8309" hidden="1" xr:uid="{00000000-0005-0000-0000-000057180000}"/>
    <cellStyle name="60% - Accent6 3" xfId="8342" hidden="1" xr:uid="{00000000-0005-0000-0000-000058180000}"/>
    <cellStyle name="60% - Accent6 3" xfId="8375" hidden="1" xr:uid="{00000000-0005-0000-0000-000059180000}"/>
    <cellStyle name="60% - Accent6 3" xfId="8412" hidden="1" xr:uid="{00000000-0005-0000-0000-00005A180000}"/>
    <cellStyle name="60% - Accent6 3" xfId="8445" hidden="1" xr:uid="{00000000-0005-0000-0000-00005B180000}"/>
    <cellStyle name="60% - Accent6 3" xfId="8409" hidden="1" xr:uid="{00000000-0005-0000-0000-00005C180000}"/>
    <cellStyle name="60% - Accent6 3" xfId="8408" hidden="1" xr:uid="{00000000-0005-0000-0000-00005D180000}"/>
    <cellStyle name="60% - Accent6 3" xfId="8542" hidden="1" xr:uid="{00000000-0005-0000-0000-00005E180000}"/>
    <cellStyle name="60% - Accent6 3" xfId="8410" hidden="1" xr:uid="{00000000-0005-0000-0000-00005F180000}"/>
    <cellStyle name="60% - Accent6 3" xfId="8607" hidden="1" xr:uid="{00000000-0005-0000-0000-000060180000}"/>
    <cellStyle name="60% - Accent6 3" xfId="8411" hidden="1" xr:uid="{00000000-0005-0000-0000-000061180000}"/>
    <cellStyle name="60% - Accent6 3" xfId="8672" hidden="1" xr:uid="{00000000-0005-0000-0000-000062180000}"/>
    <cellStyle name="60% - Accent6 3" xfId="8705" hidden="1" xr:uid="{00000000-0005-0000-0000-000063180000}"/>
    <cellStyle name="60% - Accent6 3" xfId="8738" hidden="1" xr:uid="{00000000-0005-0000-0000-000064180000}"/>
    <cellStyle name="60% - Accent6 3" xfId="8771" hidden="1" xr:uid="{00000000-0005-0000-0000-000065180000}"/>
    <cellStyle name="60% - Accent6 3" xfId="8804" hidden="1" xr:uid="{00000000-0005-0000-0000-000066180000}"/>
    <cellStyle name="60% - Accent6 3" xfId="8837" hidden="1" xr:uid="{00000000-0005-0000-0000-000067180000}"/>
    <cellStyle name="60% - Accent6 3" xfId="8877" hidden="1" xr:uid="{00000000-0005-0000-0000-000068180000}"/>
    <cellStyle name="60% - Accent6 3" xfId="8914" hidden="1" xr:uid="{00000000-0005-0000-0000-000069180000}"/>
    <cellStyle name="60% - Accent6 3" xfId="8947" hidden="1" xr:uid="{00000000-0005-0000-0000-00006A180000}"/>
    <cellStyle name="60% - Accent6 3" xfId="8911" hidden="1" xr:uid="{00000000-0005-0000-0000-00006B180000}"/>
    <cellStyle name="60% - Accent6 3" xfId="8910" hidden="1" xr:uid="{00000000-0005-0000-0000-00006C180000}"/>
    <cellStyle name="60% - Accent6 3" xfId="9044" hidden="1" xr:uid="{00000000-0005-0000-0000-00006D180000}"/>
    <cellStyle name="60% - Accent6 3" xfId="8912" hidden="1" xr:uid="{00000000-0005-0000-0000-00006E180000}"/>
    <cellStyle name="60% - Accent6 3" xfId="9109" hidden="1" xr:uid="{00000000-0005-0000-0000-00006F180000}"/>
    <cellStyle name="60% - Accent6 3" xfId="8913" hidden="1" xr:uid="{00000000-0005-0000-0000-000070180000}"/>
    <cellStyle name="60% - Accent6 3" xfId="9174" hidden="1" xr:uid="{00000000-0005-0000-0000-000071180000}"/>
    <cellStyle name="60% - Accent6 3" xfId="9207" hidden="1" xr:uid="{00000000-0005-0000-0000-000072180000}"/>
    <cellStyle name="60% - Accent6 3" xfId="9240" hidden="1" xr:uid="{00000000-0005-0000-0000-000073180000}"/>
    <cellStyle name="60% - Accent6 3" xfId="9273" hidden="1" xr:uid="{00000000-0005-0000-0000-000074180000}"/>
    <cellStyle name="60% - Accent6 3" xfId="9306" hidden="1" xr:uid="{00000000-0005-0000-0000-000075180000}"/>
    <cellStyle name="60% - Accent6 3" xfId="9339" hidden="1" xr:uid="{00000000-0005-0000-0000-000076180000}"/>
    <cellStyle name="60% - Accent6 3" xfId="9390" hidden="1" xr:uid="{00000000-0005-0000-0000-000077180000}"/>
    <cellStyle name="60% - Accent6 3" xfId="9427" hidden="1" xr:uid="{00000000-0005-0000-0000-000078180000}"/>
    <cellStyle name="60% - Accent6 3" xfId="9460" hidden="1" xr:uid="{00000000-0005-0000-0000-000079180000}"/>
    <cellStyle name="60% - Accent6 3" xfId="9424" hidden="1" xr:uid="{00000000-0005-0000-0000-00007A180000}"/>
    <cellStyle name="60% - Accent6 3" xfId="9423" hidden="1" xr:uid="{00000000-0005-0000-0000-00007B180000}"/>
    <cellStyle name="60% - Accent6 3" xfId="9557" hidden="1" xr:uid="{00000000-0005-0000-0000-00007C180000}"/>
    <cellStyle name="60% - Accent6 3" xfId="9425" hidden="1" xr:uid="{00000000-0005-0000-0000-00007D180000}"/>
    <cellStyle name="60% - Accent6 3" xfId="9622" hidden="1" xr:uid="{00000000-0005-0000-0000-00007E180000}"/>
    <cellStyle name="60% - Accent6 3" xfId="9426" hidden="1" xr:uid="{00000000-0005-0000-0000-00007F180000}"/>
    <cellStyle name="60% - Accent6 3" xfId="9687" hidden="1" xr:uid="{00000000-0005-0000-0000-000080180000}"/>
    <cellStyle name="60% - Accent6 3" xfId="9720" hidden="1" xr:uid="{00000000-0005-0000-0000-000081180000}"/>
    <cellStyle name="60% - Accent6 3" xfId="9753" hidden="1" xr:uid="{00000000-0005-0000-0000-000082180000}"/>
    <cellStyle name="60% - Accent6 3" xfId="9786" hidden="1" xr:uid="{00000000-0005-0000-0000-000083180000}"/>
    <cellStyle name="60% - Accent6 3" xfId="9819" hidden="1" xr:uid="{00000000-0005-0000-0000-000084180000}"/>
    <cellStyle name="60% - Accent6 3" xfId="9852" hidden="1" xr:uid="{00000000-0005-0000-0000-000085180000}"/>
    <cellStyle name="60% - Accent6 3" xfId="9382" hidden="1" xr:uid="{00000000-0005-0000-0000-000086180000}"/>
    <cellStyle name="60% - Accent6 3" xfId="9904" hidden="1" xr:uid="{00000000-0005-0000-0000-000087180000}"/>
    <cellStyle name="60% - Accent6 3" xfId="9937" hidden="1" xr:uid="{00000000-0005-0000-0000-000088180000}"/>
    <cellStyle name="60% - Accent6 3" xfId="9901" hidden="1" xr:uid="{00000000-0005-0000-0000-000089180000}"/>
    <cellStyle name="60% - Accent6 3" xfId="9900" hidden="1" xr:uid="{00000000-0005-0000-0000-00008A180000}"/>
    <cellStyle name="60% - Accent6 3" xfId="10034" hidden="1" xr:uid="{00000000-0005-0000-0000-00008B180000}"/>
    <cellStyle name="60% - Accent6 3" xfId="9902" hidden="1" xr:uid="{00000000-0005-0000-0000-00008C180000}"/>
    <cellStyle name="60% - Accent6 3" xfId="10099" hidden="1" xr:uid="{00000000-0005-0000-0000-00008D180000}"/>
    <cellStyle name="60% - Accent6 3" xfId="9903" hidden="1" xr:uid="{00000000-0005-0000-0000-00008E180000}"/>
    <cellStyle name="60% - Accent6 3" xfId="10164" hidden="1" xr:uid="{00000000-0005-0000-0000-00008F180000}"/>
    <cellStyle name="60% - Accent6 3" xfId="10197" hidden="1" xr:uid="{00000000-0005-0000-0000-000090180000}"/>
    <cellStyle name="60% - Accent6 3" xfId="10230" hidden="1" xr:uid="{00000000-0005-0000-0000-000091180000}"/>
    <cellStyle name="60% - Accent6 3" xfId="10263" hidden="1" xr:uid="{00000000-0005-0000-0000-000092180000}"/>
    <cellStyle name="60% - Accent6 3" xfId="10296" hidden="1" xr:uid="{00000000-0005-0000-0000-000093180000}"/>
    <cellStyle name="60% - Accent6 3" xfId="10329" hidden="1" xr:uid="{00000000-0005-0000-0000-000094180000}"/>
    <cellStyle name="60% - Accent6 3" xfId="10355" hidden="1" xr:uid="{00000000-0005-0000-0000-000095180000}"/>
    <cellStyle name="60% - Accent6 3" xfId="10392" hidden="1" xr:uid="{00000000-0005-0000-0000-000096180000}"/>
    <cellStyle name="60% - Accent6 3" xfId="10425" hidden="1" xr:uid="{00000000-0005-0000-0000-000097180000}"/>
    <cellStyle name="60% - Accent6 3" xfId="10389" hidden="1" xr:uid="{00000000-0005-0000-0000-000098180000}"/>
    <cellStyle name="60% - Accent6 3" xfId="10388" hidden="1" xr:uid="{00000000-0005-0000-0000-000099180000}"/>
    <cellStyle name="60% - Accent6 3" xfId="10522" hidden="1" xr:uid="{00000000-0005-0000-0000-00009A180000}"/>
    <cellStyle name="60% - Accent6 3" xfId="10390" hidden="1" xr:uid="{00000000-0005-0000-0000-00009B180000}"/>
    <cellStyle name="60% - Accent6 3" xfId="10587" hidden="1" xr:uid="{00000000-0005-0000-0000-00009C180000}"/>
    <cellStyle name="60% - Accent6 3" xfId="10391" hidden="1" xr:uid="{00000000-0005-0000-0000-00009D180000}"/>
    <cellStyle name="60% - Accent6 3" xfId="10652" hidden="1" xr:uid="{00000000-0005-0000-0000-00009E180000}"/>
    <cellStyle name="60% - Accent6 3" xfId="10685" hidden="1" xr:uid="{00000000-0005-0000-0000-00009F180000}"/>
    <cellStyle name="60% - Accent6 3" xfId="10718" hidden="1" xr:uid="{00000000-0005-0000-0000-0000A0180000}"/>
    <cellStyle name="60% - Accent6 3" xfId="10751" hidden="1" xr:uid="{00000000-0005-0000-0000-0000A1180000}"/>
    <cellStyle name="60% - Accent6 3" xfId="10784" hidden="1" xr:uid="{00000000-0005-0000-0000-0000A2180000}"/>
    <cellStyle name="60% - Accent6 3" xfId="10817" hidden="1" xr:uid="{00000000-0005-0000-0000-0000A3180000}"/>
    <cellStyle name="60% - Accent6 3" xfId="10868" hidden="1" xr:uid="{00000000-0005-0000-0000-0000A4180000}"/>
    <cellStyle name="60% - Accent6 3" xfId="10905" hidden="1" xr:uid="{00000000-0005-0000-0000-0000A5180000}"/>
    <cellStyle name="60% - Accent6 3" xfId="10938" hidden="1" xr:uid="{00000000-0005-0000-0000-0000A6180000}"/>
    <cellStyle name="60% - Accent6 3" xfId="10902" hidden="1" xr:uid="{00000000-0005-0000-0000-0000A7180000}"/>
    <cellStyle name="60% - Accent6 3" xfId="10901" hidden="1" xr:uid="{00000000-0005-0000-0000-0000A8180000}"/>
    <cellStyle name="60% - Accent6 3" xfId="11035" hidden="1" xr:uid="{00000000-0005-0000-0000-0000A9180000}"/>
    <cellStyle name="60% - Accent6 3" xfId="10903" hidden="1" xr:uid="{00000000-0005-0000-0000-0000AA180000}"/>
    <cellStyle name="60% - Accent6 3" xfId="11100" hidden="1" xr:uid="{00000000-0005-0000-0000-0000AB180000}"/>
    <cellStyle name="60% - Accent6 3" xfId="10904" hidden="1" xr:uid="{00000000-0005-0000-0000-0000AC180000}"/>
    <cellStyle name="60% - Accent6 3" xfId="11165" hidden="1" xr:uid="{00000000-0005-0000-0000-0000AD180000}"/>
    <cellStyle name="60% - Accent6 3" xfId="11198" hidden="1" xr:uid="{00000000-0005-0000-0000-0000AE180000}"/>
    <cellStyle name="60% - Accent6 3" xfId="11231" hidden="1" xr:uid="{00000000-0005-0000-0000-0000AF180000}"/>
    <cellStyle name="60% - Accent6 3" xfId="11264" hidden="1" xr:uid="{00000000-0005-0000-0000-0000B0180000}"/>
    <cellStyle name="60% - Accent6 3" xfId="11297" hidden="1" xr:uid="{00000000-0005-0000-0000-0000B1180000}"/>
    <cellStyle name="60% - Accent6 3" xfId="11330" hidden="1" xr:uid="{00000000-0005-0000-0000-0000B2180000}"/>
    <cellStyle name="60% - Accent6 3" xfId="10860" hidden="1" xr:uid="{00000000-0005-0000-0000-0000B3180000}"/>
    <cellStyle name="60% - Accent6 3" xfId="11382" hidden="1" xr:uid="{00000000-0005-0000-0000-0000B4180000}"/>
    <cellStyle name="60% - Accent6 3" xfId="11415" hidden="1" xr:uid="{00000000-0005-0000-0000-0000B5180000}"/>
    <cellStyle name="60% - Accent6 3" xfId="11379" hidden="1" xr:uid="{00000000-0005-0000-0000-0000B6180000}"/>
    <cellStyle name="60% - Accent6 3" xfId="11378" hidden="1" xr:uid="{00000000-0005-0000-0000-0000B7180000}"/>
    <cellStyle name="60% - Accent6 3" xfId="11512" hidden="1" xr:uid="{00000000-0005-0000-0000-0000B8180000}"/>
    <cellStyle name="60% - Accent6 3" xfId="11380" hidden="1" xr:uid="{00000000-0005-0000-0000-0000B9180000}"/>
    <cellStyle name="60% - Accent6 3" xfId="11577" hidden="1" xr:uid="{00000000-0005-0000-0000-0000BA180000}"/>
    <cellStyle name="60% - Accent6 3" xfId="11381" hidden="1" xr:uid="{00000000-0005-0000-0000-0000BB180000}"/>
    <cellStyle name="60% - Accent6 3" xfId="11642" hidden="1" xr:uid="{00000000-0005-0000-0000-0000BC180000}"/>
    <cellStyle name="60% - Accent6 3" xfId="11675" hidden="1" xr:uid="{00000000-0005-0000-0000-0000BD180000}"/>
    <cellStyle name="60% - Accent6 3" xfId="11708" hidden="1" xr:uid="{00000000-0005-0000-0000-0000BE180000}"/>
    <cellStyle name="60% - Accent6 3" xfId="11741" hidden="1" xr:uid="{00000000-0005-0000-0000-0000BF180000}"/>
    <cellStyle name="60% - Accent6 3" xfId="11774" hidden="1" xr:uid="{00000000-0005-0000-0000-0000C0180000}"/>
    <cellStyle name="60% - Accent6 3" xfId="11807" xr:uid="{00000000-0005-0000-0000-0000C1180000}"/>
    <cellStyle name="60% - Énfasis1" xfId="73" xr:uid="{00000000-0005-0000-0000-0000C2180000}"/>
    <cellStyle name="60% - Énfasis2" xfId="74" xr:uid="{00000000-0005-0000-0000-0000C3180000}"/>
    <cellStyle name="60% - Énfasis3" xfId="75" xr:uid="{00000000-0005-0000-0000-0000C4180000}"/>
    <cellStyle name="60% - Énfasis4" xfId="76" xr:uid="{00000000-0005-0000-0000-0000C5180000}"/>
    <cellStyle name="60% - Énfasis5" xfId="77" xr:uid="{00000000-0005-0000-0000-0000C6180000}"/>
    <cellStyle name="60% - Énfasis6" xfId="78" xr:uid="{00000000-0005-0000-0000-0000C7180000}"/>
    <cellStyle name="Accent1 2" xfId="79" xr:uid="{00000000-0005-0000-0000-0000C8180000}"/>
    <cellStyle name="Accent1 2 2" xfId="1591" xr:uid="{00000000-0005-0000-0000-0000C9180000}"/>
    <cellStyle name="Accent1 2 3" xfId="2728" xr:uid="{00000000-0005-0000-0000-0000CA180000}"/>
    <cellStyle name="Accent2 2" xfId="80" xr:uid="{00000000-0005-0000-0000-0000CB180000}"/>
    <cellStyle name="Accent2 2 2" xfId="1592" xr:uid="{00000000-0005-0000-0000-0000CC180000}"/>
    <cellStyle name="Accent2 2 3" xfId="2729" xr:uid="{00000000-0005-0000-0000-0000CD180000}"/>
    <cellStyle name="Accent3 2" xfId="81" xr:uid="{00000000-0005-0000-0000-0000CE180000}"/>
    <cellStyle name="Accent3 2 2" xfId="1593" xr:uid="{00000000-0005-0000-0000-0000CF180000}"/>
    <cellStyle name="Accent3 2 3" xfId="2730" xr:uid="{00000000-0005-0000-0000-0000D0180000}"/>
    <cellStyle name="Accent4 2" xfId="82" xr:uid="{00000000-0005-0000-0000-0000D1180000}"/>
    <cellStyle name="Accent4 2 2" xfId="1594" xr:uid="{00000000-0005-0000-0000-0000D2180000}"/>
    <cellStyle name="Accent4 2 3" xfId="2731" xr:uid="{00000000-0005-0000-0000-0000D3180000}"/>
    <cellStyle name="Accent5 2" xfId="83" xr:uid="{00000000-0005-0000-0000-0000D4180000}"/>
    <cellStyle name="Accent5 2 2" xfId="1595" xr:uid="{00000000-0005-0000-0000-0000D5180000}"/>
    <cellStyle name="Accent5 2 3" xfId="2732" xr:uid="{00000000-0005-0000-0000-0000D6180000}"/>
    <cellStyle name="Accent6 2" xfId="84" xr:uid="{00000000-0005-0000-0000-0000D7180000}"/>
    <cellStyle name="Accent6 2 2" xfId="1596" xr:uid="{00000000-0005-0000-0000-0000D8180000}"/>
    <cellStyle name="Accent6 2 3" xfId="2733" xr:uid="{00000000-0005-0000-0000-0000D9180000}"/>
    <cellStyle name="Bad 2" xfId="85" xr:uid="{00000000-0005-0000-0000-0000DA180000}"/>
    <cellStyle name="Bad 2 2" xfId="1597" xr:uid="{00000000-0005-0000-0000-0000DB180000}"/>
    <cellStyle name="Bad 2 3" xfId="2734" xr:uid="{00000000-0005-0000-0000-0000DC180000}"/>
    <cellStyle name="Bad 3" xfId="205" hidden="1" xr:uid="{00000000-0005-0000-0000-0000DD180000}"/>
    <cellStyle name="Bad 3" xfId="263" hidden="1" xr:uid="{00000000-0005-0000-0000-0000DE180000}"/>
    <cellStyle name="Bad 3" xfId="296" hidden="1" xr:uid="{00000000-0005-0000-0000-0000DF180000}"/>
    <cellStyle name="Bad 3" xfId="329" hidden="1" xr:uid="{00000000-0005-0000-0000-0000E0180000}"/>
    <cellStyle name="Bad 3" xfId="362" hidden="1" xr:uid="{00000000-0005-0000-0000-0000E1180000}"/>
    <cellStyle name="Bad 3" xfId="396" hidden="1" xr:uid="{00000000-0005-0000-0000-0000E2180000}"/>
    <cellStyle name="Bad 3" xfId="429" hidden="1" xr:uid="{00000000-0005-0000-0000-0000E3180000}"/>
    <cellStyle name="Bad 3" xfId="462" hidden="1" xr:uid="{00000000-0005-0000-0000-0000E4180000}"/>
    <cellStyle name="Bad 3" xfId="495" hidden="1" xr:uid="{00000000-0005-0000-0000-0000E5180000}"/>
    <cellStyle name="Bad 3" xfId="528" hidden="1" xr:uid="{00000000-0005-0000-0000-0000E6180000}"/>
    <cellStyle name="Bad 3" xfId="561" hidden="1" xr:uid="{00000000-0005-0000-0000-0000E7180000}"/>
    <cellStyle name="Bad 3" xfId="594" hidden="1" xr:uid="{00000000-0005-0000-0000-0000E8180000}"/>
    <cellStyle name="Bad 3" xfId="631" hidden="1" xr:uid="{00000000-0005-0000-0000-0000E9180000}"/>
    <cellStyle name="Bad 3" xfId="664" hidden="1" xr:uid="{00000000-0005-0000-0000-0000EA180000}"/>
    <cellStyle name="Bad 3" xfId="696" hidden="1" xr:uid="{00000000-0005-0000-0000-0000EB180000}"/>
    <cellStyle name="Bad 3" xfId="728" hidden="1" xr:uid="{00000000-0005-0000-0000-0000EC180000}"/>
    <cellStyle name="Bad 3" xfId="761" hidden="1" xr:uid="{00000000-0005-0000-0000-0000ED180000}"/>
    <cellStyle name="Bad 3" xfId="793" hidden="1" xr:uid="{00000000-0005-0000-0000-0000EE180000}"/>
    <cellStyle name="Bad 3" xfId="826" hidden="1" xr:uid="{00000000-0005-0000-0000-0000EF180000}"/>
    <cellStyle name="Bad 3" xfId="858" hidden="1" xr:uid="{00000000-0005-0000-0000-0000F0180000}"/>
    <cellStyle name="Bad 3" xfId="891" hidden="1" xr:uid="{00000000-0005-0000-0000-0000F1180000}"/>
    <cellStyle name="Bad 3" xfId="924" hidden="1" xr:uid="{00000000-0005-0000-0000-0000F2180000}"/>
    <cellStyle name="Bad 3" xfId="957" hidden="1" xr:uid="{00000000-0005-0000-0000-0000F3180000}"/>
    <cellStyle name="Bad 3" xfId="990" hidden="1" xr:uid="{00000000-0005-0000-0000-0000F4180000}"/>
    <cellStyle name="Bad 3" xfId="1023" hidden="1" xr:uid="{00000000-0005-0000-0000-0000F5180000}"/>
    <cellStyle name="Bad 3" xfId="1056" hidden="1" xr:uid="{00000000-0005-0000-0000-0000F6180000}"/>
    <cellStyle name="Bad 3" xfId="1099" hidden="1" xr:uid="{00000000-0005-0000-0000-0000F7180000}"/>
    <cellStyle name="Bad 3" xfId="1137" hidden="1" xr:uid="{00000000-0005-0000-0000-0000F8180000}"/>
    <cellStyle name="Bad 3" xfId="1170" hidden="1" xr:uid="{00000000-0005-0000-0000-0000F9180000}"/>
    <cellStyle name="Bad 3" xfId="1202" hidden="1" xr:uid="{00000000-0005-0000-0000-0000FA180000}"/>
    <cellStyle name="Bad 3" xfId="1234" hidden="1" xr:uid="{00000000-0005-0000-0000-0000FB180000}"/>
    <cellStyle name="Bad 3" xfId="1267" hidden="1" xr:uid="{00000000-0005-0000-0000-0000FC180000}"/>
    <cellStyle name="Bad 3" xfId="1299" hidden="1" xr:uid="{00000000-0005-0000-0000-0000FD180000}"/>
    <cellStyle name="Bad 3" xfId="1332" hidden="1" xr:uid="{00000000-0005-0000-0000-0000FE180000}"/>
    <cellStyle name="Bad 3" xfId="1364" hidden="1" xr:uid="{00000000-0005-0000-0000-0000FF180000}"/>
    <cellStyle name="Bad 3" xfId="1397" hidden="1" xr:uid="{00000000-0005-0000-0000-000000190000}"/>
    <cellStyle name="Bad 3" xfId="1430" hidden="1" xr:uid="{00000000-0005-0000-0000-000001190000}"/>
    <cellStyle name="Bad 3" xfId="1463" hidden="1" xr:uid="{00000000-0005-0000-0000-000002190000}"/>
    <cellStyle name="Bad 3" xfId="1496" hidden="1" xr:uid="{00000000-0005-0000-0000-000003190000}"/>
    <cellStyle name="Bad 3" xfId="1529" hidden="1" xr:uid="{00000000-0005-0000-0000-000004190000}"/>
    <cellStyle name="Bad 3" xfId="1562" hidden="1" xr:uid="{00000000-0005-0000-0000-000005190000}"/>
    <cellStyle name="Bad 3" xfId="1776" hidden="1" xr:uid="{00000000-0005-0000-0000-000006190000}"/>
    <cellStyle name="Bad 3" xfId="1813" hidden="1" xr:uid="{00000000-0005-0000-0000-000007190000}"/>
    <cellStyle name="Bad 3" xfId="1846" hidden="1" xr:uid="{00000000-0005-0000-0000-000008190000}"/>
    <cellStyle name="Bad 3" xfId="1878" hidden="1" xr:uid="{00000000-0005-0000-0000-000009190000}"/>
    <cellStyle name="Bad 3" xfId="1910" hidden="1" xr:uid="{00000000-0005-0000-0000-00000A190000}"/>
    <cellStyle name="Bad 3" xfId="1943" hidden="1" xr:uid="{00000000-0005-0000-0000-00000B190000}"/>
    <cellStyle name="Bad 3" xfId="1975" hidden="1" xr:uid="{00000000-0005-0000-0000-00000C190000}"/>
    <cellStyle name="Bad 3" xfId="2008" hidden="1" xr:uid="{00000000-0005-0000-0000-00000D190000}"/>
    <cellStyle name="Bad 3" xfId="2040" hidden="1" xr:uid="{00000000-0005-0000-0000-00000E190000}"/>
    <cellStyle name="Bad 3" xfId="2073" hidden="1" xr:uid="{00000000-0005-0000-0000-00000F190000}"/>
    <cellStyle name="Bad 3" xfId="2106" hidden="1" xr:uid="{00000000-0005-0000-0000-000010190000}"/>
    <cellStyle name="Bad 3" xfId="2139" hidden="1" xr:uid="{00000000-0005-0000-0000-000011190000}"/>
    <cellStyle name="Bad 3" xfId="2172" hidden="1" xr:uid="{00000000-0005-0000-0000-000012190000}"/>
    <cellStyle name="Bad 3" xfId="2205" hidden="1" xr:uid="{00000000-0005-0000-0000-000013190000}"/>
    <cellStyle name="Bad 3" xfId="2231" hidden="1" xr:uid="{00000000-0005-0000-0000-000014190000}"/>
    <cellStyle name="Bad 3" xfId="2253" hidden="1" xr:uid="{00000000-0005-0000-0000-000015190000}"/>
    <cellStyle name="Bad 3" xfId="2290" hidden="1" xr:uid="{00000000-0005-0000-0000-000016190000}"/>
    <cellStyle name="Bad 3" xfId="2323" hidden="1" xr:uid="{00000000-0005-0000-0000-000017190000}"/>
    <cellStyle name="Bad 3" xfId="2355" hidden="1" xr:uid="{00000000-0005-0000-0000-000018190000}"/>
    <cellStyle name="Bad 3" xfId="2387" hidden="1" xr:uid="{00000000-0005-0000-0000-000019190000}"/>
    <cellStyle name="Bad 3" xfId="2420" hidden="1" xr:uid="{00000000-0005-0000-0000-00001A190000}"/>
    <cellStyle name="Bad 3" xfId="2452" hidden="1" xr:uid="{00000000-0005-0000-0000-00001B190000}"/>
    <cellStyle name="Bad 3" xfId="2485" hidden="1" xr:uid="{00000000-0005-0000-0000-00001C190000}"/>
    <cellStyle name="Bad 3" xfId="2517" hidden="1" xr:uid="{00000000-0005-0000-0000-00001D190000}"/>
    <cellStyle name="Bad 3" xfId="2550" hidden="1" xr:uid="{00000000-0005-0000-0000-00001E190000}"/>
    <cellStyle name="Bad 3" xfId="2583" hidden="1" xr:uid="{00000000-0005-0000-0000-00001F190000}"/>
    <cellStyle name="Bad 3" xfId="2616" hidden="1" xr:uid="{00000000-0005-0000-0000-000020190000}"/>
    <cellStyle name="Bad 3" xfId="2649" hidden="1" xr:uid="{00000000-0005-0000-0000-000021190000}"/>
    <cellStyle name="Bad 3" xfId="2682" hidden="1" xr:uid="{00000000-0005-0000-0000-000022190000}"/>
    <cellStyle name="Bad 3" xfId="2708" hidden="1" xr:uid="{00000000-0005-0000-0000-000023190000}"/>
    <cellStyle name="Bad 3" xfId="2796" hidden="1" xr:uid="{00000000-0005-0000-0000-000024190000}"/>
    <cellStyle name="Bad 3" xfId="2833" hidden="1" xr:uid="{00000000-0005-0000-0000-000025190000}"/>
    <cellStyle name="Bad 3" xfId="2866" hidden="1" xr:uid="{00000000-0005-0000-0000-000026190000}"/>
    <cellStyle name="Bad 3" xfId="2898" hidden="1" xr:uid="{00000000-0005-0000-0000-000027190000}"/>
    <cellStyle name="Bad 3" xfId="2930" hidden="1" xr:uid="{00000000-0005-0000-0000-000028190000}"/>
    <cellStyle name="Bad 3" xfId="2963" hidden="1" xr:uid="{00000000-0005-0000-0000-000029190000}"/>
    <cellStyle name="Bad 3" xfId="2995" hidden="1" xr:uid="{00000000-0005-0000-0000-00002A190000}"/>
    <cellStyle name="Bad 3" xfId="3028" hidden="1" xr:uid="{00000000-0005-0000-0000-00002B190000}"/>
    <cellStyle name="Bad 3" xfId="3060" hidden="1" xr:uid="{00000000-0005-0000-0000-00002C190000}"/>
    <cellStyle name="Bad 3" xfId="3093" hidden="1" xr:uid="{00000000-0005-0000-0000-00002D190000}"/>
    <cellStyle name="Bad 3" xfId="3126" hidden="1" xr:uid="{00000000-0005-0000-0000-00002E190000}"/>
    <cellStyle name="Bad 3" xfId="3159" hidden="1" xr:uid="{00000000-0005-0000-0000-00002F190000}"/>
    <cellStyle name="Bad 3" xfId="3192" hidden="1" xr:uid="{00000000-0005-0000-0000-000030190000}"/>
    <cellStyle name="Bad 3" xfId="3225" hidden="1" xr:uid="{00000000-0005-0000-0000-000031190000}"/>
    <cellStyle name="Bad 3" xfId="3258" hidden="1" xr:uid="{00000000-0005-0000-0000-000032190000}"/>
    <cellStyle name="Bad 3" xfId="3309" hidden="1" xr:uid="{00000000-0005-0000-0000-000033190000}"/>
    <cellStyle name="Bad 3" xfId="3346" hidden="1" xr:uid="{00000000-0005-0000-0000-000034190000}"/>
    <cellStyle name="Bad 3" xfId="3379" hidden="1" xr:uid="{00000000-0005-0000-0000-000035190000}"/>
    <cellStyle name="Bad 3" xfId="3411" hidden="1" xr:uid="{00000000-0005-0000-0000-000036190000}"/>
    <cellStyle name="Bad 3" xfId="3443" hidden="1" xr:uid="{00000000-0005-0000-0000-000037190000}"/>
    <cellStyle name="Bad 3" xfId="3476" hidden="1" xr:uid="{00000000-0005-0000-0000-000038190000}"/>
    <cellStyle name="Bad 3" xfId="3508" hidden="1" xr:uid="{00000000-0005-0000-0000-000039190000}"/>
    <cellStyle name="Bad 3" xfId="3541" hidden="1" xr:uid="{00000000-0005-0000-0000-00003A190000}"/>
    <cellStyle name="Bad 3" xfId="3573" hidden="1" xr:uid="{00000000-0005-0000-0000-00003B190000}"/>
    <cellStyle name="Bad 3" xfId="3606" hidden="1" xr:uid="{00000000-0005-0000-0000-00003C190000}"/>
    <cellStyle name="Bad 3" xfId="3639" hidden="1" xr:uid="{00000000-0005-0000-0000-00003D190000}"/>
    <cellStyle name="Bad 3" xfId="3672" hidden="1" xr:uid="{00000000-0005-0000-0000-00003E190000}"/>
    <cellStyle name="Bad 3" xfId="3705" hidden="1" xr:uid="{00000000-0005-0000-0000-00003F190000}"/>
    <cellStyle name="Bad 3" xfId="3738" hidden="1" xr:uid="{00000000-0005-0000-0000-000040190000}"/>
    <cellStyle name="Bad 3" xfId="3764" hidden="1" xr:uid="{00000000-0005-0000-0000-000041190000}"/>
    <cellStyle name="Bad 3" xfId="3786" hidden="1" xr:uid="{00000000-0005-0000-0000-000042190000}"/>
    <cellStyle name="Bad 3" xfId="3823" hidden="1" xr:uid="{00000000-0005-0000-0000-000043190000}"/>
    <cellStyle name="Bad 3" xfId="3856" hidden="1" xr:uid="{00000000-0005-0000-0000-000044190000}"/>
    <cellStyle name="Bad 3" xfId="3888" hidden="1" xr:uid="{00000000-0005-0000-0000-000045190000}"/>
    <cellStyle name="Bad 3" xfId="3920" hidden="1" xr:uid="{00000000-0005-0000-0000-000046190000}"/>
    <cellStyle name="Bad 3" xfId="3953" hidden="1" xr:uid="{00000000-0005-0000-0000-000047190000}"/>
    <cellStyle name="Bad 3" xfId="3985" hidden="1" xr:uid="{00000000-0005-0000-0000-000048190000}"/>
    <cellStyle name="Bad 3" xfId="4018" hidden="1" xr:uid="{00000000-0005-0000-0000-000049190000}"/>
    <cellStyle name="Bad 3" xfId="4050" hidden="1" xr:uid="{00000000-0005-0000-0000-00004A190000}"/>
    <cellStyle name="Bad 3" xfId="4083" hidden="1" xr:uid="{00000000-0005-0000-0000-00004B190000}"/>
    <cellStyle name="Bad 3" xfId="4116" hidden="1" xr:uid="{00000000-0005-0000-0000-00004C190000}"/>
    <cellStyle name="Bad 3" xfId="4149" hidden="1" xr:uid="{00000000-0005-0000-0000-00004D190000}"/>
    <cellStyle name="Bad 3" xfId="4182" hidden="1" xr:uid="{00000000-0005-0000-0000-00004E190000}"/>
    <cellStyle name="Bad 3" xfId="4215" hidden="1" xr:uid="{00000000-0005-0000-0000-00004F190000}"/>
    <cellStyle name="Bad 3" xfId="4241" hidden="1" xr:uid="{00000000-0005-0000-0000-000050190000}"/>
    <cellStyle name="Bad 3" xfId="4415" hidden="1" xr:uid="{00000000-0005-0000-0000-000051190000}"/>
    <cellStyle name="Bad 3" xfId="4448" hidden="1" xr:uid="{00000000-0005-0000-0000-000052190000}"/>
    <cellStyle name="Bad 3" xfId="4481" hidden="1" xr:uid="{00000000-0005-0000-0000-000053190000}"/>
    <cellStyle name="Bad 3" xfId="4514" hidden="1" xr:uid="{00000000-0005-0000-0000-000054190000}"/>
    <cellStyle name="Bad 3" xfId="4547" hidden="1" xr:uid="{00000000-0005-0000-0000-000055190000}"/>
    <cellStyle name="Bad 3" xfId="4580" hidden="1" xr:uid="{00000000-0005-0000-0000-000056190000}"/>
    <cellStyle name="Bad 3" xfId="4613" hidden="1" xr:uid="{00000000-0005-0000-0000-000057190000}"/>
    <cellStyle name="Bad 3" xfId="4646" hidden="1" xr:uid="{00000000-0005-0000-0000-000058190000}"/>
    <cellStyle name="Bad 3" xfId="4679" hidden="1" xr:uid="{00000000-0005-0000-0000-000059190000}"/>
    <cellStyle name="Bad 3" xfId="4712" hidden="1" xr:uid="{00000000-0005-0000-0000-00005A190000}"/>
    <cellStyle name="Bad 3" xfId="4745" hidden="1" xr:uid="{00000000-0005-0000-0000-00005B190000}"/>
    <cellStyle name="Bad 3" xfId="4782" hidden="1" xr:uid="{00000000-0005-0000-0000-00005C190000}"/>
    <cellStyle name="Bad 3" xfId="4815" hidden="1" xr:uid="{00000000-0005-0000-0000-00005D190000}"/>
    <cellStyle name="Bad 3" xfId="4847" hidden="1" xr:uid="{00000000-0005-0000-0000-00005E190000}"/>
    <cellStyle name="Bad 3" xfId="4879" hidden="1" xr:uid="{00000000-0005-0000-0000-00005F190000}"/>
    <cellStyle name="Bad 3" xfId="4912" hidden="1" xr:uid="{00000000-0005-0000-0000-000060190000}"/>
    <cellStyle name="Bad 3" xfId="4944" hidden="1" xr:uid="{00000000-0005-0000-0000-000061190000}"/>
    <cellStyle name="Bad 3" xfId="4977" hidden="1" xr:uid="{00000000-0005-0000-0000-000062190000}"/>
    <cellStyle name="Bad 3" xfId="5009" hidden="1" xr:uid="{00000000-0005-0000-0000-000063190000}"/>
    <cellStyle name="Bad 3" xfId="5042" hidden="1" xr:uid="{00000000-0005-0000-0000-000064190000}"/>
    <cellStyle name="Bad 3" xfId="5075" hidden="1" xr:uid="{00000000-0005-0000-0000-000065190000}"/>
    <cellStyle name="Bad 3" xfId="5108" hidden="1" xr:uid="{00000000-0005-0000-0000-000066190000}"/>
    <cellStyle name="Bad 3" xfId="5141" hidden="1" xr:uid="{00000000-0005-0000-0000-000067190000}"/>
    <cellStyle name="Bad 3" xfId="5174" hidden="1" xr:uid="{00000000-0005-0000-0000-000068190000}"/>
    <cellStyle name="Bad 3" xfId="5207" hidden="1" xr:uid="{00000000-0005-0000-0000-000069190000}"/>
    <cellStyle name="Bad 3" xfId="5248" hidden="1" xr:uid="{00000000-0005-0000-0000-00006A190000}"/>
    <cellStyle name="Bad 3" xfId="5285" hidden="1" xr:uid="{00000000-0005-0000-0000-00006B190000}"/>
    <cellStyle name="Bad 3" xfId="5318" hidden="1" xr:uid="{00000000-0005-0000-0000-00006C190000}"/>
    <cellStyle name="Bad 3" xfId="5350" hidden="1" xr:uid="{00000000-0005-0000-0000-00006D190000}"/>
    <cellStyle name="Bad 3" xfId="5382" hidden="1" xr:uid="{00000000-0005-0000-0000-00006E190000}"/>
    <cellStyle name="Bad 3" xfId="5415" hidden="1" xr:uid="{00000000-0005-0000-0000-00006F190000}"/>
    <cellStyle name="Bad 3" xfId="5447" hidden="1" xr:uid="{00000000-0005-0000-0000-000070190000}"/>
    <cellStyle name="Bad 3" xfId="5480" hidden="1" xr:uid="{00000000-0005-0000-0000-000071190000}"/>
    <cellStyle name="Bad 3" xfId="5512" hidden="1" xr:uid="{00000000-0005-0000-0000-000072190000}"/>
    <cellStyle name="Bad 3" xfId="5545" hidden="1" xr:uid="{00000000-0005-0000-0000-000073190000}"/>
    <cellStyle name="Bad 3" xfId="5578" hidden="1" xr:uid="{00000000-0005-0000-0000-000074190000}"/>
    <cellStyle name="Bad 3" xfId="5611" hidden="1" xr:uid="{00000000-0005-0000-0000-000075190000}"/>
    <cellStyle name="Bad 3" xfId="5644" hidden="1" xr:uid="{00000000-0005-0000-0000-000076190000}"/>
    <cellStyle name="Bad 3" xfId="5677" hidden="1" xr:uid="{00000000-0005-0000-0000-000077190000}"/>
    <cellStyle name="Bad 3" xfId="5710" hidden="1" xr:uid="{00000000-0005-0000-0000-000078190000}"/>
    <cellStyle name="Bad 3" xfId="5814" hidden="1" xr:uid="{00000000-0005-0000-0000-000079190000}"/>
    <cellStyle name="Bad 3" xfId="5851" hidden="1" xr:uid="{00000000-0005-0000-0000-00007A190000}"/>
    <cellStyle name="Bad 3" xfId="5884" hidden="1" xr:uid="{00000000-0005-0000-0000-00007B190000}"/>
    <cellStyle name="Bad 3" xfId="5916" hidden="1" xr:uid="{00000000-0005-0000-0000-00007C190000}"/>
    <cellStyle name="Bad 3" xfId="5948" hidden="1" xr:uid="{00000000-0005-0000-0000-00007D190000}"/>
    <cellStyle name="Bad 3" xfId="5981" hidden="1" xr:uid="{00000000-0005-0000-0000-00007E190000}"/>
    <cellStyle name="Bad 3" xfId="6013" hidden="1" xr:uid="{00000000-0005-0000-0000-00007F190000}"/>
    <cellStyle name="Bad 3" xfId="6046" hidden="1" xr:uid="{00000000-0005-0000-0000-000080190000}"/>
    <cellStyle name="Bad 3" xfId="6078" hidden="1" xr:uid="{00000000-0005-0000-0000-000081190000}"/>
    <cellStyle name="Bad 3" xfId="6111" hidden="1" xr:uid="{00000000-0005-0000-0000-000082190000}"/>
    <cellStyle name="Bad 3" xfId="6144" hidden="1" xr:uid="{00000000-0005-0000-0000-000083190000}"/>
    <cellStyle name="Bad 3" xfId="6177" hidden="1" xr:uid="{00000000-0005-0000-0000-000084190000}"/>
    <cellStyle name="Bad 3" xfId="6210" hidden="1" xr:uid="{00000000-0005-0000-0000-000085190000}"/>
    <cellStyle name="Bad 3" xfId="6243" hidden="1" xr:uid="{00000000-0005-0000-0000-000086190000}"/>
    <cellStyle name="Bad 3" xfId="6269" hidden="1" xr:uid="{00000000-0005-0000-0000-000087190000}"/>
    <cellStyle name="Bad 3" xfId="6291" hidden="1" xr:uid="{00000000-0005-0000-0000-000088190000}"/>
    <cellStyle name="Bad 3" xfId="6328" hidden="1" xr:uid="{00000000-0005-0000-0000-000089190000}"/>
    <cellStyle name="Bad 3" xfId="6361" hidden="1" xr:uid="{00000000-0005-0000-0000-00008A190000}"/>
    <cellStyle name="Bad 3" xfId="6393" hidden="1" xr:uid="{00000000-0005-0000-0000-00008B190000}"/>
    <cellStyle name="Bad 3" xfId="6425" hidden="1" xr:uid="{00000000-0005-0000-0000-00008C190000}"/>
    <cellStyle name="Bad 3" xfId="6458" hidden="1" xr:uid="{00000000-0005-0000-0000-00008D190000}"/>
    <cellStyle name="Bad 3" xfId="6490" hidden="1" xr:uid="{00000000-0005-0000-0000-00008E190000}"/>
    <cellStyle name="Bad 3" xfId="6523" hidden="1" xr:uid="{00000000-0005-0000-0000-00008F190000}"/>
    <cellStyle name="Bad 3" xfId="6555" hidden="1" xr:uid="{00000000-0005-0000-0000-000090190000}"/>
    <cellStyle name="Bad 3" xfId="6588" hidden="1" xr:uid="{00000000-0005-0000-0000-000091190000}"/>
    <cellStyle name="Bad 3" xfId="6621" hidden="1" xr:uid="{00000000-0005-0000-0000-000092190000}"/>
    <cellStyle name="Bad 3" xfId="6654" hidden="1" xr:uid="{00000000-0005-0000-0000-000093190000}"/>
    <cellStyle name="Bad 3" xfId="6687" hidden="1" xr:uid="{00000000-0005-0000-0000-000094190000}"/>
    <cellStyle name="Bad 3" xfId="6720" hidden="1" xr:uid="{00000000-0005-0000-0000-000095190000}"/>
    <cellStyle name="Bad 3" xfId="6746" hidden="1" xr:uid="{00000000-0005-0000-0000-000096190000}"/>
    <cellStyle name="Bad 3" xfId="6810" hidden="1" xr:uid="{00000000-0005-0000-0000-000097190000}"/>
    <cellStyle name="Bad 3" xfId="6847" hidden="1" xr:uid="{00000000-0005-0000-0000-000098190000}"/>
    <cellStyle name="Bad 3" xfId="6880" hidden="1" xr:uid="{00000000-0005-0000-0000-000099190000}"/>
    <cellStyle name="Bad 3" xfId="6912" hidden="1" xr:uid="{00000000-0005-0000-0000-00009A190000}"/>
    <cellStyle name="Bad 3" xfId="6944" hidden="1" xr:uid="{00000000-0005-0000-0000-00009B190000}"/>
    <cellStyle name="Bad 3" xfId="6977" hidden="1" xr:uid="{00000000-0005-0000-0000-00009C190000}"/>
    <cellStyle name="Bad 3" xfId="7009" hidden="1" xr:uid="{00000000-0005-0000-0000-00009D190000}"/>
    <cellStyle name="Bad 3" xfId="7042" hidden="1" xr:uid="{00000000-0005-0000-0000-00009E190000}"/>
    <cellStyle name="Bad 3" xfId="7074" hidden="1" xr:uid="{00000000-0005-0000-0000-00009F190000}"/>
    <cellStyle name="Bad 3" xfId="7107" hidden="1" xr:uid="{00000000-0005-0000-0000-0000A0190000}"/>
    <cellStyle name="Bad 3" xfId="7140" hidden="1" xr:uid="{00000000-0005-0000-0000-0000A1190000}"/>
    <cellStyle name="Bad 3" xfId="7173" hidden="1" xr:uid="{00000000-0005-0000-0000-0000A2190000}"/>
    <cellStyle name="Bad 3" xfId="7206" hidden="1" xr:uid="{00000000-0005-0000-0000-0000A3190000}"/>
    <cellStyle name="Bad 3" xfId="7239" hidden="1" xr:uid="{00000000-0005-0000-0000-0000A4190000}"/>
    <cellStyle name="Bad 3" xfId="7272" hidden="1" xr:uid="{00000000-0005-0000-0000-0000A5190000}"/>
    <cellStyle name="Bad 3" xfId="7323" hidden="1" xr:uid="{00000000-0005-0000-0000-0000A6190000}"/>
    <cellStyle name="Bad 3" xfId="7360" hidden="1" xr:uid="{00000000-0005-0000-0000-0000A7190000}"/>
    <cellStyle name="Bad 3" xfId="7393" hidden="1" xr:uid="{00000000-0005-0000-0000-0000A8190000}"/>
    <cellStyle name="Bad 3" xfId="7425" hidden="1" xr:uid="{00000000-0005-0000-0000-0000A9190000}"/>
    <cellStyle name="Bad 3" xfId="7457" hidden="1" xr:uid="{00000000-0005-0000-0000-0000AA190000}"/>
    <cellStyle name="Bad 3" xfId="7490" hidden="1" xr:uid="{00000000-0005-0000-0000-0000AB190000}"/>
    <cellStyle name="Bad 3" xfId="7522" hidden="1" xr:uid="{00000000-0005-0000-0000-0000AC190000}"/>
    <cellStyle name="Bad 3" xfId="7555" hidden="1" xr:uid="{00000000-0005-0000-0000-0000AD190000}"/>
    <cellStyle name="Bad 3" xfId="7587" hidden="1" xr:uid="{00000000-0005-0000-0000-0000AE190000}"/>
    <cellStyle name="Bad 3" xfId="7620" hidden="1" xr:uid="{00000000-0005-0000-0000-0000AF190000}"/>
    <cellStyle name="Bad 3" xfId="7653" hidden="1" xr:uid="{00000000-0005-0000-0000-0000B0190000}"/>
    <cellStyle name="Bad 3" xfId="7686" hidden="1" xr:uid="{00000000-0005-0000-0000-0000B1190000}"/>
    <cellStyle name="Bad 3" xfId="7719" hidden="1" xr:uid="{00000000-0005-0000-0000-0000B2190000}"/>
    <cellStyle name="Bad 3" xfId="7752" hidden="1" xr:uid="{00000000-0005-0000-0000-0000B3190000}"/>
    <cellStyle name="Bad 3" xfId="7778" hidden="1" xr:uid="{00000000-0005-0000-0000-0000B4190000}"/>
    <cellStyle name="Bad 3" xfId="7800" hidden="1" xr:uid="{00000000-0005-0000-0000-0000B5190000}"/>
    <cellStyle name="Bad 3" xfId="7837" hidden="1" xr:uid="{00000000-0005-0000-0000-0000B6190000}"/>
    <cellStyle name="Bad 3" xfId="7870" hidden="1" xr:uid="{00000000-0005-0000-0000-0000B7190000}"/>
    <cellStyle name="Bad 3" xfId="7902" hidden="1" xr:uid="{00000000-0005-0000-0000-0000B8190000}"/>
    <cellStyle name="Bad 3" xfId="7934" hidden="1" xr:uid="{00000000-0005-0000-0000-0000B9190000}"/>
    <cellStyle name="Bad 3" xfId="7967" hidden="1" xr:uid="{00000000-0005-0000-0000-0000BA190000}"/>
    <cellStyle name="Bad 3" xfId="7999" hidden="1" xr:uid="{00000000-0005-0000-0000-0000BB190000}"/>
    <cellStyle name="Bad 3" xfId="8032" hidden="1" xr:uid="{00000000-0005-0000-0000-0000BC190000}"/>
    <cellStyle name="Bad 3" xfId="8064" hidden="1" xr:uid="{00000000-0005-0000-0000-0000BD190000}"/>
    <cellStyle name="Bad 3" xfId="8097" hidden="1" xr:uid="{00000000-0005-0000-0000-0000BE190000}"/>
    <cellStyle name="Bad 3" xfId="8130" hidden="1" xr:uid="{00000000-0005-0000-0000-0000BF190000}"/>
    <cellStyle name="Bad 3" xfId="8163" hidden="1" xr:uid="{00000000-0005-0000-0000-0000C0190000}"/>
    <cellStyle name="Bad 3" xfId="8196" hidden="1" xr:uid="{00000000-0005-0000-0000-0000C1190000}"/>
    <cellStyle name="Bad 3" xfId="8229" hidden="1" xr:uid="{00000000-0005-0000-0000-0000C2190000}"/>
    <cellStyle name="Bad 3" xfId="8255" hidden="1" xr:uid="{00000000-0005-0000-0000-0000C3190000}"/>
    <cellStyle name="Bad 3" xfId="5747" hidden="1" xr:uid="{00000000-0005-0000-0000-0000C4190000}"/>
    <cellStyle name="Bad 3" xfId="6770" hidden="1" xr:uid="{00000000-0005-0000-0000-0000C5190000}"/>
    <cellStyle name="Bad 3" xfId="4374" hidden="1" xr:uid="{00000000-0005-0000-0000-0000C6190000}"/>
    <cellStyle name="Bad 3" xfId="6757" hidden="1" xr:uid="{00000000-0005-0000-0000-0000C7190000}"/>
    <cellStyle name="Bad 3" xfId="4271" hidden="1" xr:uid="{00000000-0005-0000-0000-0000C8190000}"/>
    <cellStyle name="Bad 3" xfId="4257" hidden="1" xr:uid="{00000000-0005-0000-0000-0000C9190000}"/>
    <cellStyle name="Bad 3" xfId="8274" hidden="1" xr:uid="{00000000-0005-0000-0000-0000CA190000}"/>
    <cellStyle name="Bad 3" xfId="8307" hidden="1" xr:uid="{00000000-0005-0000-0000-0000CB190000}"/>
    <cellStyle name="Bad 3" xfId="8340" hidden="1" xr:uid="{00000000-0005-0000-0000-0000CC190000}"/>
    <cellStyle name="Bad 3" xfId="8373" hidden="1" xr:uid="{00000000-0005-0000-0000-0000CD190000}"/>
    <cellStyle name="Bad 3" xfId="8406" hidden="1" xr:uid="{00000000-0005-0000-0000-0000CE190000}"/>
    <cellStyle name="Bad 3" xfId="8443" hidden="1" xr:uid="{00000000-0005-0000-0000-0000CF190000}"/>
    <cellStyle name="Bad 3" xfId="8476" hidden="1" xr:uid="{00000000-0005-0000-0000-0000D0190000}"/>
    <cellStyle name="Bad 3" xfId="8508" hidden="1" xr:uid="{00000000-0005-0000-0000-0000D1190000}"/>
    <cellStyle name="Bad 3" xfId="8540" hidden="1" xr:uid="{00000000-0005-0000-0000-0000D2190000}"/>
    <cellStyle name="Bad 3" xfId="8573" hidden="1" xr:uid="{00000000-0005-0000-0000-0000D3190000}"/>
    <cellStyle name="Bad 3" xfId="8605" hidden="1" xr:uid="{00000000-0005-0000-0000-0000D4190000}"/>
    <cellStyle name="Bad 3" xfId="8638" hidden="1" xr:uid="{00000000-0005-0000-0000-0000D5190000}"/>
    <cellStyle name="Bad 3" xfId="8670" hidden="1" xr:uid="{00000000-0005-0000-0000-0000D6190000}"/>
    <cellStyle name="Bad 3" xfId="8703" hidden="1" xr:uid="{00000000-0005-0000-0000-0000D7190000}"/>
    <cellStyle name="Bad 3" xfId="8736" hidden="1" xr:uid="{00000000-0005-0000-0000-0000D8190000}"/>
    <cellStyle name="Bad 3" xfId="8769" hidden="1" xr:uid="{00000000-0005-0000-0000-0000D9190000}"/>
    <cellStyle name="Bad 3" xfId="8802" hidden="1" xr:uid="{00000000-0005-0000-0000-0000DA190000}"/>
    <cellStyle name="Bad 3" xfId="8835" hidden="1" xr:uid="{00000000-0005-0000-0000-0000DB190000}"/>
    <cellStyle name="Bad 3" xfId="8868" hidden="1" xr:uid="{00000000-0005-0000-0000-0000DC190000}"/>
    <cellStyle name="Bad 3" xfId="8908" hidden="1" xr:uid="{00000000-0005-0000-0000-0000DD190000}"/>
    <cellStyle name="Bad 3" xfId="8945" hidden="1" xr:uid="{00000000-0005-0000-0000-0000DE190000}"/>
    <cellStyle name="Bad 3" xfId="8978" hidden="1" xr:uid="{00000000-0005-0000-0000-0000DF190000}"/>
    <cellStyle name="Bad 3" xfId="9010" hidden="1" xr:uid="{00000000-0005-0000-0000-0000E0190000}"/>
    <cellStyle name="Bad 3" xfId="9042" hidden="1" xr:uid="{00000000-0005-0000-0000-0000E1190000}"/>
    <cellStyle name="Bad 3" xfId="9075" hidden="1" xr:uid="{00000000-0005-0000-0000-0000E2190000}"/>
    <cellStyle name="Bad 3" xfId="9107" hidden="1" xr:uid="{00000000-0005-0000-0000-0000E3190000}"/>
    <cellStyle name="Bad 3" xfId="9140" hidden="1" xr:uid="{00000000-0005-0000-0000-0000E4190000}"/>
    <cellStyle name="Bad 3" xfId="9172" hidden="1" xr:uid="{00000000-0005-0000-0000-0000E5190000}"/>
    <cellStyle name="Bad 3" xfId="9205" hidden="1" xr:uid="{00000000-0005-0000-0000-0000E6190000}"/>
    <cellStyle name="Bad 3" xfId="9238" hidden="1" xr:uid="{00000000-0005-0000-0000-0000E7190000}"/>
    <cellStyle name="Bad 3" xfId="9271" hidden="1" xr:uid="{00000000-0005-0000-0000-0000E8190000}"/>
    <cellStyle name="Bad 3" xfId="9304" hidden="1" xr:uid="{00000000-0005-0000-0000-0000E9190000}"/>
    <cellStyle name="Bad 3" xfId="9337" hidden="1" xr:uid="{00000000-0005-0000-0000-0000EA190000}"/>
    <cellStyle name="Bad 3" xfId="9370" hidden="1" xr:uid="{00000000-0005-0000-0000-0000EB190000}"/>
    <cellStyle name="Bad 3" xfId="9421" hidden="1" xr:uid="{00000000-0005-0000-0000-0000EC190000}"/>
    <cellStyle name="Bad 3" xfId="9458" hidden="1" xr:uid="{00000000-0005-0000-0000-0000ED190000}"/>
    <cellStyle name="Bad 3" xfId="9491" hidden="1" xr:uid="{00000000-0005-0000-0000-0000EE190000}"/>
    <cellStyle name="Bad 3" xfId="9523" hidden="1" xr:uid="{00000000-0005-0000-0000-0000EF190000}"/>
    <cellStyle name="Bad 3" xfId="9555" hidden="1" xr:uid="{00000000-0005-0000-0000-0000F0190000}"/>
    <cellStyle name="Bad 3" xfId="9588" hidden="1" xr:uid="{00000000-0005-0000-0000-0000F1190000}"/>
    <cellStyle name="Bad 3" xfId="9620" hidden="1" xr:uid="{00000000-0005-0000-0000-0000F2190000}"/>
    <cellStyle name="Bad 3" xfId="9653" hidden="1" xr:uid="{00000000-0005-0000-0000-0000F3190000}"/>
    <cellStyle name="Bad 3" xfId="9685" hidden="1" xr:uid="{00000000-0005-0000-0000-0000F4190000}"/>
    <cellStyle name="Bad 3" xfId="9718" hidden="1" xr:uid="{00000000-0005-0000-0000-0000F5190000}"/>
    <cellStyle name="Bad 3" xfId="9751" hidden="1" xr:uid="{00000000-0005-0000-0000-0000F6190000}"/>
    <cellStyle name="Bad 3" xfId="9784" hidden="1" xr:uid="{00000000-0005-0000-0000-0000F7190000}"/>
    <cellStyle name="Bad 3" xfId="9817" hidden="1" xr:uid="{00000000-0005-0000-0000-0000F8190000}"/>
    <cellStyle name="Bad 3" xfId="9850" hidden="1" xr:uid="{00000000-0005-0000-0000-0000F9190000}"/>
    <cellStyle name="Bad 3" xfId="9876" hidden="1" xr:uid="{00000000-0005-0000-0000-0000FA190000}"/>
    <cellStyle name="Bad 3" xfId="9898" hidden="1" xr:uid="{00000000-0005-0000-0000-0000FB190000}"/>
    <cellStyle name="Bad 3" xfId="9935" hidden="1" xr:uid="{00000000-0005-0000-0000-0000FC190000}"/>
    <cellStyle name="Bad 3" xfId="9968" hidden="1" xr:uid="{00000000-0005-0000-0000-0000FD190000}"/>
    <cellStyle name="Bad 3" xfId="10000" hidden="1" xr:uid="{00000000-0005-0000-0000-0000FE190000}"/>
    <cellStyle name="Bad 3" xfId="10032" hidden="1" xr:uid="{00000000-0005-0000-0000-0000FF190000}"/>
    <cellStyle name="Bad 3" xfId="10065" hidden="1" xr:uid="{00000000-0005-0000-0000-0000001A0000}"/>
    <cellStyle name="Bad 3" xfId="10097" hidden="1" xr:uid="{00000000-0005-0000-0000-0000011A0000}"/>
    <cellStyle name="Bad 3" xfId="10130" hidden="1" xr:uid="{00000000-0005-0000-0000-0000021A0000}"/>
    <cellStyle name="Bad 3" xfId="10162" hidden="1" xr:uid="{00000000-0005-0000-0000-0000031A0000}"/>
    <cellStyle name="Bad 3" xfId="10195" hidden="1" xr:uid="{00000000-0005-0000-0000-0000041A0000}"/>
    <cellStyle name="Bad 3" xfId="10228" hidden="1" xr:uid="{00000000-0005-0000-0000-0000051A0000}"/>
    <cellStyle name="Bad 3" xfId="10261" hidden="1" xr:uid="{00000000-0005-0000-0000-0000061A0000}"/>
    <cellStyle name="Bad 3" xfId="10294" hidden="1" xr:uid="{00000000-0005-0000-0000-0000071A0000}"/>
    <cellStyle name="Bad 3" xfId="10327" hidden="1" xr:uid="{00000000-0005-0000-0000-0000081A0000}"/>
    <cellStyle name="Bad 3" xfId="10353" hidden="1" xr:uid="{00000000-0005-0000-0000-0000091A0000}"/>
    <cellStyle name="Bad 3" xfId="10386" hidden="1" xr:uid="{00000000-0005-0000-0000-00000A1A0000}"/>
    <cellStyle name="Bad 3" xfId="10423" hidden="1" xr:uid="{00000000-0005-0000-0000-00000B1A0000}"/>
    <cellStyle name="Bad 3" xfId="10456" hidden="1" xr:uid="{00000000-0005-0000-0000-00000C1A0000}"/>
    <cellStyle name="Bad 3" xfId="10488" hidden="1" xr:uid="{00000000-0005-0000-0000-00000D1A0000}"/>
    <cellStyle name="Bad 3" xfId="10520" hidden="1" xr:uid="{00000000-0005-0000-0000-00000E1A0000}"/>
    <cellStyle name="Bad 3" xfId="10553" hidden="1" xr:uid="{00000000-0005-0000-0000-00000F1A0000}"/>
    <cellStyle name="Bad 3" xfId="10585" hidden="1" xr:uid="{00000000-0005-0000-0000-0000101A0000}"/>
    <cellStyle name="Bad 3" xfId="10618" hidden="1" xr:uid="{00000000-0005-0000-0000-0000111A0000}"/>
    <cellStyle name="Bad 3" xfId="10650" hidden="1" xr:uid="{00000000-0005-0000-0000-0000121A0000}"/>
    <cellStyle name="Bad 3" xfId="10683" hidden="1" xr:uid="{00000000-0005-0000-0000-0000131A0000}"/>
    <cellStyle name="Bad 3" xfId="10716" hidden="1" xr:uid="{00000000-0005-0000-0000-0000141A0000}"/>
    <cellStyle name="Bad 3" xfId="10749" hidden="1" xr:uid="{00000000-0005-0000-0000-0000151A0000}"/>
    <cellStyle name="Bad 3" xfId="10782" hidden="1" xr:uid="{00000000-0005-0000-0000-0000161A0000}"/>
    <cellStyle name="Bad 3" xfId="10815" hidden="1" xr:uid="{00000000-0005-0000-0000-0000171A0000}"/>
    <cellStyle name="Bad 3" xfId="10848" hidden="1" xr:uid="{00000000-0005-0000-0000-0000181A0000}"/>
    <cellStyle name="Bad 3" xfId="10899" hidden="1" xr:uid="{00000000-0005-0000-0000-0000191A0000}"/>
    <cellStyle name="Bad 3" xfId="10936" hidden="1" xr:uid="{00000000-0005-0000-0000-00001A1A0000}"/>
    <cellStyle name="Bad 3" xfId="10969" hidden="1" xr:uid="{00000000-0005-0000-0000-00001B1A0000}"/>
    <cellStyle name="Bad 3" xfId="11001" hidden="1" xr:uid="{00000000-0005-0000-0000-00001C1A0000}"/>
    <cellStyle name="Bad 3" xfId="11033" hidden="1" xr:uid="{00000000-0005-0000-0000-00001D1A0000}"/>
    <cellStyle name="Bad 3" xfId="11066" hidden="1" xr:uid="{00000000-0005-0000-0000-00001E1A0000}"/>
    <cellStyle name="Bad 3" xfId="11098" hidden="1" xr:uid="{00000000-0005-0000-0000-00001F1A0000}"/>
    <cellStyle name="Bad 3" xfId="11131" hidden="1" xr:uid="{00000000-0005-0000-0000-0000201A0000}"/>
    <cellStyle name="Bad 3" xfId="11163" hidden="1" xr:uid="{00000000-0005-0000-0000-0000211A0000}"/>
    <cellStyle name="Bad 3" xfId="11196" hidden="1" xr:uid="{00000000-0005-0000-0000-0000221A0000}"/>
    <cellStyle name="Bad 3" xfId="11229" hidden="1" xr:uid="{00000000-0005-0000-0000-0000231A0000}"/>
    <cellStyle name="Bad 3" xfId="11262" hidden="1" xr:uid="{00000000-0005-0000-0000-0000241A0000}"/>
    <cellStyle name="Bad 3" xfId="11295" hidden="1" xr:uid="{00000000-0005-0000-0000-0000251A0000}"/>
    <cellStyle name="Bad 3" xfId="11328" hidden="1" xr:uid="{00000000-0005-0000-0000-0000261A0000}"/>
    <cellStyle name="Bad 3" xfId="11354" hidden="1" xr:uid="{00000000-0005-0000-0000-0000271A0000}"/>
    <cellStyle name="Bad 3" xfId="11376" hidden="1" xr:uid="{00000000-0005-0000-0000-0000281A0000}"/>
    <cellStyle name="Bad 3" xfId="11413" hidden="1" xr:uid="{00000000-0005-0000-0000-0000291A0000}"/>
    <cellStyle name="Bad 3" xfId="11446" hidden="1" xr:uid="{00000000-0005-0000-0000-00002A1A0000}"/>
    <cellStyle name="Bad 3" xfId="11478" hidden="1" xr:uid="{00000000-0005-0000-0000-00002B1A0000}"/>
    <cellStyle name="Bad 3" xfId="11510" hidden="1" xr:uid="{00000000-0005-0000-0000-00002C1A0000}"/>
    <cellStyle name="Bad 3" xfId="11543" hidden="1" xr:uid="{00000000-0005-0000-0000-00002D1A0000}"/>
    <cellStyle name="Bad 3" xfId="11575" hidden="1" xr:uid="{00000000-0005-0000-0000-00002E1A0000}"/>
    <cellStyle name="Bad 3" xfId="11608" hidden="1" xr:uid="{00000000-0005-0000-0000-00002F1A0000}"/>
    <cellStyle name="Bad 3" xfId="11640" hidden="1" xr:uid="{00000000-0005-0000-0000-0000301A0000}"/>
    <cellStyle name="Bad 3" xfId="11673" hidden="1" xr:uid="{00000000-0005-0000-0000-0000311A0000}"/>
    <cellStyle name="Bad 3" xfId="11706" hidden="1" xr:uid="{00000000-0005-0000-0000-0000321A0000}"/>
    <cellStyle name="Bad 3" xfId="11739" hidden="1" xr:uid="{00000000-0005-0000-0000-0000331A0000}"/>
    <cellStyle name="Bad 3" xfId="11772" hidden="1" xr:uid="{00000000-0005-0000-0000-0000341A0000}"/>
    <cellStyle name="Bad 3" xfId="11805" hidden="1" xr:uid="{00000000-0005-0000-0000-0000351A0000}"/>
    <cellStyle name="Bad 3" xfId="11831" xr:uid="{00000000-0005-0000-0000-0000361A0000}"/>
    <cellStyle name="Bevitel" xfId="86" xr:uid="{00000000-0005-0000-0000-0000371A0000}"/>
    <cellStyle name="Buena" xfId="87" xr:uid="{00000000-0005-0000-0000-0000381A0000}"/>
    <cellStyle name="Calculation 2" xfId="89" xr:uid="{00000000-0005-0000-0000-0000391A0000}"/>
    <cellStyle name="Calculation 2 2" xfId="1598" xr:uid="{00000000-0005-0000-0000-00003A1A0000}"/>
    <cellStyle name="Calculation 2 3" xfId="2735" xr:uid="{00000000-0005-0000-0000-00003B1A0000}"/>
    <cellStyle name="Calculation 3" xfId="208" hidden="1" xr:uid="{00000000-0005-0000-0000-00003C1A0000}"/>
    <cellStyle name="Calculation 3" xfId="252" hidden="1" xr:uid="{00000000-0005-0000-0000-00003D1A0000}"/>
    <cellStyle name="Calculation 3" xfId="285" hidden="1" xr:uid="{00000000-0005-0000-0000-00003E1A0000}"/>
    <cellStyle name="Calculation 3" xfId="318" hidden="1" xr:uid="{00000000-0005-0000-0000-00003F1A0000}"/>
    <cellStyle name="Calculation 3" xfId="351" hidden="1" xr:uid="{00000000-0005-0000-0000-0000401A0000}"/>
    <cellStyle name="Calculation 3" xfId="385" hidden="1" xr:uid="{00000000-0005-0000-0000-0000411A0000}"/>
    <cellStyle name="Calculation 3" xfId="418" hidden="1" xr:uid="{00000000-0005-0000-0000-0000421A0000}"/>
    <cellStyle name="Calculation 3" xfId="451" hidden="1" xr:uid="{00000000-0005-0000-0000-0000431A0000}"/>
    <cellStyle name="Calculation 3" xfId="484" hidden="1" xr:uid="{00000000-0005-0000-0000-0000441A0000}"/>
    <cellStyle name="Calculation 3" xfId="517" hidden="1" xr:uid="{00000000-0005-0000-0000-0000451A0000}"/>
    <cellStyle name="Calculation 3" xfId="550" hidden="1" xr:uid="{00000000-0005-0000-0000-0000461A0000}"/>
    <cellStyle name="Calculation 3" xfId="583" hidden="1" xr:uid="{00000000-0005-0000-0000-0000471A0000}"/>
    <cellStyle name="Calculation 3" xfId="620" hidden="1" xr:uid="{00000000-0005-0000-0000-0000481A0000}"/>
    <cellStyle name="Calculation 3" xfId="653" hidden="1" xr:uid="{00000000-0005-0000-0000-0000491A0000}"/>
    <cellStyle name="Calculation 3" xfId="685" hidden="1" xr:uid="{00000000-0005-0000-0000-00004A1A0000}"/>
    <cellStyle name="Calculation 3" xfId="717" hidden="1" xr:uid="{00000000-0005-0000-0000-00004B1A0000}"/>
    <cellStyle name="Calculation 3" xfId="750" hidden="1" xr:uid="{00000000-0005-0000-0000-00004C1A0000}"/>
    <cellStyle name="Calculation 3" xfId="782" hidden="1" xr:uid="{00000000-0005-0000-0000-00004D1A0000}"/>
    <cellStyle name="Calculation 3" xfId="815" hidden="1" xr:uid="{00000000-0005-0000-0000-00004E1A0000}"/>
    <cellStyle name="Calculation 3" xfId="847" hidden="1" xr:uid="{00000000-0005-0000-0000-00004F1A0000}"/>
    <cellStyle name="Calculation 3" xfId="880" hidden="1" xr:uid="{00000000-0005-0000-0000-0000501A0000}"/>
    <cellStyle name="Calculation 3" xfId="913" hidden="1" xr:uid="{00000000-0005-0000-0000-0000511A0000}"/>
    <cellStyle name="Calculation 3" xfId="946" hidden="1" xr:uid="{00000000-0005-0000-0000-0000521A0000}"/>
    <cellStyle name="Calculation 3" xfId="979" hidden="1" xr:uid="{00000000-0005-0000-0000-0000531A0000}"/>
    <cellStyle name="Calculation 3" xfId="1012" hidden="1" xr:uid="{00000000-0005-0000-0000-0000541A0000}"/>
    <cellStyle name="Calculation 3" xfId="1045" hidden="1" xr:uid="{00000000-0005-0000-0000-0000551A0000}"/>
    <cellStyle name="Calculation 3" xfId="1088" hidden="1" xr:uid="{00000000-0005-0000-0000-0000561A0000}"/>
    <cellStyle name="Calculation 3" xfId="1126" hidden="1" xr:uid="{00000000-0005-0000-0000-0000571A0000}"/>
    <cellStyle name="Calculation 3" xfId="1159" hidden="1" xr:uid="{00000000-0005-0000-0000-0000581A0000}"/>
    <cellStyle name="Calculation 3" xfId="1191" hidden="1" xr:uid="{00000000-0005-0000-0000-0000591A0000}"/>
    <cellStyle name="Calculation 3" xfId="1223" hidden="1" xr:uid="{00000000-0005-0000-0000-00005A1A0000}"/>
    <cellStyle name="Calculation 3" xfId="1256" hidden="1" xr:uid="{00000000-0005-0000-0000-00005B1A0000}"/>
    <cellStyle name="Calculation 3" xfId="1288" hidden="1" xr:uid="{00000000-0005-0000-0000-00005C1A0000}"/>
    <cellStyle name="Calculation 3" xfId="1321" hidden="1" xr:uid="{00000000-0005-0000-0000-00005D1A0000}"/>
    <cellStyle name="Calculation 3" xfId="1353" hidden="1" xr:uid="{00000000-0005-0000-0000-00005E1A0000}"/>
    <cellStyle name="Calculation 3" xfId="1386" hidden="1" xr:uid="{00000000-0005-0000-0000-00005F1A0000}"/>
    <cellStyle name="Calculation 3" xfId="1419" hidden="1" xr:uid="{00000000-0005-0000-0000-0000601A0000}"/>
    <cellStyle name="Calculation 3" xfId="1452" hidden="1" xr:uid="{00000000-0005-0000-0000-0000611A0000}"/>
    <cellStyle name="Calculation 3" xfId="1485" hidden="1" xr:uid="{00000000-0005-0000-0000-0000621A0000}"/>
    <cellStyle name="Calculation 3" xfId="1518" hidden="1" xr:uid="{00000000-0005-0000-0000-0000631A0000}"/>
    <cellStyle name="Calculation 3" xfId="1551" hidden="1" xr:uid="{00000000-0005-0000-0000-0000641A0000}"/>
    <cellStyle name="Calculation 3" xfId="1765" hidden="1" xr:uid="{00000000-0005-0000-0000-0000651A0000}"/>
    <cellStyle name="Calculation 3" xfId="1802" hidden="1" xr:uid="{00000000-0005-0000-0000-0000661A0000}"/>
    <cellStyle name="Calculation 3" xfId="1835" hidden="1" xr:uid="{00000000-0005-0000-0000-0000671A0000}"/>
    <cellStyle name="Calculation 3" xfId="1867" hidden="1" xr:uid="{00000000-0005-0000-0000-0000681A0000}"/>
    <cellStyle name="Calculation 3" xfId="1899" hidden="1" xr:uid="{00000000-0005-0000-0000-0000691A0000}"/>
    <cellStyle name="Calculation 3" xfId="1932" hidden="1" xr:uid="{00000000-0005-0000-0000-00006A1A0000}"/>
    <cellStyle name="Calculation 3" xfId="1964" hidden="1" xr:uid="{00000000-0005-0000-0000-00006B1A0000}"/>
    <cellStyle name="Calculation 3" xfId="1997" hidden="1" xr:uid="{00000000-0005-0000-0000-00006C1A0000}"/>
    <cellStyle name="Calculation 3" xfId="2029" hidden="1" xr:uid="{00000000-0005-0000-0000-00006D1A0000}"/>
    <cellStyle name="Calculation 3" xfId="2062" hidden="1" xr:uid="{00000000-0005-0000-0000-00006E1A0000}"/>
    <cellStyle name="Calculation 3" xfId="2095" hidden="1" xr:uid="{00000000-0005-0000-0000-00006F1A0000}"/>
    <cellStyle name="Calculation 3" xfId="2128" hidden="1" xr:uid="{00000000-0005-0000-0000-0000701A0000}"/>
    <cellStyle name="Calculation 3" xfId="2161" hidden="1" xr:uid="{00000000-0005-0000-0000-0000711A0000}"/>
    <cellStyle name="Calculation 3" xfId="2194" hidden="1" xr:uid="{00000000-0005-0000-0000-0000721A0000}"/>
    <cellStyle name="Calculation 3" xfId="2225" hidden="1" xr:uid="{00000000-0005-0000-0000-0000731A0000}"/>
    <cellStyle name="Calculation 3" xfId="2242" hidden="1" xr:uid="{00000000-0005-0000-0000-0000741A0000}"/>
    <cellStyle name="Calculation 3" xfId="2279" hidden="1" xr:uid="{00000000-0005-0000-0000-0000751A0000}"/>
    <cellStyle name="Calculation 3" xfId="2312" hidden="1" xr:uid="{00000000-0005-0000-0000-0000761A0000}"/>
    <cellStyle name="Calculation 3" xfId="2344" hidden="1" xr:uid="{00000000-0005-0000-0000-0000771A0000}"/>
    <cellStyle name="Calculation 3" xfId="2376" hidden="1" xr:uid="{00000000-0005-0000-0000-0000781A0000}"/>
    <cellStyle name="Calculation 3" xfId="2409" hidden="1" xr:uid="{00000000-0005-0000-0000-0000791A0000}"/>
    <cellStyle name="Calculation 3" xfId="2441" hidden="1" xr:uid="{00000000-0005-0000-0000-00007A1A0000}"/>
    <cellStyle name="Calculation 3" xfId="2474" hidden="1" xr:uid="{00000000-0005-0000-0000-00007B1A0000}"/>
    <cellStyle name="Calculation 3" xfId="2506" hidden="1" xr:uid="{00000000-0005-0000-0000-00007C1A0000}"/>
    <cellStyle name="Calculation 3" xfId="2539" hidden="1" xr:uid="{00000000-0005-0000-0000-00007D1A0000}"/>
    <cellStyle name="Calculation 3" xfId="2572" hidden="1" xr:uid="{00000000-0005-0000-0000-00007E1A0000}"/>
    <cellStyle name="Calculation 3" xfId="2605" hidden="1" xr:uid="{00000000-0005-0000-0000-00007F1A0000}"/>
    <cellStyle name="Calculation 3" xfId="2638" hidden="1" xr:uid="{00000000-0005-0000-0000-0000801A0000}"/>
    <cellStyle name="Calculation 3" xfId="2671" hidden="1" xr:uid="{00000000-0005-0000-0000-0000811A0000}"/>
    <cellStyle name="Calculation 3" xfId="2702" hidden="1" xr:uid="{00000000-0005-0000-0000-0000821A0000}"/>
    <cellStyle name="Calculation 3" xfId="2785" hidden="1" xr:uid="{00000000-0005-0000-0000-0000831A0000}"/>
    <cellStyle name="Calculation 3" xfId="2822" hidden="1" xr:uid="{00000000-0005-0000-0000-0000841A0000}"/>
    <cellStyle name="Calculation 3" xfId="2855" hidden="1" xr:uid="{00000000-0005-0000-0000-0000851A0000}"/>
    <cellStyle name="Calculation 3" xfId="2887" hidden="1" xr:uid="{00000000-0005-0000-0000-0000861A0000}"/>
    <cellStyle name="Calculation 3" xfId="2919" hidden="1" xr:uid="{00000000-0005-0000-0000-0000871A0000}"/>
    <cellStyle name="Calculation 3" xfId="2952" hidden="1" xr:uid="{00000000-0005-0000-0000-0000881A0000}"/>
    <cellStyle name="Calculation 3" xfId="2984" hidden="1" xr:uid="{00000000-0005-0000-0000-0000891A0000}"/>
    <cellStyle name="Calculation 3" xfId="3017" hidden="1" xr:uid="{00000000-0005-0000-0000-00008A1A0000}"/>
    <cellStyle name="Calculation 3" xfId="3049" hidden="1" xr:uid="{00000000-0005-0000-0000-00008B1A0000}"/>
    <cellStyle name="Calculation 3" xfId="3082" hidden="1" xr:uid="{00000000-0005-0000-0000-00008C1A0000}"/>
    <cellStyle name="Calculation 3" xfId="3115" hidden="1" xr:uid="{00000000-0005-0000-0000-00008D1A0000}"/>
    <cellStyle name="Calculation 3" xfId="3148" hidden="1" xr:uid="{00000000-0005-0000-0000-00008E1A0000}"/>
    <cellStyle name="Calculation 3" xfId="3181" hidden="1" xr:uid="{00000000-0005-0000-0000-00008F1A0000}"/>
    <cellStyle name="Calculation 3" xfId="3214" hidden="1" xr:uid="{00000000-0005-0000-0000-0000901A0000}"/>
    <cellStyle name="Calculation 3" xfId="3247" hidden="1" xr:uid="{00000000-0005-0000-0000-0000911A0000}"/>
    <cellStyle name="Calculation 3" xfId="3298" hidden="1" xr:uid="{00000000-0005-0000-0000-0000921A0000}"/>
    <cellStyle name="Calculation 3" xfId="3335" hidden="1" xr:uid="{00000000-0005-0000-0000-0000931A0000}"/>
    <cellStyle name="Calculation 3" xfId="3368" hidden="1" xr:uid="{00000000-0005-0000-0000-0000941A0000}"/>
    <cellStyle name="Calculation 3" xfId="3400" hidden="1" xr:uid="{00000000-0005-0000-0000-0000951A0000}"/>
    <cellStyle name="Calculation 3" xfId="3432" hidden="1" xr:uid="{00000000-0005-0000-0000-0000961A0000}"/>
    <cellStyle name="Calculation 3" xfId="3465" hidden="1" xr:uid="{00000000-0005-0000-0000-0000971A0000}"/>
    <cellStyle name="Calculation 3" xfId="3497" hidden="1" xr:uid="{00000000-0005-0000-0000-0000981A0000}"/>
    <cellStyle name="Calculation 3" xfId="3530" hidden="1" xr:uid="{00000000-0005-0000-0000-0000991A0000}"/>
    <cellStyle name="Calculation 3" xfId="3562" hidden="1" xr:uid="{00000000-0005-0000-0000-00009A1A0000}"/>
    <cellStyle name="Calculation 3" xfId="3595" hidden="1" xr:uid="{00000000-0005-0000-0000-00009B1A0000}"/>
    <cellStyle name="Calculation 3" xfId="3628" hidden="1" xr:uid="{00000000-0005-0000-0000-00009C1A0000}"/>
    <cellStyle name="Calculation 3" xfId="3661" hidden="1" xr:uid="{00000000-0005-0000-0000-00009D1A0000}"/>
    <cellStyle name="Calculation 3" xfId="3694" hidden="1" xr:uid="{00000000-0005-0000-0000-00009E1A0000}"/>
    <cellStyle name="Calculation 3" xfId="3727" hidden="1" xr:uid="{00000000-0005-0000-0000-00009F1A0000}"/>
    <cellStyle name="Calculation 3" xfId="3758" hidden="1" xr:uid="{00000000-0005-0000-0000-0000A01A0000}"/>
    <cellStyle name="Calculation 3" xfId="3775" hidden="1" xr:uid="{00000000-0005-0000-0000-0000A11A0000}"/>
    <cellStyle name="Calculation 3" xfId="3812" hidden="1" xr:uid="{00000000-0005-0000-0000-0000A21A0000}"/>
    <cellStyle name="Calculation 3" xfId="3845" hidden="1" xr:uid="{00000000-0005-0000-0000-0000A31A0000}"/>
    <cellStyle name="Calculation 3" xfId="3877" hidden="1" xr:uid="{00000000-0005-0000-0000-0000A41A0000}"/>
    <cellStyle name="Calculation 3" xfId="3909" hidden="1" xr:uid="{00000000-0005-0000-0000-0000A51A0000}"/>
    <cellStyle name="Calculation 3" xfId="3942" hidden="1" xr:uid="{00000000-0005-0000-0000-0000A61A0000}"/>
    <cellStyle name="Calculation 3" xfId="3974" hidden="1" xr:uid="{00000000-0005-0000-0000-0000A71A0000}"/>
    <cellStyle name="Calculation 3" xfId="4007" hidden="1" xr:uid="{00000000-0005-0000-0000-0000A81A0000}"/>
    <cellStyle name="Calculation 3" xfId="4039" hidden="1" xr:uid="{00000000-0005-0000-0000-0000A91A0000}"/>
    <cellStyle name="Calculation 3" xfId="4072" hidden="1" xr:uid="{00000000-0005-0000-0000-0000AA1A0000}"/>
    <cellStyle name="Calculation 3" xfId="4105" hidden="1" xr:uid="{00000000-0005-0000-0000-0000AB1A0000}"/>
    <cellStyle name="Calculation 3" xfId="4138" hidden="1" xr:uid="{00000000-0005-0000-0000-0000AC1A0000}"/>
    <cellStyle name="Calculation 3" xfId="4171" hidden="1" xr:uid="{00000000-0005-0000-0000-0000AD1A0000}"/>
    <cellStyle name="Calculation 3" xfId="4204" hidden="1" xr:uid="{00000000-0005-0000-0000-0000AE1A0000}"/>
    <cellStyle name="Calculation 3" xfId="4235" hidden="1" xr:uid="{00000000-0005-0000-0000-0000AF1A0000}"/>
    <cellStyle name="Calculation 3" xfId="4404" hidden="1" xr:uid="{00000000-0005-0000-0000-0000B01A0000}"/>
    <cellStyle name="Calculation 3" xfId="4437" hidden="1" xr:uid="{00000000-0005-0000-0000-0000B11A0000}"/>
    <cellStyle name="Calculation 3" xfId="4470" hidden="1" xr:uid="{00000000-0005-0000-0000-0000B21A0000}"/>
    <cellStyle name="Calculation 3" xfId="4503" hidden="1" xr:uid="{00000000-0005-0000-0000-0000B31A0000}"/>
    <cellStyle name="Calculation 3" xfId="4536" hidden="1" xr:uid="{00000000-0005-0000-0000-0000B41A0000}"/>
    <cellStyle name="Calculation 3" xfId="4569" hidden="1" xr:uid="{00000000-0005-0000-0000-0000B51A0000}"/>
    <cellStyle name="Calculation 3" xfId="4602" hidden="1" xr:uid="{00000000-0005-0000-0000-0000B61A0000}"/>
    <cellStyle name="Calculation 3" xfId="4635" hidden="1" xr:uid="{00000000-0005-0000-0000-0000B71A0000}"/>
    <cellStyle name="Calculation 3" xfId="4668" hidden="1" xr:uid="{00000000-0005-0000-0000-0000B81A0000}"/>
    <cellStyle name="Calculation 3" xfId="4701" hidden="1" xr:uid="{00000000-0005-0000-0000-0000B91A0000}"/>
    <cellStyle name="Calculation 3" xfId="4734" hidden="1" xr:uid="{00000000-0005-0000-0000-0000BA1A0000}"/>
    <cellStyle name="Calculation 3" xfId="4771" hidden="1" xr:uid="{00000000-0005-0000-0000-0000BB1A0000}"/>
    <cellStyle name="Calculation 3" xfId="4804" hidden="1" xr:uid="{00000000-0005-0000-0000-0000BC1A0000}"/>
    <cellStyle name="Calculation 3" xfId="4836" hidden="1" xr:uid="{00000000-0005-0000-0000-0000BD1A0000}"/>
    <cellStyle name="Calculation 3" xfId="4868" hidden="1" xr:uid="{00000000-0005-0000-0000-0000BE1A0000}"/>
    <cellStyle name="Calculation 3" xfId="4901" hidden="1" xr:uid="{00000000-0005-0000-0000-0000BF1A0000}"/>
    <cellStyle name="Calculation 3" xfId="4933" hidden="1" xr:uid="{00000000-0005-0000-0000-0000C01A0000}"/>
    <cellStyle name="Calculation 3" xfId="4966" hidden="1" xr:uid="{00000000-0005-0000-0000-0000C11A0000}"/>
    <cellStyle name="Calculation 3" xfId="4998" hidden="1" xr:uid="{00000000-0005-0000-0000-0000C21A0000}"/>
    <cellStyle name="Calculation 3" xfId="5031" hidden="1" xr:uid="{00000000-0005-0000-0000-0000C31A0000}"/>
    <cellStyle name="Calculation 3" xfId="5064" hidden="1" xr:uid="{00000000-0005-0000-0000-0000C41A0000}"/>
    <cellStyle name="Calculation 3" xfId="5097" hidden="1" xr:uid="{00000000-0005-0000-0000-0000C51A0000}"/>
    <cellStyle name="Calculation 3" xfId="5130" hidden="1" xr:uid="{00000000-0005-0000-0000-0000C61A0000}"/>
    <cellStyle name="Calculation 3" xfId="5163" hidden="1" xr:uid="{00000000-0005-0000-0000-0000C71A0000}"/>
    <cellStyle name="Calculation 3" xfId="5196" hidden="1" xr:uid="{00000000-0005-0000-0000-0000C81A0000}"/>
    <cellStyle name="Calculation 3" xfId="5237" hidden="1" xr:uid="{00000000-0005-0000-0000-0000C91A0000}"/>
    <cellStyle name="Calculation 3" xfId="5274" hidden="1" xr:uid="{00000000-0005-0000-0000-0000CA1A0000}"/>
    <cellStyle name="Calculation 3" xfId="5307" hidden="1" xr:uid="{00000000-0005-0000-0000-0000CB1A0000}"/>
    <cellStyle name="Calculation 3" xfId="5339" hidden="1" xr:uid="{00000000-0005-0000-0000-0000CC1A0000}"/>
    <cellStyle name="Calculation 3" xfId="5371" hidden="1" xr:uid="{00000000-0005-0000-0000-0000CD1A0000}"/>
    <cellStyle name="Calculation 3" xfId="5404" hidden="1" xr:uid="{00000000-0005-0000-0000-0000CE1A0000}"/>
    <cellStyle name="Calculation 3" xfId="5436" hidden="1" xr:uid="{00000000-0005-0000-0000-0000CF1A0000}"/>
    <cellStyle name="Calculation 3" xfId="5469" hidden="1" xr:uid="{00000000-0005-0000-0000-0000D01A0000}"/>
    <cellStyle name="Calculation 3" xfId="5501" hidden="1" xr:uid="{00000000-0005-0000-0000-0000D11A0000}"/>
    <cellStyle name="Calculation 3" xfId="5534" hidden="1" xr:uid="{00000000-0005-0000-0000-0000D21A0000}"/>
    <cellStyle name="Calculation 3" xfId="5567" hidden="1" xr:uid="{00000000-0005-0000-0000-0000D31A0000}"/>
    <cellStyle name="Calculation 3" xfId="5600" hidden="1" xr:uid="{00000000-0005-0000-0000-0000D41A0000}"/>
    <cellStyle name="Calculation 3" xfId="5633" hidden="1" xr:uid="{00000000-0005-0000-0000-0000D51A0000}"/>
    <cellStyle name="Calculation 3" xfId="5666" hidden="1" xr:uid="{00000000-0005-0000-0000-0000D61A0000}"/>
    <cellStyle name="Calculation 3" xfId="5699" hidden="1" xr:uid="{00000000-0005-0000-0000-0000D71A0000}"/>
    <cellStyle name="Calculation 3" xfId="5803" hidden="1" xr:uid="{00000000-0005-0000-0000-0000D81A0000}"/>
    <cellStyle name="Calculation 3" xfId="5840" hidden="1" xr:uid="{00000000-0005-0000-0000-0000D91A0000}"/>
    <cellStyle name="Calculation 3" xfId="5873" hidden="1" xr:uid="{00000000-0005-0000-0000-0000DA1A0000}"/>
    <cellStyle name="Calculation 3" xfId="5905" hidden="1" xr:uid="{00000000-0005-0000-0000-0000DB1A0000}"/>
    <cellStyle name="Calculation 3" xfId="5937" hidden="1" xr:uid="{00000000-0005-0000-0000-0000DC1A0000}"/>
    <cellStyle name="Calculation 3" xfId="5970" hidden="1" xr:uid="{00000000-0005-0000-0000-0000DD1A0000}"/>
    <cellStyle name="Calculation 3" xfId="6002" hidden="1" xr:uid="{00000000-0005-0000-0000-0000DE1A0000}"/>
    <cellStyle name="Calculation 3" xfId="6035" hidden="1" xr:uid="{00000000-0005-0000-0000-0000DF1A0000}"/>
    <cellStyle name="Calculation 3" xfId="6067" hidden="1" xr:uid="{00000000-0005-0000-0000-0000E01A0000}"/>
    <cellStyle name="Calculation 3" xfId="6100" hidden="1" xr:uid="{00000000-0005-0000-0000-0000E11A0000}"/>
    <cellStyle name="Calculation 3" xfId="6133" hidden="1" xr:uid="{00000000-0005-0000-0000-0000E21A0000}"/>
    <cellStyle name="Calculation 3" xfId="6166" hidden="1" xr:uid="{00000000-0005-0000-0000-0000E31A0000}"/>
    <cellStyle name="Calculation 3" xfId="6199" hidden="1" xr:uid="{00000000-0005-0000-0000-0000E41A0000}"/>
    <cellStyle name="Calculation 3" xfId="6232" hidden="1" xr:uid="{00000000-0005-0000-0000-0000E51A0000}"/>
    <cellStyle name="Calculation 3" xfId="6263" hidden="1" xr:uid="{00000000-0005-0000-0000-0000E61A0000}"/>
    <cellStyle name="Calculation 3" xfId="6280" hidden="1" xr:uid="{00000000-0005-0000-0000-0000E71A0000}"/>
    <cellStyle name="Calculation 3" xfId="6317" hidden="1" xr:uid="{00000000-0005-0000-0000-0000E81A0000}"/>
    <cellStyle name="Calculation 3" xfId="6350" hidden="1" xr:uid="{00000000-0005-0000-0000-0000E91A0000}"/>
    <cellStyle name="Calculation 3" xfId="6382" hidden="1" xr:uid="{00000000-0005-0000-0000-0000EA1A0000}"/>
    <cellStyle name="Calculation 3" xfId="6414" hidden="1" xr:uid="{00000000-0005-0000-0000-0000EB1A0000}"/>
    <cellStyle name="Calculation 3" xfId="6447" hidden="1" xr:uid="{00000000-0005-0000-0000-0000EC1A0000}"/>
    <cellStyle name="Calculation 3" xfId="6479" hidden="1" xr:uid="{00000000-0005-0000-0000-0000ED1A0000}"/>
    <cellStyle name="Calculation 3" xfId="6512" hidden="1" xr:uid="{00000000-0005-0000-0000-0000EE1A0000}"/>
    <cellStyle name="Calculation 3" xfId="6544" hidden="1" xr:uid="{00000000-0005-0000-0000-0000EF1A0000}"/>
    <cellStyle name="Calculation 3" xfId="6577" hidden="1" xr:uid="{00000000-0005-0000-0000-0000F01A0000}"/>
    <cellStyle name="Calculation 3" xfId="6610" hidden="1" xr:uid="{00000000-0005-0000-0000-0000F11A0000}"/>
    <cellStyle name="Calculation 3" xfId="6643" hidden="1" xr:uid="{00000000-0005-0000-0000-0000F21A0000}"/>
    <cellStyle name="Calculation 3" xfId="6676" hidden="1" xr:uid="{00000000-0005-0000-0000-0000F31A0000}"/>
    <cellStyle name="Calculation 3" xfId="6709" hidden="1" xr:uid="{00000000-0005-0000-0000-0000F41A0000}"/>
    <cellStyle name="Calculation 3" xfId="6740" hidden="1" xr:uid="{00000000-0005-0000-0000-0000F51A0000}"/>
    <cellStyle name="Calculation 3" xfId="6799" hidden="1" xr:uid="{00000000-0005-0000-0000-0000F61A0000}"/>
    <cellStyle name="Calculation 3" xfId="6836" hidden="1" xr:uid="{00000000-0005-0000-0000-0000F71A0000}"/>
    <cellStyle name="Calculation 3" xfId="6869" hidden="1" xr:uid="{00000000-0005-0000-0000-0000F81A0000}"/>
    <cellStyle name="Calculation 3" xfId="6901" hidden="1" xr:uid="{00000000-0005-0000-0000-0000F91A0000}"/>
    <cellStyle name="Calculation 3" xfId="6933" hidden="1" xr:uid="{00000000-0005-0000-0000-0000FA1A0000}"/>
    <cellStyle name="Calculation 3" xfId="6966" hidden="1" xr:uid="{00000000-0005-0000-0000-0000FB1A0000}"/>
    <cellStyle name="Calculation 3" xfId="6998" hidden="1" xr:uid="{00000000-0005-0000-0000-0000FC1A0000}"/>
    <cellStyle name="Calculation 3" xfId="7031" hidden="1" xr:uid="{00000000-0005-0000-0000-0000FD1A0000}"/>
    <cellStyle name="Calculation 3" xfId="7063" hidden="1" xr:uid="{00000000-0005-0000-0000-0000FE1A0000}"/>
    <cellStyle name="Calculation 3" xfId="7096" hidden="1" xr:uid="{00000000-0005-0000-0000-0000FF1A0000}"/>
    <cellStyle name="Calculation 3" xfId="7129" hidden="1" xr:uid="{00000000-0005-0000-0000-0000001B0000}"/>
    <cellStyle name="Calculation 3" xfId="7162" hidden="1" xr:uid="{00000000-0005-0000-0000-0000011B0000}"/>
    <cellStyle name="Calculation 3" xfId="7195" hidden="1" xr:uid="{00000000-0005-0000-0000-0000021B0000}"/>
    <cellStyle name="Calculation 3" xfId="7228" hidden="1" xr:uid="{00000000-0005-0000-0000-0000031B0000}"/>
    <cellStyle name="Calculation 3" xfId="7261" hidden="1" xr:uid="{00000000-0005-0000-0000-0000041B0000}"/>
    <cellStyle name="Calculation 3" xfId="7312" hidden="1" xr:uid="{00000000-0005-0000-0000-0000051B0000}"/>
    <cellStyle name="Calculation 3" xfId="7349" hidden="1" xr:uid="{00000000-0005-0000-0000-0000061B0000}"/>
    <cellStyle name="Calculation 3" xfId="7382" hidden="1" xr:uid="{00000000-0005-0000-0000-0000071B0000}"/>
    <cellStyle name="Calculation 3" xfId="7414" hidden="1" xr:uid="{00000000-0005-0000-0000-0000081B0000}"/>
    <cellStyle name="Calculation 3" xfId="7446" hidden="1" xr:uid="{00000000-0005-0000-0000-0000091B0000}"/>
    <cellStyle name="Calculation 3" xfId="7479" hidden="1" xr:uid="{00000000-0005-0000-0000-00000A1B0000}"/>
    <cellStyle name="Calculation 3" xfId="7511" hidden="1" xr:uid="{00000000-0005-0000-0000-00000B1B0000}"/>
    <cellStyle name="Calculation 3" xfId="7544" hidden="1" xr:uid="{00000000-0005-0000-0000-00000C1B0000}"/>
    <cellStyle name="Calculation 3" xfId="7576" hidden="1" xr:uid="{00000000-0005-0000-0000-00000D1B0000}"/>
    <cellStyle name="Calculation 3" xfId="7609" hidden="1" xr:uid="{00000000-0005-0000-0000-00000E1B0000}"/>
    <cellStyle name="Calculation 3" xfId="7642" hidden="1" xr:uid="{00000000-0005-0000-0000-00000F1B0000}"/>
    <cellStyle name="Calculation 3" xfId="7675" hidden="1" xr:uid="{00000000-0005-0000-0000-0000101B0000}"/>
    <cellStyle name="Calculation 3" xfId="7708" hidden="1" xr:uid="{00000000-0005-0000-0000-0000111B0000}"/>
    <cellStyle name="Calculation 3" xfId="7741" hidden="1" xr:uid="{00000000-0005-0000-0000-0000121B0000}"/>
    <cellStyle name="Calculation 3" xfId="7772" hidden="1" xr:uid="{00000000-0005-0000-0000-0000131B0000}"/>
    <cellStyle name="Calculation 3" xfId="7789" hidden="1" xr:uid="{00000000-0005-0000-0000-0000141B0000}"/>
    <cellStyle name="Calculation 3" xfId="7826" hidden="1" xr:uid="{00000000-0005-0000-0000-0000151B0000}"/>
    <cellStyle name="Calculation 3" xfId="7859" hidden="1" xr:uid="{00000000-0005-0000-0000-0000161B0000}"/>
    <cellStyle name="Calculation 3" xfId="7891" hidden="1" xr:uid="{00000000-0005-0000-0000-0000171B0000}"/>
    <cellStyle name="Calculation 3" xfId="7923" hidden="1" xr:uid="{00000000-0005-0000-0000-0000181B0000}"/>
    <cellStyle name="Calculation 3" xfId="7956" hidden="1" xr:uid="{00000000-0005-0000-0000-0000191B0000}"/>
    <cellStyle name="Calculation 3" xfId="7988" hidden="1" xr:uid="{00000000-0005-0000-0000-00001A1B0000}"/>
    <cellStyle name="Calculation 3" xfId="8021" hidden="1" xr:uid="{00000000-0005-0000-0000-00001B1B0000}"/>
    <cellStyle name="Calculation 3" xfId="8053" hidden="1" xr:uid="{00000000-0005-0000-0000-00001C1B0000}"/>
    <cellStyle name="Calculation 3" xfId="8086" hidden="1" xr:uid="{00000000-0005-0000-0000-00001D1B0000}"/>
    <cellStyle name="Calculation 3" xfId="8119" hidden="1" xr:uid="{00000000-0005-0000-0000-00001E1B0000}"/>
    <cellStyle name="Calculation 3" xfId="8152" hidden="1" xr:uid="{00000000-0005-0000-0000-00001F1B0000}"/>
    <cellStyle name="Calculation 3" xfId="8185" hidden="1" xr:uid="{00000000-0005-0000-0000-0000201B0000}"/>
    <cellStyle name="Calculation 3" xfId="8218" hidden="1" xr:uid="{00000000-0005-0000-0000-0000211B0000}"/>
    <cellStyle name="Calculation 3" xfId="8249" hidden="1" xr:uid="{00000000-0005-0000-0000-0000221B0000}"/>
    <cellStyle name="Calculation 3" xfId="4342" hidden="1" xr:uid="{00000000-0005-0000-0000-0000231B0000}"/>
    <cellStyle name="Calculation 3" xfId="5741" hidden="1" xr:uid="{00000000-0005-0000-0000-0000241B0000}"/>
    <cellStyle name="Calculation 3" xfId="6765" hidden="1" xr:uid="{00000000-0005-0000-0000-0000251B0000}"/>
    <cellStyle name="Calculation 3" xfId="4297" hidden="1" xr:uid="{00000000-0005-0000-0000-0000261B0000}"/>
    <cellStyle name="Calculation 3" xfId="4282" hidden="1" xr:uid="{00000000-0005-0000-0000-0000271B0000}"/>
    <cellStyle name="Calculation 3" xfId="6749" hidden="1" xr:uid="{00000000-0005-0000-0000-0000281B0000}"/>
    <cellStyle name="Calculation 3" xfId="8263" hidden="1" xr:uid="{00000000-0005-0000-0000-0000291B0000}"/>
    <cellStyle name="Calculation 3" xfId="8296" hidden="1" xr:uid="{00000000-0005-0000-0000-00002A1B0000}"/>
    <cellStyle name="Calculation 3" xfId="8329" hidden="1" xr:uid="{00000000-0005-0000-0000-00002B1B0000}"/>
    <cellStyle name="Calculation 3" xfId="8362" hidden="1" xr:uid="{00000000-0005-0000-0000-00002C1B0000}"/>
    <cellStyle name="Calculation 3" xfId="8395" hidden="1" xr:uid="{00000000-0005-0000-0000-00002D1B0000}"/>
    <cellStyle name="Calculation 3" xfId="8432" hidden="1" xr:uid="{00000000-0005-0000-0000-00002E1B0000}"/>
    <cellStyle name="Calculation 3" xfId="8465" hidden="1" xr:uid="{00000000-0005-0000-0000-00002F1B0000}"/>
    <cellStyle name="Calculation 3" xfId="8497" hidden="1" xr:uid="{00000000-0005-0000-0000-0000301B0000}"/>
    <cellStyle name="Calculation 3" xfId="8529" hidden="1" xr:uid="{00000000-0005-0000-0000-0000311B0000}"/>
    <cellStyle name="Calculation 3" xfId="8562" hidden="1" xr:uid="{00000000-0005-0000-0000-0000321B0000}"/>
    <cellStyle name="Calculation 3" xfId="8594" hidden="1" xr:uid="{00000000-0005-0000-0000-0000331B0000}"/>
    <cellStyle name="Calculation 3" xfId="8627" hidden="1" xr:uid="{00000000-0005-0000-0000-0000341B0000}"/>
    <cellStyle name="Calculation 3" xfId="8659" hidden="1" xr:uid="{00000000-0005-0000-0000-0000351B0000}"/>
    <cellStyle name="Calculation 3" xfId="8692" hidden="1" xr:uid="{00000000-0005-0000-0000-0000361B0000}"/>
    <cellStyle name="Calculation 3" xfId="8725" hidden="1" xr:uid="{00000000-0005-0000-0000-0000371B0000}"/>
    <cellStyle name="Calculation 3" xfId="8758" hidden="1" xr:uid="{00000000-0005-0000-0000-0000381B0000}"/>
    <cellStyle name="Calculation 3" xfId="8791" hidden="1" xr:uid="{00000000-0005-0000-0000-0000391B0000}"/>
    <cellStyle name="Calculation 3" xfId="8824" hidden="1" xr:uid="{00000000-0005-0000-0000-00003A1B0000}"/>
    <cellStyle name="Calculation 3" xfId="8857" hidden="1" xr:uid="{00000000-0005-0000-0000-00003B1B0000}"/>
    <cellStyle name="Calculation 3" xfId="8897" hidden="1" xr:uid="{00000000-0005-0000-0000-00003C1B0000}"/>
    <cellStyle name="Calculation 3" xfId="8934" hidden="1" xr:uid="{00000000-0005-0000-0000-00003D1B0000}"/>
    <cellStyle name="Calculation 3" xfId="8967" hidden="1" xr:uid="{00000000-0005-0000-0000-00003E1B0000}"/>
    <cellStyle name="Calculation 3" xfId="8999" hidden="1" xr:uid="{00000000-0005-0000-0000-00003F1B0000}"/>
    <cellStyle name="Calculation 3" xfId="9031" hidden="1" xr:uid="{00000000-0005-0000-0000-0000401B0000}"/>
    <cellStyle name="Calculation 3" xfId="9064" hidden="1" xr:uid="{00000000-0005-0000-0000-0000411B0000}"/>
    <cellStyle name="Calculation 3" xfId="9096" hidden="1" xr:uid="{00000000-0005-0000-0000-0000421B0000}"/>
    <cellStyle name="Calculation 3" xfId="9129" hidden="1" xr:uid="{00000000-0005-0000-0000-0000431B0000}"/>
    <cellStyle name="Calculation 3" xfId="9161" hidden="1" xr:uid="{00000000-0005-0000-0000-0000441B0000}"/>
    <cellStyle name="Calculation 3" xfId="9194" hidden="1" xr:uid="{00000000-0005-0000-0000-0000451B0000}"/>
    <cellStyle name="Calculation 3" xfId="9227" hidden="1" xr:uid="{00000000-0005-0000-0000-0000461B0000}"/>
    <cellStyle name="Calculation 3" xfId="9260" hidden="1" xr:uid="{00000000-0005-0000-0000-0000471B0000}"/>
    <cellStyle name="Calculation 3" xfId="9293" hidden="1" xr:uid="{00000000-0005-0000-0000-0000481B0000}"/>
    <cellStyle name="Calculation 3" xfId="9326" hidden="1" xr:uid="{00000000-0005-0000-0000-0000491B0000}"/>
    <cellStyle name="Calculation 3" xfId="9359" hidden="1" xr:uid="{00000000-0005-0000-0000-00004A1B0000}"/>
    <cellStyle name="Calculation 3" xfId="9410" hidden="1" xr:uid="{00000000-0005-0000-0000-00004B1B0000}"/>
    <cellStyle name="Calculation 3" xfId="9447" hidden="1" xr:uid="{00000000-0005-0000-0000-00004C1B0000}"/>
    <cellStyle name="Calculation 3" xfId="9480" hidden="1" xr:uid="{00000000-0005-0000-0000-00004D1B0000}"/>
    <cellStyle name="Calculation 3" xfId="9512" hidden="1" xr:uid="{00000000-0005-0000-0000-00004E1B0000}"/>
    <cellStyle name="Calculation 3" xfId="9544" hidden="1" xr:uid="{00000000-0005-0000-0000-00004F1B0000}"/>
    <cellStyle name="Calculation 3" xfId="9577" hidden="1" xr:uid="{00000000-0005-0000-0000-0000501B0000}"/>
    <cellStyle name="Calculation 3" xfId="9609" hidden="1" xr:uid="{00000000-0005-0000-0000-0000511B0000}"/>
    <cellStyle name="Calculation 3" xfId="9642" hidden="1" xr:uid="{00000000-0005-0000-0000-0000521B0000}"/>
    <cellStyle name="Calculation 3" xfId="9674" hidden="1" xr:uid="{00000000-0005-0000-0000-0000531B0000}"/>
    <cellStyle name="Calculation 3" xfId="9707" hidden="1" xr:uid="{00000000-0005-0000-0000-0000541B0000}"/>
    <cellStyle name="Calculation 3" xfId="9740" hidden="1" xr:uid="{00000000-0005-0000-0000-0000551B0000}"/>
    <cellStyle name="Calculation 3" xfId="9773" hidden="1" xr:uid="{00000000-0005-0000-0000-0000561B0000}"/>
    <cellStyle name="Calculation 3" xfId="9806" hidden="1" xr:uid="{00000000-0005-0000-0000-0000571B0000}"/>
    <cellStyle name="Calculation 3" xfId="9839" hidden="1" xr:uid="{00000000-0005-0000-0000-0000581B0000}"/>
    <cellStyle name="Calculation 3" xfId="9870" hidden="1" xr:uid="{00000000-0005-0000-0000-0000591B0000}"/>
    <cellStyle name="Calculation 3" xfId="9887" hidden="1" xr:uid="{00000000-0005-0000-0000-00005A1B0000}"/>
    <cellStyle name="Calculation 3" xfId="9924" hidden="1" xr:uid="{00000000-0005-0000-0000-00005B1B0000}"/>
    <cellStyle name="Calculation 3" xfId="9957" hidden="1" xr:uid="{00000000-0005-0000-0000-00005C1B0000}"/>
    <cellStyle name="Calculation 3" xfId="9989" hidden="1" xr:uid="{00000000-0005-0000-0000-00005D1B0000}"/>
    <cellStyle name="Calculation 3" xfId="10021" hidden="1" xr:uid="{00000000-0005-0000-0000-00005E1B0000}"/>
    <cellStyle name="Calculation 3" xfId="10054" hidden="1" xr:uid="{00000000-0005-0000-0000-00005F1B0000}"/>
    <cellStyle name="Calculation 3" xfId="10086" hidden="1" xr:uid="{00000000-0005-0000-0000-0000601B0000}"/>
    <cellStyle name="Calculation 3" xfId="10119" hidden="1" xr:uid="{00000000-0005-0000-0000-0000611B0000}"/>
    <cellStyle name="Calculation 3" xfId="10151" hidden="1" xr:uid="{00000000-0005-0000-0000-0000621B0000}"/>
    <cellStyle name="Calculation 3" xfId="10184" hidden="1" xr:uid="{00000000-0005-0000-0000-0000631B0000}"/>
    <cellStyle name="Calculation 3" xfId="10217" hidden="1" xr:uid="{00000000-0005-0000-0000-0000641B0000}"/>
    <cellStyle name="Calculation 3" xfId="10250" hidden="1" xr:uid="{00000000-0005-0000-0000-0000651B0000}"/>
    <cellStyle name="Calculation 3" xfId="10283" hidden="1" xr:uid="{00000000-0005-0000-0000-0000661B0000}"/>
    <cellStyle name="Calculation 3" xfId="10316" hidden="1" xr:uid="{00000000-0005-0000-0000-0000671B0000}"/>
    <cellStyle name="Calculation 3" xfId="10347" hidden="1" xr:uid="{00000000-0005-0000-0000-0000681B0000}"/>
    <cellStyle name="Calculation 3" xfId="10375" hidden="1" xr:uid="{00000000-0005-0000-0000-0000691B0000}"/>
    <cellStyle name="Calculation 3" xfId="10412" hidden="1" xr:uid="{00000000-0005-0000-0000-00006A1B0000}"/>
    <cellStyle name="Calculation 3" xfId="10445" hidden="1" xr:uid="{00000000-0005-0000-0000-00006B1B0000}"/>
    <cellStyle name="Calculation 3" xfId="10477" hidden="1" xr:uid="{00000000-0005-0000-0000-00006C1B0000}"/>
    <cellStyle name="Calculation 3" xfId="10509" hidden="1" xr:uid="{00000000-0005-0000-0000-00006D1B0000}"/>
    <cellStyle name="Calculation 3" xfId="10542" hidden="1" xr:uid="{00000000-0005-0000-0000-00006E1B0000}"/>
    <cellStyle name="Calculation 3" xfId="10574" hidden="1" xr:uid="{00000000-0005-0000-0000-00006F1B0000}"/>
    <cellStyle name="Calculation 3" xfId="10607" hidden="1" xr:uid="{00000000-0005-0000-0000-0000701B0000}"/>
    <cellStyle name="Calculation 3" xfId="10639" hidden="1" xr:uid="{00000000-0005-0000-0000-0000711B0000}"/>
    <cellStyle name="Calculation 3" xfId="10672" hidden="1" xr:uid="{00000000-0005-0000-0000-0000721B0000}"/>
    <cellStyle name="Calculation 3" xfId="10705" hidden="1" xr:uid="{00000000-0005-0000-0000-0000731B0000}"/>
    <cellStyle name="Calculation 3" xfId="10738" hidden="1" xr:uid="{00000000-0005-0000-0000-0000741B0000}"/>
    <cellStyle name="Calculation 3" xfId="10771" hidden="1" xr:uid="{00000000-0005-0000-0000-0000751B0000}"/>
    <cellStyle name="Calculation 3" xfId="10804" hidden="1" xr:uid="{00000000-0005-0000-0000-0000761B0000}"/>
    <cellStyle name="Calculation 3" xfId="10837" hidden="1" xr:uid="{00000000-0005-0000-0000-0000771B0000}"/>
    <cellStyle name="Calculation 3" xfId="10888" hidden="1" xr:uid="{00000000-0005-0000-0000-0000781B0000}"/>
    <cellStyle name="Calculation 3" xfId="10925" hidden="1" xr:uid="{00000000-0005-0000-0000-0000791B0000}"/>
    <cellStyle name="Calculation 3" xfId="10958" hidden="1" xr:uid="{00000000-0005-0000-0000-00007A1B0000}"/>
    <cellStyle name="Calculation 3" xfId="10990" hidden="1" xr:uid="{00000000-0005-0000-0000-00007B1B0000}"/>
    <cellStyle name="Calculation 3" xfId="11022" hidden="1" xr:uid="{00000000-0005-0000-0000-00007C1B0000}"/>
    <cellStyle name="Calculation 3" xfId="11055" hidden="1" xr:uid="{00000000-0005-0000-0000-00007D1B0000}"/>
    <cellStyle name="Calculation 3" xfId="11087" hidden="1" xr:uid="{00000000-0005-0000-0000-00007E1B0000}"/>
    <cellStyle name="Calculation 3" xfId="11120" hidden="1" xr:uid="{00000000-0005-0000-0000-00007F1B0000}"/>
    <cellStyle name="Calculation 3" xfId="11152" hidden="1" xr:uid="{00000000-0005-0000-0000-0000801B0000}"/>
    <cellStyle name="Calculation 3" xfId="11185" hidden="1" xr:uid="{00000000-0005-0000-0000-0000811B0000}"/>
    <cellStyle name="Calculation 3" xfId="11218" hidden="1" xr:uid="{00000000-0005-0000-0000-0000821B0000}"/>
    <cellStyle name="Calculation 3" xfId="11251" hidden="1" xr:uid="{00000000-0005-0000-0000-0000831B0000}"/>
    <cellStyle name="Calculation 3" xfId="11284" hidden="1" xr:uid="{00000000-0005-0000-0000-0000841B0000}"/>
    <cellStyle name="Calculation 3" xfId="11317" hidden="1" xr:uid="{00000000-0005-0000-0000-0000851B0000}"/>
    <cellStyle name="Calculation 3" xfId="11348" hidden="1" xr:uid="{00000000-0005-0000-0000-0000861B0000}"/>
    <cellStyle name="Calculation 3" xfId="11365" hidden="1" xr:uid="{00000000-0005-0000-0000-0000871B0000}"/>
    <cellStyle name="Calculation 3" xfId="11402" hidden="1" xr:uid="{00000000-0005-0000-0000-0000881B0000}"/>
    <cellStyle name="Calculation 3" xfId="11435" hidden="1" xr:uid="{00000000-0005-0000-0000-0000891B0000}"/>
    <cellStyle name="Calculation 3" xfId="11467" hidden="1" xr:uid="{00000000-0005-0000-0000-00008A1B0000}"/>
    <cellStyle name="Calculation 3" xfId="11499" hidden="1" xr:uid="{00000000-0005-0000-0000-00008B1B0000}"/>
    <cellStyle name="Calculation 3" xfId="11532" hidden="1" xr:uid="{00000000-0005-0000-0000-00008C1B0000}"/>
    <cellStyle name="Calculation 3" xfId="11564" hidden="1" xr:uid="{00000000-0005-0000-0000-00008D1B0000}"/>
    <cellStyle name="Calculation 3" xfId="11597" hidden="1" xr:uid="{00000000-0005-0000-0000-00008E1B0000}"/>
    <cellStyle name="Calculation 3" xfId="11629" hidden="1" xr:uid="{00000000-0005-0000-0000-00008F1B0000}"/>
    <cellStyle name="Calculation 3" xfId="11662" hidden="1" xr:uid="{00000000-0005-0000-0000-0000901B0000}"/>
    <cellStyle name="Calculation 3" xfId="11695" hidden="1" xr:uid="{00000000-0005-0000-0000-0000911B0000}"/>
    <cellStyle name="Calculation 3" xfId="11728" hidden="1" xr:uid="{00000000-0005-0000-0000-0000921B0000}"/>
    <cellStyle name="Calculation 3" xfId="11761" hidden="1" xr:uid="{00000000-0005-0000-0000-0000931B0000}"/>
    <cellStyle name="Calculation 3" xfId="11794" hidden="1" xr:uid="{00000000-0005-0000-0000-0000941B0000}"/>
    <cellStyle name="Calculation 3" xfId="11825" xr:uid="{00000000-0005-0000-0000-0000951B0000}"/>
    <cellStyle name="Calculation 4" xfId="88" xr:uid="{00000000-0005-0000-0000-0000961B0000}"/>
    <cellStyle name="Cálculo" xfId="90" xr:uid="{00000000-0005-0000-0000-0000971B0000}"/>
    <cellStyle name="Celda de comprobación" xfId="91" xr:uid="{00000000-0005-0000-0000-0000981B0000}"/>
    <cellStyle name="Celda vinculada" xfId="92" xr:uid="{00000000-0005-0000-0000-0000991B0000}"/>
    <cellStyle name="Check Cell 2" xfId="93" xr:uid="{00000000-0005-0000-0000-00009A1B0000}"/>
    <cellStyle name="Check Cell 2 2" xfId="1636" xr:uid="{00000000-0005-0000-0000-00009B1B0000}"/>
    <cellStyle name="Check Cell 2 3" xfId="2736" xr:uid="{00000000-0005-0000-0000-00009C1B0000}"/>
    <cellStyle name="Check Cell 3" xfId="210" hidden="1" xr:uid="{00000000-0005-0000-0000-00009D1B0000}"/>
    <cellStyle name="Check Cell 3" xfId="251" hidden="1" xr:uid="{00000000-0005-0000-0000-00009E1B0000}"/>
    <cellStyle name="Check Cell 3" xfId="284" hidden="1" xr:uid="{00000000-0005-0000-0000-00009F1B0000}"/>
    <cellStyle name="Check Cell 3" xfId="317" hidden="1" xr:uid="{00000000-0005-0000-0000-0000A01B0000}"/>
    <cellStyle name="Check Cell 3" xfId="350" hidden="1" xr:uid="{00000000-0005-0000-0000-0000A11B0000}"/>
    <cellStyle name="Check Cell 3" xfId="384" hidden="1" xr:uid="{00000000-0005-0000-0000-0000A21B0000}"/>
    <cellStyle name="Check Cell 3" xfId="417" hidden="1" xr:uid="{00000000-0005-0000-0000-0000A31B0000}"/>
    <cellStyle name="Check Cell 3" xfId="450" hidden="1" xr:uid="{00000000-0005-0000-0000-0000A41B0000}"/>
    <cellStyle name="Check Cell 3" xfId="483" hidden="1" xr:uid="{00000000-0005-0000-0000-0000A51B0000}"/>
    <cellStyle name="Check Cell 3" xfId="516" hidden="1" xr:uid="{00000000-0005-0000-0000-0000A61B0000}"/>
    <cellStyle name="Check Cell 3" xfId="549" hidden="1" xr:uid="{00000000-0005-0000-0000-0000A71B0000}"/>
    <cellStyle name="Check Cell 3" xfId="582" hidden="1" xr:uid="{00000000-0005-0000-0000-0000A81B0000}"/>
    <cellStyle name="Check Cell 3" xfId="619" hidden="1" xr:uid="{00000000-0005-0000-0000-0000A91B0000}"/>
    <cellStyle name="Check Cell 3" xfId="652" hidden="1" xr:uid="{00000000-0005-0000-0000-0000AA1B0000}"/>
    <cellStyle name="Check Cell 3" xfId="684" hidden="1" xr:uid="{00000000-0005-0000-0000-0000AB1B0000}"/>
    <cellStyle name="Check Cell 3" xfId="716" hidden="1" xr:uid="{00000000-0005-0000-0000-0000AC1B0000}"/>
    <cellStyle name="Check Cell 3" xfId="749" hidden="1" xr:uid="{00000000-0005-0000-0000-0000AD1B0000}"/>
    <cellStyle name="Check Cell 3" xfId="781" hidden="1" xr:uid="{00000000-0005-0000-0000-0000AE1B0000}"/>
    <cellStyle name="Check Cell 3" xfId="814" hidden="1" xr:uid="{00000000-0005-0000-0000-0000AF1B0000}"/>
    <cellStyle name="Check Cell 3" xfId="846" hidden="1" xr:uid="{00000000-0005-0000-0000-0000B01B0000}"/>
    <cellStyle name="Check Cell 3" xfId="879" hidden="1" xr:uid="{00000000-0005-0000-0000-0000B11B0000}"/>
    <cellStyle name="Check Cell 3" xfId="912" hidden="1" xr:uid="{00000000-0005-0000-0000-0000B21B0000}"/>
    <cellStyle name="Check Cell 3" xfId="945" hidden="1" xr:uid="{00000000-0005-0000-0000-0000B31B0000}"/>
    <cellStyle name="Check Cell 3" xfId="978" hidden="1" xr:uid="{00000000-0005-0000-0000-0000B41B0000}"/>
    <cellStyle name="Check Cell 3" xfId="1011" hidden="1" xr:uid="{00000000-0005-0000-0000-0000B51B0000}"/>
    <cellStyle name="Check Cell 3" xfId="1044" hidden="1" xr:uid="{00000000-0005-0000-0000-0000B61B0000}"/>
    <cellStyle name="Check Cell 3" xfId="1087" hidden="1" xr:uid="{00000000-0005-0000-0000-0000B71B0000}"/>
    <cellStyle name="Check Cell 3" xfId="1125" hidden="1" xr:uid="{00000000-0005-0000-0000-0000B81B0000}"/>
    <cellStyle name="Check Cell 3" xfId="1158" hidden="1" xr:uid="{00000000-0005-0000-0000-0000B91B0000}"/>
    <cellStyle name="Check Cell 3" xfId="1190" hidden="1" xr:uid="{00000000-0005-0000-0000-0000BA1B0000}"/>
    <cellStyle name="Check Cell 3" xfId="1222" hidden="1" xr:uid="{00000000-0005-0000-0000-0000BB1B0000}"/>
    <cellStyle name="Check Cell 3" xfId="1255" hidden="1" xr:uid="{00000000-0005-0000-0000-0000BC1B0000}"/>
    <cellStyle name="Check Cell 3" xfId="1287" hidden="1" xr:uid="{00000000-0005-0000-0000-0000BD1B0000}"/>
    <cellStyle name="Check Cell 3" xfId="1320" hidden="1" xr:uid="{00000000-0005-0000-0000-0000BE1B0000}"/>
    <cellStyle name="Check Cell 3" xfId="1352" hidden="1" xr:uid="{00000000-0005-0000-0000-0000BF1B0000}"/>
    <cellStyle name="Check Cell 3" xfId="1385" hidden="1" xr:uid="{00000000-0005-0000-0000-0000C01B0000}"/>
    <cellStyle name="Check Cell 3" xfId="1418" hidden="1" xr:uid="{00000000-0005-0000-0000-0000C11B0000}"/>
    <cellStyle name="Check Cell 3" xfId="1451" hidden="1" xr:uid="{00000000-0005-0000-0000-0000C21B0000}"/>
    <cellStyle name="Check Cell 3" xfId="1484" hidden="1" xr:uid="{00000000-0005-0000-0000-0000C31B0000}"/>
    <cellStyle name="Check Cell 3" xfId="1517" hidden="1" xr:uid="{00000000-0005-0000-0000-0000C41B0000}"/>
    <cellStyle name="Check Cell 3" xfId="1550" hidden="1" xr:uid="{00000000-0005-0000-0000-0000C51B0000}"/>
    <cellStyle name="Check Cell 3" xfId="1764" hidden="1" xr:uid="{00000000-0005-0000-0000-0000C61B0000}"/>
    <cellStyle name="Check Cell 3" xfId="1801" hidden="1" xr:uid="{00000000-0005-0000-0000-0000C71B0000}"/>
    <cellStyle name="Check Cell 3" xfId="1834" hidden="1" xr:uid="{00000000-0005-0000-0000-0000C81B0000}"/>
    <cellStyle name="Check Cell 3" xfId="1866" hidden="1" xr:uid="{00000000-0005-0000-0000-0000C91B0000}"/>
    <cellStyle name="Check Cell 3" xfId="1898" hidden="1" xr:uid="{00000000-0005-0000-0000-0000CA1B0000}"/>
    <cellStyle name="Check Cell 3" xfId="1931" hidden="1" xr:uid="{00000000-0005-0000-0000-0000CB1B0000}"/>
    <cellStyle name="Check Cell 3" xfId="1963" hidden="1" xr:uid="{00000000-0005-0000-0000-0000CC1B0000}"/>
    <cellStyle name="Check Cell 3" xfId="1996" hidden="1" xr:uid="{00000000-0005-0000-0000-0000CD1B0000}"/>
    <cellStyle name="Check Cell 3" xfId="2028" hidden="1" xr:uid="{00000000-0005-0000-0000-0000CE1B0000}"/>
    <cellStyle name="Check Cell 3" xfId="2061" hidden="1" xr:uid="{00000000-0005-0000-0000-0000CF1B0000}"/>
    <cellStyle name="Check Cell 3" xfId="2094" hidden="1" xr:uid="{00000000-0005-0000-0000-0000D01B0000}"/>
    <cellStyle name="Check Cell 3" xfId="2127" hidden="1" xr:uid="{00000000-0005-0000-0000-0000D11B0000}"/>
    <cellStyle name="Check Cell 3" xfId="2160" hidden="1" xr:uid="{00000000-0005-0000-0000-0000D21B0000}"/>
    <cellStyle name="Check Cell 3" xfId="2193" hidden="1" xr:uid="{00000000-0005-0000-0000-0000D31B0000}"/>
    <cellStyle name="Check Cell 3" xfId="2224" hidden="1" xr:uid="{00000000-0005-0000-0000-0000D41B0000}"/>
    <cellStyle name="Check Cell 3" xfId="2241" hidden="1" xr:uid="{00000000-0005-0000-0000-0000D51B0000}"/>
    <cellStyle name="Check Cell 3" xfId="2278" hidden="1" xr:uid="{00000000-0005-0000-0000-0000D61B0000}"/>
    <cellStyle name="Check Cell 3" xfId="2311" hidden="1" xr:uid="{00000000-0005-0000-0000-0000D71B0000}"/>
    <cellStyle name="Check Cell 3" xfId="2343" hidden="1" xr:uid="{00000000-0005-0000-0000-0000D81B0000}"/>
    <cellStyle name="Check Cell 3" xfId="2375" hidden="1" xr:uid="{00000000-0005-0000-0000-0000D91B0000}"/>
    <cellStyle name="Check Cell 3" xfId="2408" hidden="1" xr:uid="{00000000-0005-0000-0000-0000DA1B0000}"/>
    <cellStyle name="Check Cell 3" xfId="2440" hidden="1" xr:uid="{00000000-0005-0000-0000-0000DB1B0000}"/>
    <cellStyle name="Check Cell 3" xfId="2473" hidden="1" xr:uid="{00000000-0005-0000-0000-0000DC1B0000}"/>
    <cellStyle name="Check Cell 3" xfId="2505" hidden="1" xr:uid="{00000000-0005-0000-0000-0000DD1B0000}"/>
    <cellStyle name="Check Cell 3" xfId="2538" hidden="1" xr:uid="{00000000-0005-0000-0000-0000DE1B0000}"/>
    <cellStyle name="Check Cell 3" xfId="2571" hidden="1" xr:uid="{00000000-0005-0000-0000-0000DF1B0000}"/>
    <cellStyle name="Check Cell 3" xfId="2604" hidden="1" xr:uid="{00000000-0005-0000-0000-0000E01B0000}"/>
    <cellStyle name="Check Cell 3" xfId="2637" hidden="1" xr:uid="{00000000-0005-0000-0000-0000E11B0000}"/>
    <cellStyle name="Check Cell 3" xfId="2670" hidden="1" xr:uid="{00000000-0005-0000-0000-0000E21B0000}"/>
    <cellStyle name="Check Cell 3" xfId="2701" hidden="1" xr:uid="{00000000-0005-0000-0000-0000E31B0000}"/>
    <cellStyle name="Check Cell 3" xfId="2784" hidden="1" xr:uid="{00000000-0005-0000-0000-0000E41B0000}"/>
    <cellStyle name="Check Cell 3" xfId="2821" hidden="1" xr:uid="{00000000-0005-0000-0000-0000E51B0000}"/>
    <cellStyle name="Check Cell 3" xfId="2854" hidden="1" xr:uid="{00000000-0005-0000-0000-0000E61B0000}"/>
    <cellStyle name="Check Cell 3" xfId="2886" hidden="1" xr:uid="{00000000-0005-0000-0000-0000E71B0000}"/>
    <cellStyle name="Check Cell 3" xfId="2918" hidden="1" xr:uid="{00000000-0005-0000-0000-0000E81B0000}"/>
    <cellStyle name="Check Cell 3" xfId="2951" hidden="1" xr:uid="{00000000-0005-0000-0000-0000E91B0000}"/>
    <cellStyle name="Check Cell 3" xfId="2983" hidden="1" xr:uid="{00000000-0005-0000-0000-0000EA1B0000}"/>
    <cellStyle name="Check Cell 3" xfId="3016" hidden="1" xr:uid="{00000000-0005-0000-0000-0000EB1B0000}"/>
    <cellStyle name="Check Cell 3" xfId="3048" hidden="1" xr:uid="{00000000-0005-0000-0000-0000EC1B0000}"/>
    <cellStyle name="Check Cell 3" xfId="3081" hidden="1" xr:uid="{00000000-0005-0000-0000-0000ED1B0000}"/>
    <cellStyle name="Check Cell 3" xfId="3114" hidden="1" xr:uid="{00000000-0005-0000-0000-0000EE1B0000}"/>
    <cellStyle name="Check Cell 3" xfId="3147" hidden="1" xr:uid="{00000000-0005-0000-0000-0000EF1B0000}"/>
    <cellStyle name="Check Cell 3" xfId="3180" hidden="1" xr:uid="{00000000-0005-0000-0000-0000F01B0000}"/>
    <cellStyle name="Check Cell 3" xfId="3213" hidden="1" xr:uid="{00000000-0005-0000-0000-0000F11B0000}"/>
    <cellStyle name="Check Cell 3" xfId="3246" hidden="1" xr:uid="{00000000-0005-0000-0000-0000F21B0000}"/>
    <cellStyle name="Check Cell 3" xfId="3297" hidden="1" xr:uid="{00000000-0005-0000-0000-0000F31B0000}"/>
    <cellStyle name="Check Cell 3" xfId="3334" hidden="1" xr:uid="{00000000-0005-0000-0000-0000F41B0000}"/>
    <cellStyle name="Check Cell 3" xfId="3367" hidden="1" xr:uid="{00000000-0005-0000-0000-0000F51B0000}"/>
    <cellStyle name="Check Cell 3" xfId="3399" hidden="1" xr:uid="{00000000-0005-0000-0000-0000F61B0000}"/>
    <cellStyle name="Check Cell 3" xfId="3431" hidden="1" xr:uid="{00000000-0005-0000-0000-0000F71B0000}"/>
    <cellStyle name="Check Cell 3" xfId="3464" hidden="1" xr:uid="{00000000-0005-0000-0000-0000F81B0000}"/>
    <cellStyle name="Check Cell 3" xfId="3496" hidden="1" xr:uid="{00000000-0005-0000-0000-0000F91B0000}"/>
    <cellStyle name="Check Cell 3" xfId="3529" hidden="1" xr:uid="{00000000-0005-0000-0000-0000FA1B0000}"/>
    <cellStyle name="Check Cell 3" xfId="3561" hidden="1" xr:uid="{00000000-0005-0000-0000-0000FB1B0000}"/>
    <cellStyle name="Check Cell 3" xfId="3594" hidden="1" xr:uid="{00000000-0005-0000-0000-0000FC1B0000}"/>
    <cellStyle name="Check Cell 3" xfId="3627" hidden="1" xr:uid="{00000000-0005-0000-0000-0000FD1B0000}"/>
    <cellStyle name="Check Cell 3" xfId="3660" hidden="1" xr:uid="{00000000-0005-0000-0000-0000FE1B0000}"/>
    <cellStyle name="Check Cell 3" xfId="3693" hidden="1" xr:uid="{00000000-0005-0000-0000-0000FF1B0000}"/>
    <cellStyle name="Check Cell 3" xfId="3726" hidden="1" xr:uid="{00000000-0005-0000-0000-0000001C0000}"/>
    <cellStyle name="Check Cell 3" xfId="3757" hidden="1" xr:uid="{00000000-0005-0000-0000-0000011C0000}"/>
    <cellStyle name="Check Cell 3" xfId="3774" hidden="1" xr:uid="{00000000-0005-0000-0000-0000021C0000}"/>
    <cellStyle name="Check Cell 3" xfId="3811" hidden="1" xr:uid="{00000000-0005-0000-0000-0000031C0000}"/>
    <cellStyle name="Check Cell 3" xfId="3844" hidden="1" xr:uid="{00000000-0005-0000-0000-0000041C0000}"/>
    <cellStyle name="Check Cell 3" xfId="3876" hidden="1" xr:uid="{00000000-0005-0000-0000-0000051C0000}"/>
    <cellStyle name="Check Cell 3" xfId="3908" hidden="1" xr:uid="{00000000-0005-0000-0000-0000061C0000}"/>
    <cellStyle name="Check Cell 3" xfId="3941" hidden="1" xr:uid="{00000000-0005-0000-0000-0000071C0000}"/>
    <cellStyle name="Check Cell 3" xfId="3973" hidden="1" xr:uid="{00000000-0005-0000-0000-0000081C0000}"/>
    <cellStyle name="Check Cell 3" xfId="4006" hidden="1" xr:uid="{00000000-0005-0000-0000-0000091C0000}"/>
    <cellStyle name="Check Cell 3" xfId="4038" hidden="1" xr:uid="{00000000-0005-0000-0000-00000A1C0000}"/>
    <cellStyle name="Check Cell 3" xfId="4071" hidden="1" xr:uid="{00000000-0005-0000-0000-00000B1C0000}"/>
    <cellStyle name="Check Cell 3" xfId="4104" hidden="1" xr:uid="{00000000-0005-0000-0000-00000C1C0000}"/>
    <cellStyle name="Check Cell 3" xfId="4137" hidden="1" xr:uid="{00000000-0005-0000-0000-00000D1C0000}"/>
    <cellStyle name="Check Cell 3" xfId="4170" hidden="1" xr:uid="{00000000-0005-0000-0000-00000E1C0000}"/>
    <cellStyle name="Check Cell 3" xfId="4203" hidden="1" xr:uid="{00000000-0005-0000-0000-00000F1C0000}"/>
    <cellStyle name="Check Cell 3" xfId="4234" hidden="1" xr:uid="{00000000-0005-0000-0000-0000101C0000}"/>
    <cellStyle name="Check Cell 3" xfId="4403" hidden="1" xr:uid="{00000000-0005-0000-0000-0000111C0000}"/>
    <cellStyle name="Check Cell 3" xfId="4436" hidden="1" xr:uid="{00000000-0005-0000-0000-0000121C0000}"/>
    <cellStyle name="Check Cell 3" xfId="4469" hidden="1" xr:uid="{00000000-0005-0000-0000-0000131C0000}"/>
    <cellStyle name="Check Cell 3" xfId="4502" hidden="1" xr:uid="{00000000-0005-0000-0000-0000141C0000}"/>
    <cellStyle name="Check Cell 3" xfId="4535" hidden="1" xr:uid="{00000000-0005-0000-0000-0000151C0000}"/>
    <cellStyle name="Check Cell 3" xfId="4568" hidden="1" xr:uid="{00000000-0005-0000-0000-0000161C0000}"/>
    <cellStyle name="Check Cell 3" xfId="4601" hidden="1" xr:uid="{00000000-0005-0000-0000-0000171C0000}"/>
    <cellStyle name="Check Cell 3" xfId="4634" hidden="1" xr:uid="{00000000-0005-0000-0000-0000181C0000}"/>
    <cellStyle name="Check Cell 3" xfId="4667" hidden="1" xr:uid="{00000000-0005-0000-0000-0000191C0000}"/>
    <cellStyle name="Check Cell 3" xfId="4700" hidden="1" xr:uid="{00000000-0005-0000-0000-00001A1C0000}"/>
    <cellStyle name="Check Cell 3" xfId="4733" hidden="1" xr:uid="{00000000-0005-0000-0000-00001B1C0000}"/>
    <cellStyle name="Check Cell 3" xfId="4770" hidden="1" xr:uid="{00000000-0005-0000-0000-00001C1C0000}"/>
    <cellStyle name="Check Cell 3" xfId="4803" hidden="1" xr:uid="{00000000-0005-0000-0000-00001D1C0000}"/>
    <cellStyle name="Check Cell 3" xfId="4835" hidden="1" xr:uid="{00000000-0005-0000-0000-00001E1C0000}"/>
    <cellStyle name="Check Cell 3" xfId="4867" hidden="1" xr:uid="{00000000-0005-0000-0000-00001F1C0000}"/>
    <cellStyle name="Check Cell 3" xfId="4900" hidden="1" xr:uid="{00000000-0005-0000-0000-0000201C0000}"/>
    <cellStyle name="Check Cell 3" xfId="4932" hidden="1" xr:uid="{00000000-0005-0000-0000-0000211C0000}"/>
    <cellStyle name="Check Cell 3" xfId="4965" hidden="1" xr:uid="{00000000-0005-0000-0000-0000221C0000}"/>
    <cellStyle name="Check Cell 3" xfId="4997" hidden="1" xr:uid="{00000000-0005-0000-0000-0000231C0000}"/>
    <cellStyle name="Check Cell 3" xfId="5030" hidden="1" xr:uid="{00000000-0005-0000-0000-0000241C0000}"/>
    <cellStyle name="Check Cell 3" xfId="5063" hidden="1" xr:uid="{00000000-0005-0000-0000-0000251C0000}"/>
    <cellStyle name="Check Cell 3" xfId="5096" hidden="1" xr:uid="{00000000-0005-0000-0000-0000261C0000}"/>
    <cellStyle name="Check Cell 3" xfId="5129" hidden="1" xr:uid="{00000000-0005-0000-0000-0000271C0000}"/>
    <cellStyle name="Check Cell 3" xfId="5162" hidden="1" xr:uid="{00000000-0005-0000-0000-0000281C0000}"/>
    <cellStyle name="Check Cell 3" xfId="5195" hidden="1" xr:uid="{00000000-0005-0000-0000-0000291C0000}"/>
    <cellStyle name="Check Cell 3" xfId="5236" hidden="1" xr:uid="{00000000-0005-0000-0000-00002A1C0000}"/>
    <cellStyle name="Check Cell 3" xfId="5273" hidden="1" xr:uid="{00000000-0005-0000-0000-00002B1C0000}"/>
    <cellStyle name="Check Cell 3" xfId="5306" hidden="1" xr:uid="{00000000-0005-0000-0000-00002C1C0000}"/>
    <cellStyle name="Check Cell 3" xfId="5338" hidden="1" xr:uid="{00000000-0005-0000-0000-00002D1C0000}"/>
    <cellStyle name="Check Cell 3" xfId="5370" hidden="1" xr:uid="{00000000-0005-0000-0000-00002E1C0000}"/>
    <cellStyle name="Check Cell 3" xfId="5403" hidden="1" xr:uid="{00000000-0005-0000-0000-00002F1C0000}"/>
    <cellStyle name="Check Cell 3" xfId="5435" hidden="1" xr:uid="{00000000-0005-0000-0000-0000301C0000}"/>
    <cellStyle name="Check Cell 3" xfId="5468" hidden="1" xr:uid="{00000000-0005-0000-0000-0000311C0000}"/>
    <cellStyle name="Check Cell 3" xfId="5500" hidden="1" xr:uid="{00000000-0005-0000-0000-0000321C0000}"/>
    <cellStyle name="Check Cell 3" xfId="5533" hidden="1" xr:uid="{00000000-0005-0000-0000-0000331C0000}"/>
    <cellStyle name="Check Cell 3" xfId="5566" hidden="1" xr:uid="{00000000-0005-0000-0000-0000341C0000}"/>
    <cellStyle name="Check Cell 3" xfId="5599" hidden="1" xr:uid="{00000000-0005-0000-0000-0000351C0000}"/>
    <cellStyle name="Check Cell 3" xfId="5632" hidden="1" xr:uid="{00000000-0005-0000-0000-0000361C0000}"/>
    <cellStyle name="Check Cell 3" xfId="5665" hidden="1" xr:uid="{00000000-0005-0000-0000-0000371C0000}"/>
    <cellStyle name="Check Cell 3" xfId="5698" hidden="1" xr:uid="{00000000-0005-0000-0000-0000381C0000}"/>
    <cellStyle name="Check Cell 3" xfId="5802" hidden="1" xr:uid="{00000000-0005-0000-0000-0000391C0000}"/>
    <cellStyle name="Check Cell 3" xfId="5839" hidden="1" xr:uid="{00000000-0005-0000-0000-00003A1C0000}"/>
    <cellStyle name="Check Cell 3" xfId="5872" hidden="1" xr:uid="{00000000-0005-0000-0000-00003B1C0000}"/>
    <cellStyle name="Check Cell 3" xfId="5904" hidden="1" xr:uid="{00000000-0005-0000-0000-00003C1C0000}"/>
    <cellStyle name="Check Cell 3" xfId="5936" hidden="1" xr:uid="{00000000-0005-0000-0000-00003D1C0000}"/>
    <cellStyle name="Check Cell 3" xfId="5969" hidden="1" xr:uid="{00000000-0005-0000-0000-00003E1C0000}"/>
    <cellStyle name="Check Cell 3" xfId="6001" hidden="1" xr:uid="{00000000-0005-0000-0000-00003F1C0000}"/>
    <cellStyle name="Check Cell 3" xfId="6034" hidden="1" xr:uid="{00000000-0005-0000-0000-0000401C0000}"/>
    <cellStyle name="Check Cell 3" xfId="6066" hidden="1" xr:uid="{00000000-0005-0000-0000-0000411C0000}"/>
    <cellStyle name="Check Cell 3" xfId="6099" hidden="1" xr:uid="{00000000-0005-0000-0000-0000421C0000}"/>
    <cellStyle name="Check Cell 3" xfId="6132" hidden="1" xr:uid="{00000000-0005-0000-0000-0000431C0000}"/>
    <cellStyle name="Check Cell 3" xfId="6165" hidden="1" xr:uid="{00000000-0005-0000-0000-0000441C0000}"/>
    <cellStyle name="Check Cell 3" xfId="6198" hidden="1" xr:uid="{00000000-0005-0000-0000-0000451C0000}"/>
    <cellStyle name="Check Cell 3" xfId="6231" hidden="1" xr:uid="{00000000-0005-0000-0000-0000461C0000}"/>
    <cellStyle name="Check Cell 3" xfId="6262" hidden="1" xr:uid="{00000000-0005-0000-0000-0000471C0000}"/>
    <cellStyle name="Check Cell 3" xfId="6279" hidden="1" xr:uid="{00000000-0005-0000-0000-0000481C0000}"/>
    <cellStyle name="Check Cell 3" xfId="6316" hidden="1" xr:uid="{00000000-0005-0000-0000-0000491C0000}"/>
    <cellStyle name="Check Cell 3" xfId="6349" hidden="1" xr:uid="{00000000-0005-0000-0000-00004A1C0000}"/>
    <cellStyle name="Check Cell 3" xfId="6381" hidden="1" xr:uid="{00000000-0005-0000-0000-00004B1C0000}"/>
    <cellStyle name="Check Cell 3" xfId="6413" hidden="1" xr:uid="{00000000-0005-0000-0000-00004C1C0000}"/>
    <cellStyle name="Check Cell 3" xfId="6446" hidden="1" xr:uid="{00000000-0005-0000-0000-00004D1C0000}"/>
    <cellStyle name="Check Cell 3" xfId="6478" hidden="1" xr:uid="{00000000-0005-0000-0000-00004E1C0000}"/>
    <cellStyle name="Check Cell 3" xfId="6511" hidden="1" xr:uid="{00000000-0005-0000-0000-00004F1C0000}"/>
    <cellStyle name="Check Cell 3" xfId="6543" hidden="1" xr:uid="{00000000-0005-0000-0000-0000501C0000}"/>
    <cellStyle name="Check Cell 3" xfId="6576" hidden="1" xr:uid="{00000000-0005-0000-0000-0000511C0000}"/>
    <cellStyle name="Check Cell 3" xfId="6609" hidden="1" xr:uid="{00000000-0005-0000-0000-0000521C0000}"/>
    <cellStyle name="Check Cell 3" xfId="6642" hidden="1" xr:uid="{00000000-0005-0000-0000-0000531C0000}"/>
    <cellStyle name="Check Cell 3" xfId="6675" hidden="1" xr:uid="{00000000-0005-0000-0000-0000541C0000}"/>
    <cellStyle name="Check Cell 3" xfId="6708" hidden="1" xr:uid="{00000000-0005-0000-0000-0000551C0000}"/>
    <cellStyle name="Check Cell 3" xfId="6739" hidden="1" xr:uid="{00000000-0005-0000-0000-0000561C0000}"/>
    <cellStyle name="Check Cell 3" xfId="6798" hidden="1" xr:uid="{00000000-0005-0000-0000-0000571C0000}"/>
    <cellStyle name="Check Cell 3" xfId="6835" hidden="1" xr:uid="{00000000-0005-0000-0000-0000581C0000}"/>
    <cellStyle name="Check Cell 3" xfId="6868" hidden="1" xr:uid="{00000000-0005-0000-0000-0000591C0000}"/>
    <cellStyle name="Check Cell 3" xfId="6900" hidden="1" xr:uid="{00000000-0005-0000-0000-00005A1C0000}"/>
    <cellStyle name="Check Cell 3" xfId="6932" hidden="1" xr:uid="{00000000-0005-0000-0000-00005B1C0000}"/>
    <cellStyle name="Check Cell 3" xfId="6965" hidden="1" xr:uid="{00000000-0005-0000-0000-00005C1C0000}"/>
    <cellStyle name="Check Cell 3" xfId="6997" hidden="1" xr:uid="{00000000-0005-0000-0000-00005D1C0000}"/>
    <cellStyle name="Check Cell 3" xfId="7030" hidden="1" xr:uid="{00000000-0005-0000-0000-00005E1C0000}"/>
    <cellStyle name="Check Cell 3" xfId="7062" hidden="1" xr:uid="{00000000-0005-0000-0000-00005F1C0000}"/>
    <cellStyle name="Check Cell 3" xfId="7095" hidden="1" xr:uid="{00000000-0005-0000-0000-0000601C0000}"/>
    <cellStyle name="Check Cell 3" xfId="7128" hidden="1" xr:uid="{00000000-0005-0000-0000-0000611C0000}"/>
    <cellStyle name="Check Cell 3" xfId="7161" hidden="1" xr:uid="{00000000-0005-0000-0000-0000621C0000}"/>
    <cellStyle name="Check Cell 3" xfId="7194" hidden="1" xr:uid="{00000000-0005-0000-0000-0000631C0000}"/>
    <cellStyle name="Check Cell 3" xfId="7227" hidden="1" xr:uid="{00000000-0005-0000-0000-0000641C0000}"/>
    <cellStyle name="Check Cell 3" xfId="7260" hidden="1" xr:uid="{00000000-0005-0000-0000-0000651C0000}"/>
    <cellStyle name="Check Cell 3" xfId="7311" hidden="1" xr:uid="{00000000-0005-0000-0000-0000661C0000}"/>
    <cellStyle name="Check Cell 3" xfId="7348" hidden="1" xr:uid="{00000000-0005-0000-0000-0000671C0000}"/>
    <cellStyle name="Check Cell 3" xfId="7381" hidden="1" xr:uid="{00000000-0005-0000-0000-0000681C0000}"/>
    <cellStyle name="Check Cell 3" xfId="7413" hidden="1" xr:uid="{00000000-0005-0000-0000-0000691C0000}"/>
    <cellStyle name="Check Cell 3" xfId="7445" hidden="1" xr:uid="{00000000-0005-0000-0000-00006A1C0000}"/>
    <cellStyle name="Check Cell 3" xfId="7478" hidden="1" xr:uid="{00000000-0005-0000-0000-00006B1C0000}"/>
    <cellStyle name="Check Cell 3" xfId="7510" hidden="1" xr:uid="{00000000-0005-0000-0000-00006C1C0000}"/>
    <cellStyle name="Check Cell 3" xfId="7543" hidden="1" xr:uid="{00000000-0005-0000-0000-00006D1C0000}"/>
    <cellStyle name="Check Cell 3" xfId="7575" hidden="1" xr:uid="{00000000-0005-0000-0000-00006E1C0000}"/>
    <cellStyle name="Check Cell 3" xfId="7608" hidden="1" xr:uid="{00000000-0005-0000-0000-00006F1C0000}"/>
    <cellStyle name="Check Cell 3" xfId="7641" hidden="1" xr:uid="{00000000-0005-0000-0000-0000701C0000}"/>
    <cellStyle name="Check Cell 3" xfId="7674" hidden="1" xr:uid="{00000000-0005-0000-0000-0000711C0000}"/>
    <cellStyle name="Check Cell 3" xfId="7707" hidden="1" xr:uid="{00000000-0005-0000-0000-0000721C0000}"/>
    <cellStyle name="Check Cell 3" xfId="7740" hidden="1" xr:uid="{00000000-0005-0000-0000-0000731C0000}"/>
    <cellStyle name="Check Cell 3" xfId="7771" hidden="1" xr:uid="{00000000-0005-0000-0000-0000741C0000}"/>
    <cellStyle name="Check Cell 3" xfId="7788" hidden="1" xr:uid="{00000000-0005-0000-0000-0000751C0000}"/>
    <cellStyle name="Check Cell 3" xfId="7825" hidden="1" xr:uid="{00000000-0005-0000-0000-0000761C0000}"/>
    <cellStyle name="Check Cell 3" xfId="7858" hidden="1" xr:uid="{00000000-0005-0000-0000-0000771C0000}"/>
    <cellStyle name="Check Cell 3" xfId="7890" hidden="1" xr:uid="{00000000-0005-0000-0000-0000781C0000}"/>
    <cellStyle name="Check Cell 3" xfId="7922" hidden="1" xr:uid="{00000000-0005-0000-0000-0000791C0000}"/>
    <cellStyle name="Check Cell 3" xfId="7955" hidden="1" xr:uid="{00000000-0005-0000-0000-00007A1C0000}"/>
    <cellStyle name="Check Cell 3" xfId="7987" hidden="1" xr:uid="{00000000-0005-0000-0000-00007B1C0000}"/>
    <cellStyle name="Check Cell 3" xfId="8020" hidden="1" xr:uid="{00000000-0005-0000-0000-00007C1C0000}"/>
    <cellStyle name="Check Cell 3" xfId="8052" hidden="1" xr:uid="{00000000-0005-0000-0000-00007D1C0000}"/>
    <cellStyle name="Check Cell 3" xfId="8085" hidden="1" xr:uid="{00000000-0005-0000-0000-00007E1C0000}"/>
    <cellStyle name="Check Cell 3" xfId="8118" hidden="1" xr:uid="{00000000-0005-0000-0000-00007F1C0000}"/>
    <cellStyle name="Check Cell 3" xfId="8151" hidden="1" xr:uid="{00000000-0005-0000-0000-0000801C0000}"/>
    <cellStyle name="Check Cell 3" xfId="8184" hidden="1" xr:uid="{00000000-0005-0000-0000-0000811C0000}"/>
    <cellStyle name="Check Cell 3" xfId="8217" hidden="1" xr:uid="{00000000-0005-0000-0000-0000821C0000}"/>
    <cellStyle name="Check Cell 3" xfId="8248" hidden="1" xr:uid="{00000000-0005-0000-0000-0000831C0000}"/>
    <cellStyle name="Check Cell 3" xfId="4343" hidden="1" xr:uid="{00000000-0005-0000-0000-0000841C0000}"/>
    <cellStyle name="Check Cell 3" xfId="6773" hidden="1" xr:uid="{00000000-0005-0000-0000-0000851C0000}"/>
    <cellStyle name="Check Cell 3" xfId="4383" hidden="1" xr:uid="{00000000-0005-0000-0000-0000861C0000}"/>
    <cellStyle name="Check Cell 3" xfId="4298" hidden="1" xr:uid="{00000000-0005-0000-0000-0000871C0000}"/>
    <cellStyle name="Check Cell 3" xfId="4283" hidden="1" xr:uid="{00000000-0005-0000-0000-0000881C0000}"/>
    <cellStyle name="Check Cell 3" xfId="4369" hidden="1" xr:uid="{00000000-0005-0000-0000-0000891C0000}"/>
    <cellStyle name="Check Cell 3" xfId="8262" hidden="1" xr:uid="{00000000-0005-0000-0000-00008A1C0000}"/>
    <cellStyle name="Check Cell 3" xfId="8295" hidden="1" xr:uid="{00000000-0005-0000-0000-00008B1C0000}"/>
    <cellStyle name="Check Cell 3" xfId="8328" hidden="1" xr:uid="{00000000-0005-0000-0000-00008C1C0000}"/>
    <cellStyle name="Check Cell 3" xfId="8361" hidden="1" xr:uid="{00000000-0005-0000-0000-00008D1C0000}"/>
    <cellStyle name="Check Cell 3" xfId="8394" hidden="1" xr:uid="{00000000-0005-0000-0000-00008E1C0000}"/>
    <cellStyle name="Check Cell 3" xfId="8431" hidden="1" xr:uid="{00000000-0005-0000-0000-00008F1C0000}"/>
    <cellStyle name="Check Cell 3" xfId="8464" hidden="1" xr:uid="{00000000-0005-0000-0000-0000901C0000}"/>
    <cellStyle name="Check Cell 3" xfId="8496" hidden="1" xr:uid="{00000000-0005-0000-0000-0000911C0000}"/>
    <cellStyle name="Check Cell 3" xfId="8528" hidden="1" xr:uid="{00000000-0005-0000-0000-0000921C0000}"/>
    <cellStyle name="Check Cell 3" xfId="8561" hidden="1" xr:uid="{00000000-0005-0000-0000-0000931C0000}"/>
    <cellStyle name="Check Cell 3" xfId="8593" hidden="1" xr:uid="{00000000-0005-0000-0000-0000941C0000}"/>
    <cellStyle name="Check Cell 3" xfId="8626" hidden="1" xr:uid="{00000000-0005-0000-0000-0000951C0000}"/>
    <cellStyle name="Check Cell 3" xfId="8658" hidden="1" xr:uid="{00000000-0005-0000-0000-0000961C0000}"/>
    <cellStyle name="Check Cell 3" xfId="8691" hidden="1" xr:uid="{00000000-0005-0000-0000-0000971C0000}"/>
    <cellStyle name="Check Cell 3" xfId="8724" hidden="1" xr:uid="{00000000-0005-0000-0000-0000981C0000}"/>
    <cellStyle name="Check Cell 3" xfId="8757" hidden="1" xr:uid="{00000000-0005-0000-0000-0000991C0000}"/>
    <cellStyle name="Check Cell 3" xfId="8790" hidden="1" xr:uid="{00000000-0005-0000-0000-00009A1C0000}"/>
    <cellStyle name="Check Cell 3" xfId="8823" hidden="1" xr:uid="{00000000-0005-0000-0000-00009B1C0000}"/>
    <cellStyle name="Check Cell 3" xfId="8856" hidden="1" xr:uid="{00000000-0005-0000-0000-00009C1C0000}"/>
    <cellStyle name="Check Cell 3" xfId="8896" hidden="1" xr:uid="{00000000-0005-0000-0000-00009D1C0000}"/>
    <cellStyle name="Check Cell 3" xfId="8933" hidden="1" xr:uid="{00000000-0005-0000-0000-00009E1C0000}"/>
    <cellStyle name="Check Cell 3" xfId="8966" hidden="1" xr:uid="{00000000-0005-0000-0000-00009F1C0000}"/>
    <cellStyle name="Check Cell 3" xfId="8998" hidden="1" xr:uid="{00000000-0005-0000-0000-0000A01C0000}"/>
    <cellStyle name="Check Cell 3" xfId="9030" hidden="1" xr:uid="{00000000-0005-0000-0000-0000A11C0000}"/>
    <cellStyle name="Check Cell 3" xfId="9063" hidden="1" xr:uid="{00000000-0005-0000-0000-0000A21C0000}"/>
    <cellStyle name="Check Cell 3" xfId="9095" hidden="1" xr:uid="{00000000-0005-0000-0000-0000A31C0000}"/>
    <cellStyle name="Check Cell 3" xfId="9128" hidden="1" xr:uid="{00000000-0005-0000-0000-0000A41C0000}"/>
    <cellStyle name="Check Cell 3" xfId="9160" hidden="1" xr:uid="{00000000-0005-0000-0000-0000A51C0000}"/>
    <cellStyle name="Check Cell 3" xfId="9193" hidden="1" xr:uid="{00000000-0005-0000-0000-0000A61C0000}"/>
    <cellStyle name="Check Cell 3" xfId="9226" hidden="1" xr:uid="{00000000-0005-0000-0000-0000A71C0000}"/>
    <cellStyle name="Check Cell 3" xfId="9259" hidden="1" xr:uid="{00000000-0005-0000-0000-0000A81C0000}"/>
    <cellStyle name="Check Cell 3" xfId="9292" hidden="1" xr:uid="{00000000-0005-0000-0000-0000A91C0000}"/>
    <cellStyle name="Check Cell 3" xfId="9325" hidden="1" xr:uid="{00000000-0005-0000-0000-0000AA1C0000}"/>
    <cellStyle name="Check Cell 3" xfId="9358" hidden="1" xr:uid="{00000000-0005-0000-0000-0000AB1C0000}"/>
    <cellStyle name="Check Cell 3" xfId="9409" hidden="1" xr:uid="{00000000-0005-0000-0000-0000AC1C0000}"/>
    <cellStyle name="Check Cell 3" xfId="9446" hidden="1" xr:uid="{00000000-0005-0000-0000-0000AD1C0000}"/>
    <cellStyle name="Check Cell 3" xfId="9479" hidden="1" xr:uid="{00000000-0005-0000-0000-0000AE1C0000}"/>
    <cellStyle name="Check Cell 3" xfId="9511" hidden="1" xr:uid="{00000000-0005-0000-0000-0000AF1C0000}"/>
    <cellStyle name="Check Cell 3" xfId="9543" hidden="1" xr:uid="{00000000-0005-0000-0000-0000B01C0000}"/>
    <cellStyle name="Check Cell 3" xfId="9576" hidden="1" xr:uid="{00000000-0005-0000-0000-0000B11C0000}"/>
    <cellStyle name="Check Cell 3" xfId="9608" hidden="1" xr:uid="{00000000-0005-0000-0000-0000B21C0000}"/>
    <cellStyle name="Check Cell 3" xfId="9641" hidden="1" xr:uid="{00000000-0005-0000-0000-0000B31C0000}"/>
    <cellStyle name="Check Cell 3" xfId="9673" hidden="1" xr:uid="{00000000-0005-0000-0000-0000B41C0000}"/>
    <cellStyle name="Check Cell 3" xfId="9706" hidden="1" xr:uid="{00000000-0005-0000-0000-0000B51C0000}"/>
    <cellStyle name="Check Cell 3" xfId="9739" hidden="1" xr:uid="{00000000-0005-0000-0000-0000B61C0000}"/>
    <cellStyle name="Check Cell 3" xfId="9772" hidden="1" xr:uid="{00000000-0005-0000-0000-0000B71C0000}"/>
    <cellStyle name="Check Cell 3" xfId="9805" hidden="1" xr:uid="{00000000-0005-0000-0000-0000B81C0000}"/>
    <cellStyle name="Check Cell 3" xfId="9838" hidden="1" xr:uid="{00000000-0005-0000-0000-0000B91C0000}"/>
    <cellStyle name="Check Cell 3" xfId="9869" hidden="1" xr:uid="{00000000-0005-0000-0000-0000BA1C0000}"/>
    <cellStyle name="Check Cell 3" xfId="9886" hidden="1" xr:uid="{00000000-0005-0000-0000-0000BB1C0000}"/>
    <cellStyle name="Check Cell 3" xfId="9923" hidden="1" xr:uid="{00000000-0005-0000-0000-0000BC1C0000}"/>
    <cellStyle name="Check Cell 3" xfId="9956" hidden="1" xr:uid="{00000000-0005-0000-0000-0000BD1C0000}"/>
    <cellStyle name="Check Cell 3" xfId="9988" hidden="1" xr:uid="{00000000-0005-0000-0000-0000BE1C0000}"/>
    <cellStyle name="Check Cell 3" xfId="10020" hidden="1" xr:uid="{00000000-0005-0000-0000-0000BF1C0000}"/>
    <cellStyle name="Check Cell 3" xfId="10053" hidden="1" xr:uid="{00000000-0005-0000-0000-0000C01C0000}"/>
    <cellStyle name="Check Cell 3" xfId="10085" hidden="1" xr:uid="{00000000-0005-0000-0000-0000C11C0000}"/>
    <cellStyle name="Check Cell 3" xfId="10118" hidden="1" xr:uid="{00000000-0005-0000-0000-0000C21C0000}"/>
    <cellStyle name="Check Cell 3" xfId="10150" hidden="1" xr:uid="{00000000-0005-0000-0000-0000C31C0000}"/>
    <cellStyle name="Check Cell 3" xfId="10183" hidden="1" xr:uid="{00000000-0005-0000-0000-0000C41C0000}"/>
    <cellStyle name="Check Cell 3" xfId="10216" hidden="1" xr:uid="{00000000-0005-0000-0000-0000C51C0000}"/>
    <cellStyle name="Check Cell 3" xfId="10249" hidden="1" xr:uid="{00000000-0005-0000-0000-0000C61C0000}"/>
    <cellStyle name="Check Cell 3" xfId="10282" hidden="1" xr:uid="{00000000-0005-0000-0000-0000C71C0000}"/>
    <cellStyle name="Check Cell 3" xfId="10315" hidden="1" xr:uid="{00000000-0005-0000-0000-0000C81C0000}"/>
    <cellStyle name="Check Cell 3" xfId="10346" hidden="1" xr:uid="{00000000-0005-0000-0000-0000C91C0000}"/>
    <cellStyle name="Check Cell 3" xfId="10374" hidden="1" xr:uid="{00000000-0005-0000-0000-0000CA1C0000}"/>
    <cellStyle name="Check Cell 3" xfId="10411" hidden="1" xr:uid="{00000000-0005-0000-0000-0000CB1C0000}"/>
    <cellStyle name="Check Cell 3" xfId="10444" hidden="1" xr:uid="{00000000-0005-0000-0000-0000CC1C0000}"/>
    <cellStyle name="Check Cell 3" xfId="10476" hidden="1" xr:uid="{00000000-0005-0000-0000-0000CD1C0000}"/>
    <cellStyle name="Check Cell 3" xfId="10508" hidden="1" xr:uid="{00000000-0005-0000-0000-0000CE1C0000}"/>
    <cellStyle name="Check Cell 3" xfId="10541" hidden="1" xr:uid="{00000000-0005-0000-0000-0000CF1C0000}"/>
    <cellStyle name="Check Cell 3" xfId="10573" hidden="1" xr:uid="{00000000-0005-0000-0000-0000D01C0000}"/>
    <cellStyle name="Check Cell 3" xfId="10606" hidden="1" xr:uid="{00000000-0005-0000-0000-0000D11C0000}"/>
    <cellStyle name="Check Cell 3" xfId="10638" hidden="1" xr:uid="{00000000-0005-0000-0000-0000D21C0000}"/>
    <cellStyle name="Check Cell 3" xfId="10671" hidden="1" xr:uid="{00000000-0005-0000-0000-0000D31C0000}"/>
    <cellStyle name="Check Cell 3" xfId="10704" hidden="1" xr:uid="{00000000-0005-0000-0000-0000D41C0000}"/>
    <cellStyle name="Check Cell 3" xfId="10737" hidden="1" xr:uid="{00000000-0005-0000-0000-0000D51C0000}"/>
    <cellStyle name="Check Cell 3" xfId="10770" hidden="1" xr:uid="{00000000-0005-0000-0000-0000D61C0000}"/>
    <cellStyle name="Check Cell 3" xfId="10803" hidden="1" xr:uid="{00000000-0005-0000-0000-0000D71C0000}"/>
    <cellStyle name="Check Cell 3" xfId="10836" hidden="1" xr:uid="{00000000-0005-0000-0000-0000D81C0000}"/>
    <cellStyle name="Check Cell 3" xfId="10887" hidden="1" xr:uid="{00000000-0005-0000-0000-0000D91C0000}"/>
    <cellStyle name="Check Cell 3" xfId="10924" hidden="1" xr:uid="{00000000-0005-0000-0000-0000DA1C0000}"/>
    <cellStyle name="Check Cell 3" xfId="10957" hidden="1" xr:uid="{00000000-0005-0000-0000-0000DB1C0000}"/>
    <cellStyle name="Check Cell 3" xfId="10989" hidden="1" xr:uid="{00000000-0005-0000-0000-0000DC1C0000}"/>
    <cellStyle name="Check Cell 3" xfId="11021" hidden="1" xr:uid="{00000000-0005-0000-0000-0000DD1C0000}"/>
    <cellStyle name="Check Cell 3" xfId="11054" hidden="1" xr:uid="{00000000-0005-0000-0000-0000DE1C0000}"/>
    <cellStyle name="Check Cell 3" xfId="11086" hidden="1" xr:uid="{00000000-0005-0000-0000-0000DF1C0000}"/>
    <cellStyle name="Check Cell 3" xfId="11119" hidden="1" xr:uid="{00000000-0005-0000-0000-0000E01C0000}"/>
    <cellStyle name="Check Cell 3" xfId="11151" hidden="1" xr:uid="{00000000-0005-0000-0000-0000E11C0000}"/>
    <cellStyle name="Check Cell 3" xfId="11184" hidden="1" xr:uid="{00000000-0005-0000-0000-0000E21C0000}"/>
    <cellStyle name="Check Cell 3" xfId="11217" hidden="1" xr:uid="{00000000-0005-0000-0000-0000E31C0000}"/>
    <cellStyle name="Check Cell 3" xfId="11250" hidden="1" xr:uid="{00000000-0005-0000-0000-0000E41C0000}"/>
    <cellStyle name="Check Cell 3" xfId="11283" hidden="1" xr:uid="{00000000-0005-0000-0000-0000E51C0000}"/>
    <cellStyle name="Check Cell 3" xfId="11316" hidden="1" xr:uid="{00000000-0005-0000-0000-0000E61C0000}"/>
    <cellStyle name="Check Cell 3" xfId="11347" hidden="1" xr:uid="{00000000-0005-0000-0000-0000E71C0000}"/>
    <cellStyle name="Check Cell 3" xfId="11364" hidden="1" xr:uid="{00000000-0005-0000-0000-0000E81C0000}"/>
    <cellStyle name="Check Cell 3" xfId="11401" hidden="1" xr:uid="{00000000-0005-0000-0000-0000E91C0000}"/>
    <cellStyle name="Check Cell 3" xfId="11434" hidden="1" xr:uid="{00000000-0005-0000-0000-0000EA1C0000}"/>
    <cellStyle name="Check Cell 3" xfId="11466" hidden="1" xr:uid="{00000000-0005-0000-0000-0000EB1C0000}"/>
    <cellStyle name="Check Cell 3" xfId="11498" hidden="1" xr:uid="{00000000-0005-0000-0000-0000EC1C0000}"/>
    <cellStyle name="Check Cell 3" xfId="11531" hidden="1" xr:uid="{00000000-0005-0000-0000-0000ED1C0000}"/>
    <cellStyle name="Check Cell 3" xfId="11563" hidden="1" xr:uid="{00000000-0005-0000-0000-0000EE1C0000}"/>
    <cellStyle name="Check Cell 3" xfId="11596" hidden="1" xr:uid="{00000000-0005-0000-0000-0000EF1C0000}"/>
    <cellStyle name="Check Cell 3" xfId="11628" hidden="1" xr:uid="{00000000-0005-0000-0000-0000F01C0000}"/>
    <cellStyle name="Check Cell 3" xfId="11661" hidden="1" xr:uid="{00000000-0005-0000-0000-0000F11C0000}"/>
    <cellStyle name="Check Cell 3" xfId="11694" hidden="1" xr:uid="{00000000-0005-0000-0000-0000F21C0000}"/>
    <cellStyle name="Check Cell 3" xfId="11727" hidden="1" xr:uid="{00000000-0005-0000-0000-0000F31C0000}"/>
    <cellStyle name="Check Cell 3" xfId="11760" hidden="1" xr:uid="{00000000-0005-0000-0000-0000F41C0000}"/>
    <cellStyle name="Check Cell 3" xfId="11793" hidden="1" xr:uid="{00000000-0005-0000-0000-0000F51C0000}"/>
    <cellStyle name="Check Cell 3" xfId="11824" xr:uid="{00000000-0005-0000-0000-0000F61C0000}"/>
    <cellStyle name="Cím" xfId="94" xr:uid="{00000000-0005-0000-0000-0000F71C0000}"/>
    <cellStyle name="Címsor 1" xfId="95" xr:uid="{00000000-0005-0000-0000-0000F81C0000}"/>
    <cellStyle name="Címsor 2" xfId="96" xr:uid="{00000000-0005-0000-0000-0000F91C0000}"/>
    <cellStyle name="Címsor 3" xfId="97" xr:uid="{00000000-0005-0000-0000-0000FA1C0000}"/>
    <cellStyle name="Címsor 4" xfId="98" xr:uid="{00000000-0005-0000-0000-0000FB1C0000}"/>
    <cellStyle name="Comma" xfId="1058" builtinId="3"/>
    <cellStyle name="Comma 2" xfId="1599" xr:uid="{00000000-0005-0000-0000-0000FD1C0000}"/>
    <cellStyle name="Comma 2 2" xfId="1600" xr:uid="{00000000-0005-0000-0000-0000FE1C0000}"/>
    <cellStyle name="Comma 2 3" xfId="1601" xr:uid="{00000000-0005-0000-0000-0000FF1C0000}"/>
    <cellStyle name="Comma 2 4" xfId="1602" xr:uid="{00000000-0005-0000-0000-0000001D0000}"/>
    <cellStyle name="Comma 3" xfId="1603" xr:uid="{00000000-0005-0000-0000-0000011D0000}"/>
    <cellStyle name="Comma 3 2" xfId="1604" xr:uid="{00000000-0005-0000-0000-0000021D0000}"/>
    <cellStyle name="Comma 3 2 2" xfId="1605" xr:uid="{00000000-0005-0000-0000-0000031D0000}"/>
    <cellStyle name="Comma 4" xfId="1568" xr:uid="{00000000-0005-0000-0000-0000041D0000}"/>
    <cellStyle name="Comma 5" xfId="2737" xr:uid="{00000000-0005-0000-0000-0000051D0000}"/>
    <cellStyle name="Comma 6" xfId="1564" xr:uid="{00000000-0005-0000-0000-0000061D0000}"/>
    <cellStyle name="Currency 2" xfId="1606" xr:uid="{00000000-0005-0000-0000-0000071D0000}"/>
    <cellStyle name="Dezimal_Markov Calculation" xfId="1607" xr:uid="{00000000-0005-0000-0000-0000081D0000}"/>
    <cellStyle name="Dziesiętny 2" xfId="1608" xr:uid="{00000000-0005-0000-0000-0000091D0000}"/>
    <cellStyle name="Dziesiętny 2 2" xfId="1609" xr:uid="{00000000-0005-0000-0000-00000A1D0000}"/>
    <cellStyle name="Ellenőrzőcella" xfId="99" xr:uid="{00000000-0005-0000-0000-00000B1D0000}"/>
    <cellStyle name="Encabezado 4" xfId="100" xr:uid="{00000000-0005-0000-0000-00000C1D0000}"/>
    <cellStyle name="Énfasis1" xfId="101" xr:uid="{00000000-0005-0000-0000-00000D1D0000}"/>
    <cellStyle name="Énfasis2" xfId="102" xr:uid="{00000000-0005-0000-0000-00000E1D0000}"/>
    <cellStyle name="Énfasis3" xfId="103" xr:uid="{00000000-0005-0000-0000-00000F1D0000}"/>
    <cellStyle name="Énfasis4" xfId="104" xr:uid="{00000000-0005-0000-0000-0000101D0000}"/>
    <cellStyle name="Énfasis5" xfId="105" xr:uid="{00000000-0005-0000-0000-0000111D0000}"/>
    <cellStyle name="Énfasis6" xfId="106" xr:uid="{00000000-0005-0000-0000-0000121D0000}"/>
    <cellStyle name="Entrada" xfId="107" xr:uid="{00000000-0005-0000-0000-0000131D0000}"/>
    <cellStyle name="Euro" xfId="1610" xr:uid="{00000000-0005-0000-0000-0000141D0000}"/>
    <cellStyle name="Explanatory Text 2" xfId="109" xr:uid="{00000000-0005-0000-0000-0000151D0000}"/>
    <cellStyle name="Explanatory Text 2 2" xfId="1611" xr:uid="{00000000-0005-0000-0000-0000161D0000}"/>
    <cellStyle name="Explanatory Text 2 3" xfId="2738" xr:uid="{00000000-0005-0000-0000-0000171D0000}"/>
    <cellStyle name="Explanatory Text 3" xfId="213" hidden="1" xr:uid="{00000000-0005-0000-0000-0000181D0000}"/>
    <cellStyle name="Explanatory Text 3" xfId="259" hidden="1" xr:uid="{00000000-0005-0000-0000-0000191D0000}"/>
    <cellStyle name="Explanatory Text 3" xfId="292" hidden="1" xr:uid="{00000000-0005-0000-0000-00001A1D0000}"/>
    <cellStyle name="Explanatory Text 3" xfId="325" hidden="1" xr:uid="{00000000-0005-0000-0000-00001B1D0000}"/>
    <cellStyle name="Explanatory Text 3" xfId="358" hidden="1" xr:uid="{00000000-0005-0000-0000-00001C1D0000}"/>
    <cellStyle name="Explanatory Text 3" xfId="392" hidden="1" xr:uid="{00000000-0005-0000-0000-00001D1D0000}"/>
    <cellStyle name="Explanatory Text 3" xfId="425" hidden="1" xr:uid="{00000000-0005-0000-0000-00001E1D0000}"/>
    <cellStyle name="Explanatory Text 3" xfId="458" hidden="1" xr:uid="{00000000-0005-0000-0000-00001F1D0000}"/>
    <cellStyle name="Explanatory Text 3" xfId="491" hidden="1" xr:uid="{00000000-0005-0000-0000-0000201D0000}"/>
    <cellStyle name="Explanatory Text 3" xfId="524" hidden="1" xr:uid="{00000000-0005-0000-0000-0000211D0000}"/>
    <cellStyle name="Explanatory Text 3" xfId="557" hidden="1" xr:uid="{00000000-0005-0000-0000-0000221D0000}"/>
    <cellStyle name="Explanatory Text 3" xfId="590" hidden="1" xr:uid="{00000000-0005-0000-0000-0000231D0000}"/>
    <cellStyle name="Explanatory Text 3" xfId="627" hidden="1" xr:uid="{00000000-0005-0000-0000-0000241D0000}"/>
    <cellStyle name="Explanatory Text 3" xfId="660" hidden="1" xr:uid="{00000000-0005-0000-0000-0000251D0000}"/>
    <cellStyle name="Explanatory Text 3" xfId="692" hidden="1" xr:uid="{00000000-0005-0000-0000-0000261D0000}"/>
    <cellStyle name="Explanatory Text 3" xfId="724" hidden="1" xr:uid="{00000000-0005-0000-0000-0000271D0000}"/>
    <cellStyle name="Explanatory Text 3" xfId="757" hidden="1" xr:uid="{00000000-0005-0000-0000-0000281D0000}"/>
    <cellStyle name="Explanatory Text 3" xfId="789" hidden="1" xr:uid="{00000000-0005-0000-0000-0000291D0000}"/>
    <cellStyle name="Explanatory Text 3" xfId="822" hidden="1" xr:uid="{00000000-0005-0000-0000-00002A1D0000}"/>
    <cellStyle name="Explanatory Text 3" xfId="854" hidden="1" xr:uid="{00000000-0005-0000-0000-00002B1D0000}"/>
    <cellStyle name="Explanatory Text 3" xfId="887" hidden="1" xr:uid="{00000000-0005-0000-0000-00002C1D0000}"/>
    <cellStyle name="Explanatory Text 3" xfId="920" hidden="1" xr:uid="{00000000-0005-0000-0000-00002D1D0000}"/>
    <cellStyle name="Explanatory Text 3" xfId="953" hidden="1" xr:uid="{00000000-0005-0000-0000-00002E1D0000}"/>
    <cellStyle name="Explanatory Text 3" xfId="986" hidden="1" xr:uid="{00000000-0005-0000-0000-00002F1D0000}"/>
    <cellStyle name="Explanatory Text 3" xfId="1019" hidden="1" xr:uid="{00000000-0005-0000-0000-0000301D0000}"/>
    <cellStyle name="Explanatory Text 3" xfId="1052" hidden="1" xr:uid="{00000000-0005-0000-0000-0000311D0000}"/>
    <cellStyle name="Explanatory Text 3" xfId="1095" hidden="1" xr:uid="{00000000-0005-0000-0000-0000321D0000}"/>
    <cellStyle name="Explanatory Text 3" xfId="1133" hidden="1" xr:uid="{00000000-0005-0000-0000-0000331D0000}"/>
    <cellStyle name="Explanatory Text 3" xfId="1166" hidden="1" xr:uid="{00000000-0005-0000-0000-0000341D0000}"/>
    <cellStyle name="Explanatory Text 3" xfId="1198" hidden="1" xr:uid="{00000000-0005-0000-0000-0000351D0000}"/>
    <cellStyle name="Explanatory Text 3" xfId="1230" hidden="1" xr:uid="{00000000-0005-0000-0000-0000361D0000}"/>
    <cellStyle name="Explanatory Text 3" xfId="1263" hidden="1" xr:uid="{00000000-0005-0000-0000-0000371D0000}"/>
    <cellStyle name="Explanatory Text 3" xfId="1295" hidden="1" xr:uid="{00000000-0005-0000-0000-0000381D0000}"/>
    <cellStyle name="Explanatory Text 3" xfId="1328" hidden="1" xr:uid="{00000000-0005-0000-0000-0000391D0000}"/>
    <cellStyle name="Explanatory Text 3" xfId="1360" hidden="1" xr:uid="{00000000-0005-0000-0000-00003A1D0000}"/>
    <cellStyle name="Explanatory Text 3" xfId="1393" hidden="1" xr:uid="{00000000-0005-0000-0000-00003B1D0000}"/>
    <cellStyle name="Explanatory Text 3" xfId="1426" hidden="1" xr:uid="{00000000-0005-0000-0000-00003C1D0000}"/>
    <cellStyle name="Explanatory Text 3" xfId="1459" hidden="1" xr:uid="{00000000-0005-0000-0000-00003D1D0000}"/>
    <cellStyle name="Explanatory Text 3" xfId="1492" hidden="1" xr:uid="{00000000-0005-0000-0000-00003E1D0000}"/>
    <cellStyle name="Explanatory Text 3" xfId="1525" hidden="1" xr:uid="{00000000-0005-0000-0000-00003F1D0000}"/>
    <cellStyle name="Explanatory Text 3" xfId="1558" hidden="1" xr:uid="{00000000-0005-0000-0000-0000401D0000}"/>
    <cellStyle name="Explanatory Text 3" xfId="1772" hidden="1" xr:uid="{00000000-0005-0000-0000-0000411D0000}"/>
    <cellStyle name="Explanatory Text 3" xfId="1809" hidden="1" xr:uid="{00000000-0005-0000-0000-0000421D0000}"/>
    <cellStyle name="Explanatory Text 3" xfId="1842" hidden="1" xr:uid="{00000000-0005-0000-0000-0000431D0000}"/>
    <cellStyle name="Explanatory Text 3" xfId="1874" hidden="1" xr:uid="{00000000-0005-0000-0000-0000441D0000}"/>
    <cellStyle name="Explanatory Text 3" xfId="1906" hidden="1" xr:uid="{00000000-0005-0000-0000-0000451D0000}"/>
    <cellStyle name="Explanatory Text 3" xfId="1939" hidden="1" xr:uid="{00000000-0005-0000-0000-0000461D0000}"/>
    <cellStyle name="Explanatory Text 3" xfId="1971" hidden="1" xr:uid="{00000000-0005-0000-0000-0000471D0000}"/>
    <cellStyle name="Explanatory Text 3" xfId="2004" hidden="1" xr:uid="{00000000-0005-0000-0000-0000481D0000}"/>
    <cellStyle name="Explanatory Text 3" xfId="2036" hidden="1" xr:uid="{00000000-0005-0000-0000-0000491D0000}"/>
    <cellStyle name="Explanatory Text 3" xfId="2069" hidden="1" xr:uid="{00000000-0005-0000-0000-00004A1D0000}"/>
    <cellStyle name="Explanatory Text 3" xfId="2102" hidden="1" xr:uid="{00000000-0005-0000-0000-00004B1D0000}"/>
    <cellStyle name="Explanatory Text 3" xfId="2135" hidden="1" xr:uid="{00000000-0005-0000-0000-00004C1D0000}"/>
    <cellStyle name="Explanatory Text 3" xfId="2168" hidden="1" xr:uid="{00000000-0005-0000-0000-00004D1D0000}"/>
    <cellStyle name="Explanatory Text 3" xfId="2201" hidden="1" xr:uid="{00000000-0005-0000-0000-00004E1D0000}"/>
    <cellStyle name="Explanatory Text 3" xfId="1739" hidden="1" xr:uid="{00000000-0005-0000-0000-00004F1D0000}"/>
    <cellStyle name="Explanatory Text 3" xfId="2249" hidden="1" xr:uid="{00000000-0005-0000-0000-0000501D0000}"/>
    <cellStyle name="Explanatory Text 3" xfId="2286" hidden="1" xr:uid="{00000000-0005-0000-0000-0000511D0000}"/>
    <cellStyle name="Explanatory Text 3" xfId="2319" hidden="1" xr:uid="{00000000-0005-0000-0000-0000521D0000}"/>
    <cellStyle name="Explanatory Text 3" xfId="2351" hidden="1" xr:uid="{00000000-0005-0000-0000-0000531D0000}"/>
    <cellStyle name="Explanatory Text 3" xfId="2383" hidden="1" xr:uid="{00000000-0005-0000-0000-0000541D0000}"/>
    <cellStyle name="Explanatory Text 3" xfId="2416" hidden="1" xr:uid="{00000000-0005-0000-0000-0000551D0000}"/>
    <cellStyle name="Explanatory Text 3" xfId="2448" hidden="1" xr:uid="{00000000-0005-0000-0000-0000561D0000}"/>
    <cellStyle name="Explanatory Text 3" xfId="2481" hidden="1" xr:uid="{00000000-0005-0000-0000-0000571D0000}"/>
    <cellStyle name="Explanatory Text 3" xfId="2513" hidden="1" xr:uid="{00000000-0005-0000-0000-0000581D0000}"/>
    <cellStyle name="Explanatory Text 3" xfId="2546" hidden="1" xr:uid="{00000000-0005-0000-0000-0000591D0000}"/>
    <cellStyle name="Explanatory Text 3" xfId="2579" hidden="1" xr:uid="{00000000-0005-0000-0000-00005A1D0000}"/>
    <cellStyle name="Explanatory Text 3" xfId="2612" hidden="1" xr:uid="{00000000-0005-0000-0000-00005B1D0000}"/>
    <cellStyle name="Explanatory Text 3" xfId="2645" hidden="1" xr:uid="{00000000-0005-0000-0000-00005C1D0000}"/>
    <cellStyle name="Explanatory Text 3" xfId="2678" hidden="1" xr:uid="{00000000-0005-0000-0000-00005D1D0000}"/>
    <cellStyle name="Explanatory Text 3" xfId="1062" hidden="1" xr:uid="{00000000-0005-0000-0000-00005E1D0000}"/>
    <cellStyle name="Explanatory Text 3" xfId="2792" hidden="1" xr:uid="{00000000-0005-0000-0000-00005F1D0000}"/>
    <cellStyle name="Explanatory Text 3" xfId="2829" hidden="1" xr:uid="{00000000-0005-0000-0000-0000601D0000}"/>
    <cellStyle name="Explanatory Text 3" xfId="2862" hidden="1" xr:uid="{00000000-0005-0000-0000-0000611D0000}"/>
    <cellStyle name="Explanatory Text 3" xfId="2894" hidden="1" xr:uid="{00000000-0005-0000-0000-0000621D0000}"/>
    <cellStyle name="Explanatory Text 3" xfId="2926" hidden="1" xr:uid="{00000000-0005-0000-0000-0000631D0000}"/>
    <cellStyle name="Explanatory Text 3" xfId="2959" hidden="1" xr:uid="{00000000-0005-0000-0000-0000641D0000}"/>
    <cellStyle name="Explanatory Text 3" xfId="2991" hidden="1" xr:uid="{00000000-0005-0000-0000-0000651D0000}"/>
    <cellStyle name="Explanatory Text 3" xfId="3024" hidden="1" xr:uid="{00000000-0005-0000-0000-0000661D0000}"/>
    <cellStyle name="Explanatory Text 3" xfId="3056" hidden="1" xr:uid="{00000000-0005-0000-0000-0000671D0000}"/>
    <cellStyle name="Explanatory Text 3" xfId="3089" hidden="1" xr:uid="{00000000-0005-0000-0000-0000681D0000}"/>
    <cellStyle name="Explanatory Text 3" xfId="3122" hidden="1" xr:uid="{00000000-0005-0000-0000-0000691D0000}"/>
    <cellStyle name="Explanatory Text 3" xfId="3155" hidden="1" xr:uid="{00000000-0005-0000-0000-00006A1D0000}"/>
    <cellStyle name="Explanatory Text 3" xfId="3188" hidden="1" xr:uid="{00000000-0005-0000-0000-00006B1D0000}"/>
    <cellStyle name="Explanatory Text 3" xfId="3221" hidden="1" xr:uid="{00000000-0005-0000-0000-00006C1D0000}"/>
    <cellStyle name="Explanatory Text 3" xfId="3254" hidden="1" xr:uid="{00000000-0005-0000-0000-00006D1D0000}"/>
    <cellStyle name="Explanatory Text 3" xfId="3305" hidden="1" xr:uid="{00000000-0005-0000-0000-00006E1D0000}"/>
    <cellStyle name="Explanatory Text 3" xfId="3342" hidden="1" xr:uid="{00000000-0005-0000-0000-00006F1D0000}"/>
    <cellStyle name="Explanatory Text 3" xfId="3375" hidden="1" xr:uid="{00000000-0005-0000-0000-0000701D0000}"/>
    <cellStyle name="Explanatory Text 3" xfId="3407" hidden="1" xr:uid="{00000000-0005-0000-0000-0000711D0000}"/>
    <cellStyle name="Explanatory Text 3" xfId="3439" hidden="1" xr:uid="{00000000-0005-0000-0000-0000721D0000}"/>
    <cellStyle name="Explanatory Text 3" xfId="3472" hidden="1" xr:uid="{00000000-0005-0000-0000-0000731D0000}"/>
    <cellStyle name="Explanatory Text 3" xfId="3504" hidden="1" xr:uid="{00000000-0005-0000-0000-0000741D0000}"/>
    <cellStyle name="Explanatory Text 3" xfId="3537" hidden="1" xr:uid="{00000000-0005-0000-0000-0000751D0000}"/>
    <cellStyle name="Explanatory Text 3" xfId="3569" hidden="1" xr:uid="{00000000-0005-0000-0000-0000761D0000}"/>
    <cellStyle name="Explanatory Text 3" xfId="3602" hidden="1" xr:uid="{00000000-0005-0000-0000-0000771D0000}"/>
    <cellStyle name="Explanatory Text 3" xfId="3635" hidden="1" xr:uid="{00000000-0005-0000-0000-0000781D0000}"/>
    <cellStyle name="Explanatory Text 3" xfId="3668" hidden="1" xr:uid="{00000000-0005-0000-0000-0000791D0000}"/>
    <cellStyle name="Explanatory Text 3" xfId="3701" hidden="1" xr:uid="{00000000-0005-0000-0000-00007A1D0000}"/>
    <cellStyle name="Explanatory Text 3" xfId="3734" hidden="1" xr:uid="{00000000-0005-0000-0000-00007B1D0000}"/>
    <cellStyle name="Explanatory Text 3" xfId="3272" hidden="1" xr:uid="{00000000-0005-0000-0000-00007C1D0000}"/>
    <cellStyle name="Explanatory Text 3" xfId="3782" hidden="1" xr:uid="{00000000-0005-0000-0000-00007D1D0000}"/>
    <cellStyle name="Explanatory Text 3" xfId="3819" hidden="1" xr:uid="{00000000-0005-0000-0000-00007E1D0000}"/>
    <cellStyle name="Explanatory Text 3" xfId="3852" hidden="1" xr:uid="{00000000-0005-0000-0000-00007F1D0000}"/>
    <cellStyle name="Explanatory Text 3" xfId="3884" hidden="1" xr:uid="{00000000-0005-0000-0000-0000801D0000}"/>
    <cellStyle name="Explanatory Text 3" xfId="3916" hidden="1" xr:uid="{00000000-0005-0000-0000-0000811D0000}"/>
    <cellStyle name="Explanatory Text 3" xfId="3949" hidden="1" xr:uid="{00000000-0005-0000-0000-0000821D0000}"/>
    <cellStyle name="Explanatory Text 3" xfId="3981" hidden="1" xr:uid="{00000000-0005-0000-0000-0000831D0000}"/>
    <cellStyle name="Explanatory Text 3" xfId="4014" hidden="1" xr:uid="{00000000-0005-0000-0000-0000841D0000}"/>
    <cellStyle name="Explanatory Text 3" xfId="4046" hidden="1" xr:uid="{00000000-0005-0000-0000-0000851D0000}"/>
    <cellStyle name="Explanatory Text 3" xfId="4079" hidden="1" xr:uid="{00000000-0005-0000-0000-0000861D0000}"/>
    <cellStyle name="Explanatory Text 3" xfId="4112" hidden="1" xr:uid="{00000000-0005-0000-0000-0000871D0000}"/>
    <cellStyle name="Explanatory Text 3" xfId="4145" hidden="1" xr:uid="{00000000-0005-0000-0000-0000881D0000}"/>
    <cellStyle name="Explanatory Text 3" xfId="4178" hidden="1" xr:uid="{00000000-0005-0000-0000-0000891D0000}"/>
    <cellStyle name="Explanatory Text 3" xfId="4211" hidden="1" xr:uid="{00000000-0005-0000-0000-00008A1D0000}"/>
    <cellStyle name="Explanatory Text 3" xfId="4365" hidden="1" xr:uid="{00000000-0005-0000-0000-00008B1D0000}"/>
    <cellStyle name="Explanatory Text 3" xfId="4411" hidden="1" xr:uid="{00000000-0005-0000-0000-00008C1D0000}"/>
    <cellStyle name="Explanatory Text 3" xfId="4444" hidden="1" xr:uid="{00000000-0005-0000-0000-00008D1D0000}"/>
    <cellStyle name="Explanatory Text 3" xfId="4477" hidden="1" xr:uid="{00000000-0005-0000-0000-00008E1D0000}"/>
    <cellStyle name="Explanatory Text 3" xfId="4510" hidden="1" xr:uid="{00000000-0005-0000-0000-00008F1D0000}"/>
    <cellStyle name="Explanatory Text 3" xfId="4543" hidden="1" xr:uid="{00000000-0005-0000-0000-0000901D0000}"/>
    <cellStyle name="Explanatory Text 3" xfId="4576" hidden="1" xr:uid="{00000000-0005-0000-0000-0000911D0000}"/>
    <cellStyle name="Explanatory Text 3" xfId="4609" hidden="1" xr:uid="{00000000-0005-0000-0000-0000921D0000}"/>
    <cellStyle name="Explanatory Text 3" xfId="4642" hidden="1" xr:uid="{00000000-0005-0000-0000-0000931D0000}"/>
    <cellStyle name="Explanatory Text 3" xfId="4675" hidden="1" xr:uid="{00000000-0005-0000-0000-0000941D0000}"/>
    <cellStyle name="Explanatory Text 3" xfId="4708" hidden="1" xr:uid="{00000000-0005-0000-0000-0000951D0000}"/>
    <cellStyle name="Explanatory Text 3" xfId="4741" hidden="1" xr:uid="{00000000-0005-0000-0000-0000961D0000}"/>
    <cellStyle name="Explanatory Text 3" xfId="4778" hidden="1" xr:uid="{00000000-0005-0000-0000-0000971D0000}"/>
    <cellStyle name="Explanatory Text 3" xfId="4811" hidden="1" xr:uid="{00000000-0005-0000-0000-0000981D0000}"/>
    <cellStyle name="Explanatory Text 3" xfId="4843" hidden="1" xr:uid="{00000000-0005-0000-0000-0000991D0000}"/>
    <cellStyle name="Explanatory Text 3" xfId="4875" hidden="1" xr:uid="{00000000-0005-0000-0000-00009A1D0000}"/>
    <cellStyle name="Explanatory Text 3" xfId="4908" hidden="1" xr:uid="{00000000-0005-0000-0000-00009B1D0000}"/>
    <cellStyle name="Explanatory Text 3" xfId="4940" hidden="1" xr:uid="{00000000-0005-0000-0000-00009C1D0000}"/>
    <cellStyle name="Explanatory Text 3" xfId="4973" hidden="1" xr:uid="{00000000-0005-0000-0000-00009D1D0000}"/>
    <cellStyle name="Explanatory Text 3" xfId="5005" hidden="1" xr:uid="{00000000-0005-0000-0000-00009E1D0000}"/>
    <cellStyle name="Explanatory Text 3" xfId="5038" hidden="1" xr:uid="{00000000-0005-0000-0000-00009F1D0000}"/>
    <cellStyle name="Explanatory Text 3" xfId="5071" hidden="1" xr:uid="{00000000-0005-0000-0000-0000A01D0000}"/>
    <cellStyle name="Explanatory Text 3" xfId="5104" hidden="1" xr:uid="{00000000-0005-0000-0000-0000A11D0000}"/>
    <cellStyle name="Explanatory Text 3" xfId="5137" hidden="1" xr:uid="{00000000-0005-0000-0000-0000A21D0000}"/>
    <cellStyle name="Explanatory Text 3" xfId="5170" hidden="1" xr:uid="{00000000-0005-0000-0000-0000A31D0000}"/>
    <cellStyle name="Explanatory Text 3" xfId="5203" hidden="1" xr:uid="{00000000-0005-0000-0000-0000A41D0000}"/>
    <cellStyle name="Explanatory Text 3" xfId="5244" hidden="1" xr:uid="{00000000-0005-0000-0000-0000A51D0000}"/>
    <cellStyle name="Explanatory Text 3" xfId="5281" hidden="1" xr:uid="{00000000-0005-0000-0000-0000A61D0000}"/>
    <cellStyle name="Explanatory Text 3" xfId="5314" hidden="1" xr:uid="{00000000-0005-0000-0000-0000A71D0000}"/>
    <cellStyle name="Explanatory Text 3" xfId="5346" hidden="1" xr:uid="{00000000-0005-0000-0000-0000A81D0000}"/>
    <cellStyle name="Explanatory Text 3" xfId="5378" hidden="1" xr:uid="{00000000-0005-0000-0000-0000A91D0000}"/>
    <cellStyle name="Explanatory Text 3" xfId="5411" hidden="1" xr:uid="{00000000-0005-0000-0000-0000AA1D0000}"/>
    <cellStyle name="Explanatory Text 3" xfId="5443" hidden="1" xr:uid="{00000000-0005-0000-0000-0000AB1D0000}"/>
    <cellStyle name="Explanatory Text 3" xfId="5476" hidden="1" xr:uid="{00000000-0005-0000-0000-0000AC1D0000}"/>
    <cellStyle name="Explanatory Text 3" xfId="5508" hidden="1" xr:uid="{00000000-0005-0000-0000-0000AD1D0000}"/>
    <cellStyle name="Explanatory Text 3" xfId="5541" hidden="1" xr:uid="{00000000-0005-0000-0000-0000AE1D0000}"/>
    <cellStyle name="Explanatory Text 3" xfId="5574" hidden="1" xr:uid="{00000000-0005-0000-0000-0000AF1D0000}"/>
    <cellStyle name="Explanatory Text 3" xfId="5607" hidden="1" xr:uid="{00000000-0005-0000-0000-0000B01D0000}"/>
    <cellStyle name="Explanatory Text 3" xfId="5640" hidden="1" xr:uid="{00000000-0005-0000-0000-0000B11D0000}"/>
    <cellStyle name="Explanatory Text 3" xfId="5673" hidden="1" xr:uid="{00000000-0005-0000-0000-0000B21D0000}"/>
    <cellStyle name="Explanatory Text 3" xfId="5706" hidden="1" xr:uid="{00000000-0005-0000-0000-0000B31D0000}"/>
    <cellStyle name="Explanatory Text 3" xfId="5810" hidden="1" xr:uid="{00000000-0005-0000-0000-0000B41D0000}"/>
    <cellStyle name="Explanatory Text 3" xfId="5847" hidden="1" xr:uid="{00000000-0005-0000-0000-0000B51D0000}"/>
    <cellStyle name="Explanatory Text 3" xfId="5880" hidden="1" xr:uid="{00000000-0005-0000-0000-0000B61D0000}"/>
    <cellStyle name="Explanatory Text 3" xfId="5912" hidden="1" xr:uid="{00000000-0005-0000-0000-0000B71D0000}"/>
    <cellStyle name="Explanatory Text 3" xfId="5944" hidden="1" xr:uid="{00000000-0005-0000-0000-0000B81D0000}"/>
    <cellStyle name="Explanatory Text 3" xfId="5977" hidden="1" xr:uid="{00000000-0005-0000-0000-0000B91D0000}"/>
    <cellStyle name="Explanatory Text 3" xfId="6009" hidden="1" xr:uid="{00000000-0005-0000-0000-0000BA1D0000}"/>
    <cellStyle name="Explanatory Text 3" xfId="6042" hidden="1" xr:uid="{00000000-0005-0000-0000-0000BB1D0000}"/>
    <cellStyle name="Explanatory Text 3" xfId="6074" hidden="1" xr:uid="{00000000-0005-0000-0000-0000BC1D0000}"/>
    <cellStyle name="Explanatory Text 3" xfId="6107" hidden="1" xr:uid="{00000000-0005-0000-0000-0000BD1D0000}"/>
    <cellStyle name="Explanatory Text 3" xfId="6140" hidden="1" xr:uid="{00000000-0005-0000-0000-0000BE1D0000}"/>
    <cellStyle name="Explanatory Text 3" xfId="6173" hidden="1" xr:uid="{00000000-0005-0000-0000-0000BF1D0000}"/>
    <cellStyle name="Explanatory Text 3" xfId="6206" hidden="1" xr:uid="{00000000-0005-0000-0000-0000C01D0000}"/>
    <cellStyle name="Explanatory Text 3" xfId="6239" hidden="1" xr:uid="{00000000-0005-0000-0000-0000C11D0000}"/>
    <cellStyle name="Explanatory Text 3" xfId="5777" hidden="1" xr:uid="{00000000-0005-0000-0000-0000C21D0000}"/>
    <cellStyle name="Explanatory Text 3" xfId="6287" hidden="1" xr:uid="{00000000-0005-0000-0000-0000C31D0000}"/>
    <cellStyle name="Explanatory Text 3" xfId="6324" hidden="1" xr:uid="{00000000-0005-0000-0000-0000C41D0000}"/>
    <cellStyle name="Explanatory Text 3" xfId="6357" hidden="1" xr:uid="{00000000-0005-0000-0000-0000C51D0000}"/>
    <cellStyle name="Explanatory Text 3" xfId="6389" hidden="1" xr:uid="{00000000-0005-0000-0000-0000C61D0000}"/>
    <cellStyle name="Explanatory Text 3" xfId="6421" hidden="1" xr:uid="{00000000-0005-0000-0000-0000C71D0000}"/>
    <cellStyle name="Explanatory Text 3" xfId="6454" hidden="1" xr:uid="{00000000-0005-0000-0000-0000C81D0000}"/>
    <cellStyle name="Explanatory Text 3" xfId="6486" hidden="1" xr:uid="{00000000-0005-0000-0000-0000C91D0000}"/>
    <cellStyle name="Explanatory Text 3" xfId="6519" hidden="1" xr:uid="{00000000-0005-0000-0000-0000CA1D0000}"/>
    <cellStyle name="Explanatory Text 3" xfId="6551" hidden="1" xr:uid="{00000000-0005-0000-0000-0000CB1D0000}"/>
    <cellStyle name="Explanatory Text 3" xfId="6584" hidden="1" xr:uid="{00000000-0005-0000-0000-0000CC1D0000}"/>
    <cellStyle name="Explanatory Text 3" xfId="6617" hidden="1" xr:uid="{00000000-0005-0000-0000-0000CD1D0000}"/>
    <cellStyle name="Explanatory Text 3" xfId="6650" hidden="1" xr:uid="{00000000-0005-0000-0000-0000CE1D0000}"/>
    <cellStyle name="Explanatory Text 3" xfId="6683" hidden="1" xr:uid="{00000000-0005-0000-0000-0000CF1D0000}"/>
    <cellStyle name="Explanatory Text 3" xfId="6716" hidden="1" xr:uid="{00000000-0005-0000-0000-0000D01D0000}"/>
    <cellStyle name="Explanatory Text 3" xfId="5211" hidden="1" xr:uid="{00000000-0005-0000-0000-0000D11D0000}"/>
    <cellStyle name="Explanatory Text 3" xfId="6806" hidden="1" xr:uid="{00000000-0005-0000-0000-0000D21D0000}"/>
    <cellStyle name="Explanatory Text 3" xfId="6843" hidden="1" xr:uid="{00000000-0005-0000-0000-0000D31D0000}"/>
    <cellStyle name="Explanatory Text 3" xfId="6876" hidden="1" xr:uid="{00000000-0005-0000-0000-0000D41D0000}"/>
    <cellStyle name="Explanatory Text 3" xfId="6908" hidden="1" xr:uid="{00000000-0005-0000-0000-0000D51D0000}"/>
    <cellStyle name="Explanatory Text 3" xfId="6940" hidden="1" xr:uid="{00000000-0005-0000-0000-0000D61D0000}"/>
    <cellStyle name="Explanatory Text 3" xfId="6973" hidden="1" xr:uid="{00000000-0005-0000-0000-0000D71D0000}"/>
    <cellStyle name="Explanatory Text 3" xfId="7005" hidden="1" xr:uid="{00000000-0005-0000-0000-0000D81D0000}"/>
    <cellStyle name="Explanatory Text 3" xfId="7038" hidden="1" xr:uid="{00000000-0005-0000-0000-0000D91D0000}"/>
    <cellStyle name="Explanatory Text 3" xfId="7070" hidden="1" xr:uid="{00000000-0005-0000-0000-0000DA1D0000}"/>
    <cellStyle name="Explanatory Text 3" xfId="7103" hidden="1" xr:uid="{00000000-0005-0000-0000-0000DB1D0000}"/>
    <cellStyle name="Explanatory Text 3" xfId="7136" hidden="1" xr:uid="{00000000-0005-0000-0000-0000DC1D0000}"/>
    <cellStyle name="Explanatory Text 3" xfId="7169" hidden="1" xr:uid="{00000000-0005-0000-0000-0000DD1D0000}"/>
    <cellStyle name="Explanatory Text 3" xfId="7202" hidden="1" xr:uid="{00000000-0005-0000-0000-0000DE1D0000}"/>
    <cellStyle name="Explanatory Text 3" xfId="7235" hidden="1" xr:uid="{00000000-0005-0000-0000-0000DF1D0000}"/>
    <cellStyle name="Explanatory Text 3" xfId="7268" hidden="1" xr:uid="{00000000-0005-0000-0000-0000E01D0000}"/>
    <cellStyle name="Explanatory Text 3" xfId="7319" hidden="1" xr:uid="{00000000-0005-0000-0000-0000E11D0000}"/>
    <cellStyle name="Explanatory Text 3" xfId="7356" hidden="1" xr:uid="{00000000-0005-0000-0000-0000E21D0000}"/>
    <cellStyle name="Explanatory Text 3" xfId="7389" hidden="1" xr:uid="{00000000-0005-0000-0000-0000E31D0000}"/>
    <cellStyle name="Explanatory Text 3" xfId="7421" hidden="1" xr:uid="{00000000-0005-0000-0000-0000E41D0000}"/>
    <cellStyle name="Explanatory Text 3" xfId="7453" hidden="1" xr:uid="{00000000-0005-0000-0000-0000E51D0000}"/>
    <cellStyle name="Explanatory Text 3" xfId="7486" hidden="1" xr:uid="{00000000-0005-0000-0000-0000E61D0000}"/>
    <cellStyle name="Explanatory Text 3" xfId="7518" hidden="1" xr:uid="{00000000-0005-0000-0000-0000E71D0000}"/>
    <cellStyle name="Explanatory Text 3" xfId="7551" hidden="1" xr:uid="{00000000-0005-0000-0000-0000E81D0000}"/>
    <cellStyle name="Explanatory Text 3" xfId="7583" hidden="1" xr:uid="{00000000-0005-0000-0000-0000E91D0000}"/>
    <cellStyle name="Explanatory Text 3" xfId="7616" hidden="1" xr:uid="{00000000-0005-0000-0000-0000EA1D0000}"/>
    <cellStyle name="Explanatory Text 3" xfId="7649" hidden="1" xr:uid="{00000000-0005-0000-0000-0000EB1D0000}"/>
    <cellStyle name="Explanatory Text 3" xfId="7682" hidden="1" xr:uid="{00000000-0005-0000-0000-0000EC1D0000}"/>
    <cellStyle name="Explanatory Text 3" xfId="7715" hidden="1" xr:uid="{00000000-0005-0000-0000-0000ED1D0000}"/>
    <cellStyle name="Explanatory Text 3" xfId="7748" hidden="1" xr:uid="{00000000-0005-0000-0000-0000EE1D0000}"/>
    <cellStyle name="Explanatory Text 3" xfId="7286" hidden="1" xr:uid="{00000000-0005-0000-0000-0000EF1D0000}"/>
    <cellStyle name="Explanatory Text 3" xfId="7796" hidden="1" xr:uid="{00000000-0005-0000-0000-0000F01D0000}"/>
    <cellStyle name="Explanatory Text 3" xfId="7833" hidden="1" xr:uid="{00000000-0005-0000-0000-0000F11D0000}"/>
    <cellStyle name="Explanatory Text 3" xfId="7866" hidden="1" xr:uid="{00000000-0005-0000-0000-0000F21D0000}"/>
    <cellStyle name="Explanatory Text 3" xfId="7898" hidden="1" xr:uid="{00000000-0005-0000-0000-0000F31D0000}"/>
    <cellStyle name="Explanatory Text 3" xfId="7930" hidden="1" xr:uid="{00000000-0005-0000-0000-0000F41D0000}"/>
    <cellStyle name="Explanatory Text 3" xfId="7963" hidden="1" xr:uid="{00000000-0005-0000-0000-0000F51D0000}"/>
    <cellStyle name="Explanatory Text 3" xfId="7995" hidden="1" xr:uid="{00000000-0005-0000-0000-0000F61D0000}"/>
    <cellStyle name="Explanatory Text 3" xfId="8028" hidden="1" xr:uid="{00000000-0005-0000-0000-0000F71D0000}"/>
    <cellStyle name="Explanatory Text 3" xfId="8060" hidden="1" xr:uid="{00000000-0005-0000-0000-0000F81D0000}"/>
    <cellStyle name="Explanatory Text 3" xfId="8093" hidden="1" xr:uid="{00000000-0005-0000-0000-0000F91D0000}"/>
    <cellStyle name="Explanatory Text 3" xfId="8126" hidden="1" xr:uid="{00000000-0005-0000-0000-0000FA1D0000}"/>
    <cellStyle name="Explanatory Text 3" xfId="8159" hidden="1" xr:uid="{00000000-0005-0000-0000-0000FB1D0000}"/>
    <cellStyle name="Explanatory Text 3" xfId="8192" hidden="1" xr:uid="{00000000-0005-0000-0000-0000FC1D0000}"/>
    <cellStyle name="Explanatory Text 3" xfId="8225" hidden="1" xr:uid="{00000000-0005-0000-0000-0000FD1D0000}"/>
    <cellStyle name="Explanatory Text 3" xfId="5758" hidden="1" xr:uid="{00000000-0005-0000-0000-0000FE1D0000}"/>
    <cellStyle name="Explanatory Text 3" xfId="5712" hidden="1" xr:uid="{00000000-0005-0000-0000-0000FF1D0000}"/>
    <cellStyle name="Explanatory Text 3" xfId="4326" hidden="1" xr:uid="{00000000-0005-0000-0000-0000001E0000}"/>
    <cellStyle name="Explanatory Text 3" xfId="4377" hidden="1" xr:uid="{00000000-0005-0000-0000-0000011E0000}"/>
    <cellStyle name="Explanatory Text 3" xfId="6758" hidden="1" xr:uid="{00000000-0005-0000-0000-0000021E0000}"/>
    <cellStyle name="Explanatory Text 3" xfId="4275" hidden="1" xr:uid="{00000000-0005-0000-0000-0000031E0000}"/>
    <cellStyle name="Explanatory Text 3" xfId="4261" hidden="1" xr:uid="{00000000-0005-0000-0000-0000041E0000}"/>
    <cellStyle name="Explanatory Text 3" xfId="8270" hidden="1" xr:uid="{00000000-0005-0000-0000-0000051E0000}"/>
    <cellStyle name="Explanatory Text 3" xfId="8303" hidden="1" xr:uid="{00000000-0005-0000-0000-0000061E0000}"/>
    <cellStyle name="Explanatory Text 3" xfId="8336" hidden="1" xr:uid="{00000000-0005-0000-0000-0000071E0000}"/>
    <cellStyle name="Explanatory Text 3" xfId="8369" hidden="1" xr:uid="{00000000-0005-0000-0000-0000081E0000}"/>
    <cellStyle name="Explanatory Text 3" xfId="8402" hidden="1" xr:uid="{00000000-0005-0000-0000-0000091E0000}"/>
    <cellStyle name="Explanatory Text 3" xfId="8439" hidden="1" xr:uid="{00000000-0005-0000-0000-00000A1E0000}"/>
    <cellStyle name="Explanatory Text 3" xfId="8472" hidden="1" xr:uid="{00000000-0005-0000-0000-00000B1E0000}"/>
    <cellStyle name="Explanatory Text 3" xfId="8504" hidden="1" xr:uid="{00000000-0005-0000-0000-00000C1E0000}"/>
    <cellStyle name="Explanatory Text 3" xfId="8536" hidden="1" xr:uid="{00000000-0005-0000-0000-00000D1E0000}"/>
    <cellStyle name="Explanatory Text 3" xfId="8569" hidden="1" xr:uid="{00000000-0005-0000-0000-00000E1E0000}"/>
    <cellStyle name="Explanatory Text 3" xfId="8601" hidden="1" xr:uid="{00000000-0005-0000-0000-00000F1E0000}"/>
    <cellStyle name="Explanatory Text 3" xfId="8634" hidden="1" xr:uid="{00000000-0005-0000-0000-0000101E0000}"/>
    <cellStyle name="Explanatory Text 3" xfId="8666" hidden="1" xr:uid="{00000000-0005-0000-0000-0000111E0000}"/>
    <cellStyle name="Explanatory Text 3" xfId="8699" hidden="1" xr:uid="{00000000-0005-0000-0000-0000121E0000}"/>
    <cellStyle name="Explanatory Text 3" xfId="8732" hidden="1" xr:uid="{00000000-0005-0000-0000-0000131E0000}"/>
    <cellStyle name="Explanatory Text 3" xfId="8765" hidden="1" xr:uid="{00000000-0005-0000-0000-0000141E0000}"/>
    <cellStyle name="Explanatory Text 3" xfId="8798" hidden="1" xr:uid="{00000000-0005-0000-0000-0000151E0000}"/>
    <cellStyle name="Explanatory Text 3" xfId="8831" hidden="1" xr:uid="{00000000-0005-0000-0000-0000161E0000}"/>
    <cellStyle name="Explanatory Text 3" xfId="8864" hidden="1" xr:uid="{00000000-0005-0000-0000-0000171E0000}"/>
    <cellStyle name="Explanatory Text 3" xfId="8904" hidden="1" xr:uid="{00000000-0005-0000-0000-0000181E0000}"/>
    <cellStyle name="Explanatory Text 3" xfId="8941" hidden="1" xr:uid="{00000000-0005-0000-0000-0000191E0000}"/>
    <cellStyle name="Explanatory Text 3" xfId="8974" hidden="1" xr:uid="{00000000-0005-0000-0000-00001A1E0000}"/>
    <cellStyle name="Explanatory Text 3" xfId="9006" hidden="1" xr:uid="{00000000-0005-0000-0000-00001B1E0000}"/>
    <cellStyle name="Explanatory Text 3" xfId="9038" hidden="1" xr:uid="{00000000-0005-0000-0000-00001C1E0000}"/>
    <cellStyle name="Explanatory Text 3" xfId="9071" hidden="1" xr:uid="{00000000-0005-0000-0000-00001D1E0000}"/>
    <cellStyle name="Explanatory Text 3" xfId="9103" hidden="1" xr:uid="{00000000-0005-0000-0000-00001E1E0000}"/>
    <cellStyle name="Explanatory Text 3" xfId="9136" hidden="1" xr:uid="{00000000-0005-0000-0000-00001F1E0000}"/>
    <cellStyle name="Explanatory Text 3" xfId="9168" hidden="1" xr:uid="{00000000-0005-0000-0000-0000201E0000}"/>
    <cellStyle name="Explanatory Text 3" xfId="9201" hidden="1" xr:uid="{00000000-0005-0000-0000-0000211E0000}"/>
    <cellStyle name="Explanatory Text 3" xfId="9234" hidden="1" xr:uid="{00000000-0005-0000-0000-0000221E0000}"/>
    <cellStyle name="Explanatory Text 3" xfId="9267" hidden="1" xr:uid="{00000000-0005-0000-0000-0000231E0000}"/>
    <cellStyle name="Explanatory Text 3" xfId="9300" hidden="1" xr:uid="{00000000-0005-0000-0000-0000241E0000}"/>
    <cellStyle name="Explanatory Text 3" xfId="9333" hidden="1" xr:uid="{00000000-0005-0000-0000-0000251E0000}"/>
    <cellStyle name="Explanatory Text 3" xfId="9366" hidden="1" xr:uid="{00000000-0005-0000-0000-0000261E0000}"/>
    <cellStyle name="Explanatory Text 3" xfId="9417" hidden="1" xr:uid="{00000000-0005-0000-0000-0000271E0000}"/>
    <cellStyle name="Explanatory Text 3" xfId="9454" hidden="1" xr:uid="{00000000-0005-0000-0000-0000281E0000}"/>
    <cellStyle name="Explanatory Text 3" xfId="9487" hidden="1" xr:uid="{00000000-0005-0000-0000-0000291E0000}"/>
    <cellStyle name="Explanatory Text 3" xfId="9519" hidden="1" xr:uid="{00000000-0005-0000-0000-00002A1E0000}"/>
    <cellStyle name="Explanatory Text 3" xfId="9551" hidden="1" xr:uid="{00000000-0005-0000-0000-00002B1E0000}"/>
    <cellStyle name="Explanatory Text 3" xfId="9584" hidden="1" xr:uid="{00000000-0005-0000-0000-00002C1E0000}"/>
    <cellStyle name="Explanatory Text 3" xfId="9616" hidden="1" xr:uid="{00000000-0005-0000-0000-00002D1E0000}"/>
    <cellStyle name="Explanatory Text 3" xfId="9649" hidden="1" xr:uid="{00000000-0005-0000-0000-00002E1E0000}"/>
    <cellStyle name="Explanatory Text 3" xfId="9681" hidden="1" xr:uid="{00000000-0005-0000-0000-00002F1E0000}"/>
    <cellStyle name="Explanatory Text 3" xfId="9714" hidden="1" xr:uid="{00000000-0005-0000-0000-0000301E0000}"/>
    <cellStyle name="Explanatory Text 3" xfId="9747" hidden="1" xr:uid="{00000000-0005-0000-0000-0000311E0000}"/>
    <cellStyle name="Explanatory Text 3" xfId="9780" hidden="1" xr:uid="{00000000-0005-0000-0000-0000321E0000}"/>
    <cellStyle name="Explanatory Text 3" xfId="9813" hidden="1" xr:uid="{00000000-0005-0000-0000-0000331E0000}"/>
    <cellStyle name="Explanatory Text 3" xfId="9846" hidden="1" xr:uid="{00000000-0005-0000-0000-0000341E0000}"/>
    <cellStyle name="Explanatory Text 3" xfId="9384" hidden="1" xr:uid="{00000000-0005-0000-0000-0000351E0000}"/>
    <cellStyle name="Explanatory Text 3" xfId="9894" hidden="1" xr:uid="{00000000-0005-0000-0000-0000361E0000}"/>
    <cellStyle name="Explanatory Text 3" xfId="9931" hidden="1" xr:uid="{00000000-0005-0000-0000-0000371E0000}"/>
    <cellStyle name="Explanatory Text 3" xfId="9964" hidden="1" xr:uid="{00000000-0005-0000-0000-0000381E0000}"/>
    <cellStyle name="Explanatory Text 3" xfId="9996" hidden="1" xr:uid="{00000000-0005-0000-0000-0000391E0000}"/>
    <cellStyle name="Explanatory Text 3" xfId="10028" hidden="1" xr:uid="{00000000-0005-0000-0000-00003A1E0000}"/>
    <cellStyle name="Explanatory Text 3" xfId="10061" hidden="1" xr:uid="{00000000-0005-0000-0000-00003B1E0000}"/>
    <cellStyle name="Explanatory Text 3" xfId="10093" hidden="1" xr:uid="{00000000-0005-0000-0000-00003C1E0000}"/>
    <cellStyle name="Explanatory Text 3" xfId="10126" hidden="1" xr:uid="{00000000-0005-0000-0000-00003D1E0000}"/>
    <cellStyle name="Explanatory Text 3" xfId="10158" hidden="1" xr:uid="{00000000-0005-0000-0000-00003E1E0000}"/>
    <cellStyle name="Explanatory Text 3" xfId="10191" hidden="1" xr:uid="{00000000-0005-0000-0000-00003F1E0000}"/>
    <cellStyle name="Explanatory Text 3" xfId="10224" hidden="1" xr:uid="{00000000-0005-0000-0000-0000401E0000}"/>
    <cellStyle name="Explanatory Text 3" xfId="10257" hidden="1" xr:uid="{00000000-0005-0000-0000-0000411E0000}"/>
    <cellStyle name="Explanatory Text 3" xfId="10290" hidden="1" xr:uid="{00000000-0005-0000-0000-0000421E0000}"/>
    <cellStyle name="Explanatory Text 3" xfId="10323" hidden="1" xr:uid="{00000000-0005-0000-0000-0000431E0000}"/>
    <cellStyle name="Explanatory Text 3" xfId="8871" hidden="1" xr:uid="{00000000-0005-0000-0000-0000441E0000}"/>
    <cellStyle name="Explanatory Text 3" xfId="10382" hidden="1" xr:uid="{00000000-0005-0000-0000-0000451E0000}"/>
    <cellStyle name="Explanatory Text 3" xfId="10419" hidden="1" xr:uid="{00000000-0005-0000-0000-0000461E0000}"/>
    <cellStyle name="Explanatory Text 3" xfId="10452" hidden="1" xr:uid="{00000000-0005-0000-0000-0000471E0000}"/>
    <cellStyle name="Explanatory Text 3" xfId="10484" hidden="1" xr:uid="{00000000-0005-0000-0000-0000481E0000}"/>
    <cellStyle name="Explanatory Text 3" xfId="10516" hidden="1" xr:uid="{00000000-0005-0000-0000-0000491E0000}"/>
    <cellStyle name="Explanatory Text 3" xfId="10549" hidden="1" xr:uid="{00000000-0005-0000-0000-00004A1E0000}"/>
    <cellStyle name="Explanatory Text 3" xfId="10581" hidden="1" xr:uid="{00000000-0005-0000-0000-00004B1E0000}"/>
    <cellStyle name="Explanatory Text 3" xfId="10614" hidden="1" xr:uid="{00000000-0005-0000-0000-00004C1E0000}"/>
    <cellStyle name="Explanatory Text 3" xfId="10646" hidden="1" xr:uid="{00000000-0005-0000-0000-00004D1E0000}"/>
    <cellStyle name="Explanatory Text 3" xfId="10679" hidden="1" xr:uid="{00000000-0005-0000-0000-00004E1E0000}"/>
    <cellStyle name="Explanatory Text 3" xfId="10712" hidden="1" xr:uid="{00000000-0005-0000-0000-00004F1E0000}"/>
    <cellStyle name="Explanatory Text 3" xfId="10745" hidden="1" xr:uid="{00000000-0005-0000-0000-0000501E0000}"/>
    <cellStyle name="Explanatory Text 3" xfId="10778" hidden="1" xr:uid="{00000000-0005-0000-0000-0000511E0000}"/>
    <cellStyle name="Explanatory Text 3" xfId="10811" hidden="1" xr:uid="{00000000-0005-0000-0000-0000521E0000}"/>
    <cellStyle name="Explanatory Text 3" xfId="10844" hidden="1" xr:uid="{00000000-0005-0000-0000-0000531E0000}"/>
    <cellStyle name="Explanatory Text 3" xfId="10895" hidden="1" xr:uid="{00000000-0005-0000-0000-0000541E0000}"/>
    <cellStyle name="Explanatory Text 3" xfId="10932" hidden="1" xr:uid="{00000000-0005-0000-0000-0000551E0000}"/>
    <cellStyle name="Explanatory Text 3" xfId="10965" hidden="1" xr:uid="{00000000-0005-0000-0000-0000561E0000}"/>
    <cellStyle name="Explanatory Text 3" xfId="10997" hidden="1" xr:uid="{00000000-0005-0000-0000-0000571E0000}"/>
    <cellStyle name="Explanatory Text 3" xfId="11029" hidden="1" xr:uid="{00000000-0005-0000-0000-0000581E0000}"/>
    <cellStyle name="Explanatory Text 3" xfId="11062" hidden="1" xr:uid="{00000000-0005-0000-0000-0000591E0000}"/>
    <cellStyle name="Explanatory Text 3" xfId="11094" hidden="1" xr:uid="{00000000-0005-0000-0000-00005A1E0000}"/>
    <cellStyle name="Explanatory Text 3" xfId="11127" hidden="1" xr:uid="{00000000-0005-0000-0000-00005B1E0000}"/>
    <cellStyle name="Explanatory Text 3" xfId="11159" hidden="1" xr:uid="{00000000-0005-0000-0000-00005C1E0000}"/>
    <cellStyle name="Explanatory Text 3" xfId="11192" hidden="1" xr:uid="{00000000-0005-0000-0000-00005D1E0000}"/>
    <cellStyle name="Explanatory Text 3" xfId="11225" hidden="1" xr:uid="{00000000-0005-0000-0000-00005E1E0000}"/>
    <cellStyle name="Explanatory Text 3" xfId="11258" hidden="1" xr:uid="{00000000-0005-0000-0000-00005F1E0000}"/>
    <cellStyle name="Explanatory Text 3" xfId="11291" hidden="1" xr:uid="{00000000-0005-0000-0000-0000601E0000}"/>
    <cellStyle name="Explanatory Text 3" xfId="11324" hidden="1" xr:uid="{00000000-0005-0000-0000-0000611E0000}"/>
    <cellStyle name="Explanatory Text 3" xfId="10862" hidden="1" xr:uid="{00000000-0005-0000-0000-0000621E0000}"/>
    <cellStyle name="Explanatory Text 3" xfId="11372" hidden="1" xr:uid="{00000000-0005-0000-0000-0000631E0000}"/>
    <cellStyle name="Explanatory Text 3" xfId="11409" hidden="1" xr:uid="{00000000-0005-0000-0000-0000641E0000}"/>
    <cellStyle name="Explanatory Text 3" xfId="11442" hidden="1" xr:uid="{00000000-0005-0000-0000-0000651E0000}"/>
    <cellStyle name="Explanatory Text 3" xfId="11474" hidden="1" xr:uid="{00000000-0005-0000-0000-0000661E0000}"/>
    <cellStyle name="Explanatory Text 3" xfId="11506" hidden="1" xr:uid="{00000000-0005-0000-0000-0000671E0000}"/>
    <cellStyle name="Explanatory Text 3" xfId="11539" hidden="1" xr:uid="{00000000-0005-0000-0000-0000681E0000}"/>
    <cellStyle name="Explanatory Text 3" xfId="11571" hidden="1" xr:uid="{00000000-0005-0000-0000-0000691E0000}"/>
    <cellStyle name="Explanatory Text 3" xfId="11604" hidden="1" xr:uid="{00000000-0005-0000-0000-00006A1E0000}"/>
    <cellStyle name="Explanatory Text 3" xfId="11636" hidden="1" xr:uid="{00000000-0005-0000-0000-00006B1E0000}"/>
    <cellStyle name="Explanatory Text 3" xfId="11669" hidden="1" xr:uid="{00000000-0005-0000-0000-00006C1E0000}"/>
    <cellStyle name="Explanatory Text 3" xfId="11702" hidden="1" xr:uid="{00000000-0005-0000-0000-00006D1E0000}"/>
    <cellStyle name="Explanatory Text 3" xfId="11735" hidden="1" xr:uid="{00000000-0005-0000-0000-00006E1E0000}"/>
    <cellStyle name="Explanatory Text 3" xfId="11768" hidden="1" xr:uid="{00000000-0005-0000-0000-00006F1E0000}"/>
    <cellStyle name="Explanatory Text 3" xfId="11801" hidden="1" xr:uid="{00000000-0005-0000-0000-0000701E0000}"/>
    <cellStyle name="Explanatory Text 3" xfId="1721" xr:uid="{00000000-0005-0000-0000-0000711E0000}"/>
    <cellStyle name="Explanatory Text 3 2" xfId="1612" xr:uid="{00000000-0005-0000-0000-0000721E0000}"/>
    <cellStyle name="Explanatory Text 4" xfId="108" xr:uid="{00000000-0005-0000-0000-0000731E0000}"/>
    <cellStyle name="Figyelmeztetés" xfId="110" xr:uid="{00000000-0005-0000-0000-0000741E0000}"/>
    <cellStyle name="Good 2" xfId="111" xr:uid="{00000000-0005-0000-0000-0000751E0000}"/>
    <cellStyle name="Good 2 2" xfId="1613" xr:uid="{00000000-0005-0000-0000-0000761E0000}"/>
    <cellStyle name="Good 2 3" xfId="2739" xr:uid="{00000000-0005-0000-0000-0000771E0000}"/>
    <cellStyle name="Good 3" xfId="204" hidden="1" xr:uid="{00000000-0005-0000-0000-0000781E0000}"/>
    <cellStyle name="Good 3" xfId="254" hidden="1" xr:uid="{00000000-0005-0000-0000-0000791E0000}"/>
    <cellStyle name="Good 3" xfId="287" hidden="1" xr:uid="{00000000-0005-0000-0000-00007A1E0000}"/>
    <cellStyle name="Good 3" xfId="320" hidden="1" xr:uid="{00000000-0005-0000-0000-00007B1E0000}"/>
    <cellStyle name="Good 3" xfId="353" hidden="1" xr:uid="{00000000-0005-0000-0000-00007C1E0000}"/>
    <cellStyle name="Good 3" xfId="387" hidden="1" xr:uid="{00000000-0005-0000-0000-00007D1E0000}"/>
    <cellStyle name="Good 3" xfId="420" hidden="1" xr:uid="{00000000-0005-0000-0000-00007E1E0000}"/>
    <cellStyle name="Good 3" xfId="453" hidden="1" xr:uid="{00000000-0005-0000-0000-00007F1E0000}"/>
    <cellStyle name="Good 3" xfId="486" hidden="1" xr:uid="{00000000-0005-0000-0000-0000801E0000}"/>
    <cellStyle name="Good 3" xfId="519" hidden="1" xr:uid="{00000000-0005-0000-0000-0000811E0000}"/>
    <cellStyle name="Good 3" xfId="552" hidden="1" xr:uid="{00000000-0005-0000-0000-0000821E0000}"/>
    <cellStyle name="Good 3" xfId="585" hidden="1" xr:uid="{00000000-0005-0000-0000-0000831E0000}"/>
    <cellStyle name="Good 3" xfId="622" hidden="1" xr:uid="{00000000-0005-0000-0000-0000841E0000}"/>
    <cellStyle name="Good 3" xfId="655" hidden="1" xr:uid="{00000000-0005-0000-0000-0000851E0000}"/>
    <cellStyle name="Good 3" xfId="687" hidden="1" xr:uid="{00000000-0005-0000-0000-0000861E0000}"/>
    <cellStyle name="Good 3" xfId="719" hidden="1" xr:uid="{00000000-0005-0000-0000-0000871E0000}"/>
    <cellStyle name="Good 3" xfId="752" hidden="1" xr:uid="{00000000-0005-0000-0000-0000881E0000}"/>
    <cellStyle name="Good 3" xfId="784" hidden="1" xr:uid="{00000000-0005-0000-0000-0000891E0000}"/>
    <cellStyle name="Good 3" xfId="817" hidden="1" xr:uid="{00000000-0005-0000-0000-00008A1E0000}"/>
    <cellStyle name="Good 3" xfId="849" hidden="1" xr:uid="{00000000-0005-0000-0000-00008B1E0000}"/>
    <cellStyle name="Good 3" xfId="882" hidden="1" xr:uid="{00000000-0005-0000-0000-00008C1E0000}"/>
    <cellStyle name="Good 3" xfId="915" hidden="1" xr:uid="{00000000-0005-0000-0000-00008D1E0000}"/>
    <cellStyle name="Good 3" xfId="948" hidden="1" xr:uid="{00000000-0005-0000-0000-00008E1E0000}"/>
    <cellStyle name="Good 3" xfId="981" hidden="1" xr:uid="{00000000-0005-0000-0000-00008F1E0000}"/>
    <cellStyle name="Good 3" xfId="1014" hidden="1" xr:uid="{00000000-0005-0000-0000-0000901E0000}"/>
    <cellStyle name="Good 3" xfId="1047" hidden="1" xr:uid="{00000000-0005-0000-0000-0000911E0000}"/>
    <cellStyle name="Good 3" xfId="1090" hidden="1" xr:uid="{00000000-0005-0000-0000-0000921E0000}"/>
    <cellStyle name="Good 3" xfId="1128" hidden="1" xr:uid="{00000000-0005-0000-0000-0000931E0000}"/>
    <cellStyle name="Good 3" xfId="1161" hidden="1" xr:uid="{00000000-0005-0000-0000-0000941E0000}"/>
    <cellStyle name="Good 3" xfId="1193" hidden="1" xr:uid="{00000000-0005-0000-0000-0000951E0000}"/>
    <cellStyle name="Good 3" xfId="1225" hidden="1" xr:uid="{00000000-0005-0000-0000-0000961E0000}"/>
    <cellStyle name="Good 3" xfId="1258" hidden="1" xr:uid="{00000000-0005-0000-0000-0000971E0000}"/>
    <cellStyle name="Good 3" xfId="1290" hidden="1" xr:uid="{00000000-0005-0000-0000-0000981E0000}"/>
    <cellStyle name="Good 3" xfId="1323" hidden="1" xr:uid="{00000000-0005-0000-0000-0000991E0000}"/>
    <cellStyle name="Good 3" xfId="1355" hidden="1" xr:uid="{00000000-0005-0000-0000-00009A1E0000}"/>
    <cellStyle name="Good 3" xfId="1388" hidden="1" xr:uid="{00000000-0005-0000-0000-00009B1E0000}"/>
    <cellStyle name="Good 3" xfId="1421" hidden="1" xr:uid="{00000000-0005-0000-0000-00009C1E0000}"/>
    <cellStyle name="Good 3" xfId="1454" hidden="1" xr:uid="{00000000-0005-0000-0000-00009D1E0000}"/>
    <cellStyle name="Good 3" xfId="1487" hidden="1" xr:uid="{00000000-0005-0000-0000-00009E1E0000}"/>
    <cellStyle name="Good 3" xfId="1520" hidden="1" xr:uid="{00000000-0005-0000-0000-00009F1E0000}"/>
    <cellStyle name="Good 3" xfId="1553" hidden="1" xr:uid="{00000000-0005-0000-0000-0000A01E0000}"/>
    <cellStyle name="Good 3" xfId="1767" hidden="1" xr:uid="{00000000-0005-0000-0000-0000A11E0000}"/>
    <cellStyle name="Good 3" xfId="1804" hidden="1" xr:uid="{00000000-0005-0000-0000-0000A21E0000}"/>
    <cellStyle name="Good 3" xfId="1837" hidden="1" xr:uid="{00000000-0005-0000-0000-0000A31E0000}"/>
    <cellStyle name="Good 3" xfId="1869" hidden="1" xr:uid="{00000000-0005-0000-0000-0000A41E0000}"/>
    <cellStyle name="Good 3" xfId="1901" hidden="1" xr:uid="{00000000-0005-0000-0000-0000A51E0000}"/>
    <cellStyle name="Good 3" xfId="1934" hidden="1" xr:uid="{00000000-0005-0000-0000-0000A61E0000}"/>
    <cellStyle name="Good 3" xfId="1966" hidden="1" xr:uid="{00000000-0005-0000-0000-0000A71E0000}"/>
    <cellStyle name="Good 3" xfId="1999" hidden="1" xr:uid="{00000000-0005-0000-0000-0000A81E0000}"/>
    <cellStyle name="Good 3" xfId="2031" hidden="1" xr:uid="{00000000-0005-0000-0000-0000A91E0000}"/>
    <cellStyle name="Good 3" xfId="2064" hidden="1" xr:uid="{00000000-0005-0000-0000-0000AA1E0000}"/>
    <cellStyle name="Good 3" xfId="2097" hidden="1" xr:uid="{00000000-0005-0000-0000-0000AB1E0000}"/>
    <cellStyle name="Good 3" xfId="2130" hidden="1" xr:uid="{00000000-0005-0000-0000-0000AC1E0000}"/>
    <cellStyle name="Good 3" xfId="2163" hidden="1" xr:uid="{00000000-0005-0000-0000-0000AD1E0000}"/>
    <cellStyle name="Good 3" xfId="2196" hidden="1" xr:uid="{00000000-0005-0000-0000-0000AE1E0000}"/>
    <cellStyle name="Good 3" xfId="2227" hidden="1" xr:uid="{00000000-0005-0000-0000-0000AF1E0000}"/>
    <cellStyle name="Good 3" xfId="2244" hidden="1" xr:uid="{00000000-0005-0000-0000-0000B01E0000}"/>
    <cellStyle name="Good 3" xfId="2281" hidden="1" xr:uid="{00000000-0005-0000-0000-0000B11E0000}"/>
    <cellStyle name="Good 3" xfId="2314" hidden="1" xr:uid="{00000000-0005-0000-0000-0000B21E0000}"/>
    <cellStyle name="Good 3" xfId="2346" hidden="1" xr:uid="{00000000-0005-0000-0000-0000B31E0000}"/>
    <cellStyle name="Good 3" xfId="2378" hidden="1" xr:uid="{00000000-0005-0000-0000-0000B41E0000}"/>
    <cellStyle name="Good 3" xfId="2411" hidden="1" xr:uid="{00000000-0005-0000-0000-0000B51E0000}"/>
    <cellStyle name="Good 3" xfId="2443" hidden="1" xr:uid="{00000000-0005-0000-0000-0000B61E0000}"/>
    <cellStyle name="Good 3" xfId="2476" hidden="1" xr:uid="{00000000-0005-0000-0000-0000B71E0000}"/>
    <cellStyle name="Good 3" xfId="2508" hidden="1" xr:uid="{00000000-0005-0000-0000-0000B81E0000}"/>
    <cellStyle name="Good 3" xfId="2541" hidden="1" xr:uid="{00000000-0005-0000-0000-0000B91E0000}"/>
    <cellStyle name="Good 3" xfId="2574" hidden="1" xr:uid="{00000000-0005-0000-0000-0000BA1E0000}"/>
    <cellStyle name="Good 3" xfId="2607" hidden="1" xr:uid="{00000000-0005-0000-0000-0000BB1E0000}"/>
    <cellStyle name="Good 3" xfId="2640" hidden="1" xr:uid="{00000000-0005-0000-0000-0000BC1E0000}"/>
    <cellStyle name="Good 3" xfId="2673" hidden="1" xr:uid="{00000000-0005-0000-0000-0000BD1E0000}"/>
    <cellStyle name="Good 3" xfId="2704" hidden="1" xr:uid="{00000000-0005-0000-0000-0000BE1E0000}"/>
    <cellStyle name="Good 3" xfId="2787" hidden="1" xr:uid="{00000000-0005-0000-0000-0000BF1E0000}"/>
    <cellStyle name="Good 3" xfId="2824" hidden="1" xr:uid="{00000000-0005-0000-0000-0000C01E0000}"/>
    <cellStyle name="Good 3" xfId="2857" hidden="1" xr:uid="{00000000-0005-0000-0000-0000C11E0000}"/>
    <cellStyle name="Good 3" xfId="2889" hidden="1" xr:uid="{00000000-0005-0000-0000-0000C21E0000}"/>
    <cellStyle name="Good 3" xfId="2921" hidden="1" xr:uid="{00000000-0005-0000-0000-0000C31E0000}"/>
    <cellStyle name="Good 3" xfId="2954" hidden="1" xr:uid="{00000000-0005-0000-0000-0000C41E0000}"/>
    <cellStyle name="Good 3" xfId="2986" hidden="1" xr:uid="{00000000-0005-0000-0000-0000C51E0000}"/>
    <cellStyle name="Good 3" xfId="3019" hidden="1" xr:uid="{00000000-0005-0000-0000-0000C61E0000}"/>
    <cellStyle name="Good 3" xfId="3051" hidden="1" xr:uid="{00000000-0005-0000-0000-0000C71E0000}"/>
    <cellStyle name="Good 3" xfId="3084" hidden="1" xr:uid="{00000000-0005-0000-0000-0000C81E0000}"/>
    <cellStyle name="Good 3" xfId="3117" hidden="1" xr:uid="{00000000-0005-0000-0000-0000C91E0000}"/>
    <cellStyle name="Good 3" xfId="3150" hidden="1" xr:uid="{00000000-0005-0000-0000-0000CA1E0000}"/>
    <cellStyle name="Good 3" xfId="3183" hidden="1" xr:uid="{00000000-0005-0000-0000-0000CB1E0000}"/>
    <cellStyle name="Good 3" xfId="3216" hidden="1" xr:uid="{00000000-0005-0000-0000-0000CC1E0000}"/>
    <cellStyle name="Good 3" xfId="3249" hidden="1" xr:uid="{00000000-0005-0000-0000-0000CD1E0000}"/>
    <cellStyle name="Good 3" xfId="3300" hidden="1" xr:uid="{00000000-0005-0000-0000-0000CE1E0000}"/>
    <cellStyle name="Good 3" xfId="3337" hidden="1" xr:uid="{00000000-0005-0000-0000-0000CF1E0000}"/>
    <cellStyle name="Good 3" xfId="3370" hidden="1" xr:uid="{00000000-0005-0000-0000-0000D01E0000}"/>
    <cellStyle name="Good 3" xfId="3402" hidden="1" xr:uid="{00000000-0005-0000-0000-0000D11E0000}"/>
    <cellStyle name="Good 3" xfId="3434" hidden="1" xr:uid="{00000000-0005-0000-0000-0000D21E0000}"/>
    <cellStyle name="Good 3" xfId="3467" hidden="1" xr:uid="{00000000-0005-0000-0000-0000D31E0000}"/>
    <cellStyle name="Good 3" xfId="3499" hidden="1" xr:uid="{00000000-0005-0000-0000-0000D41E0000}"/>
    <cellStyle name="Good 3" xfId="3532" hidden="1" xr:uid="{00000000-0005-0000-0000-0000D51E0000}"/>
    <cellStyle name="Good 3" xfId="3564" hidden="1" xr:uid="{00000000-0005-0000-0000-0000D61E0000}"/>
    <cellStyle name="Good 3" xfId="3597" hidden="1" xr:uid="{00000000-0005-0000-0000-0000D71E0000}"/>
    <cellStyle name="Good 3" xfId="3630" hidden="1" xr:uid="{00000000-0005-0000-0000-0000D81E0000}"/>
    <cellStyle name="Good 3" xfId="3663" hidden="1" xr:uid="{00000000-0005-0000-0000-0000D91E0000}"/>
    <cellStyle name="Good 3" xfId="3696" hidden="1" xr:uid="{00000000-0005-0000-0000-0000DA1E0000}"/>
    <cellStyle name="Good 3" xfId="3729" hidden="1" xr:uid="{00000000-0005-0000-0000-0000DB1E0000}"/>
    <cellStyle name="Good 3" xfId="3760" hidden="1" xr:uid="{00000000-0005-0000-0000-0000DC1E0000}"/>
    <cellStyle name="Good 3" xfId="3777" hidden="1" xr:uid="{00000000-0005-0000-0000-0000DD1E0000}"/>
    <cellStyle name="Good 3" xfId="3814" hidden="1" xr:uid="{00000000-0005-0000-0000-0000DE1E0000}"/>
    <cellStyle name="Good 3" xfId="3847" hidden="1" xr:uid="{00000000-0005-0000-0000-0000DF1E0000}"/>
    <cellStyle name="Good 3" xfId="3879" hidden="1" xr:uid="{00000000-0005-0000-0000-0000E01E0000}"/>
    <cellStyle name="Good 3" xfId="3911" hidden="1" xr:uid="{00000000-0005-0000-0000-0000E11E0000}"/>
    <cellStyle name="Good 3" xfId="3944" hidden="1" xr:uid="{00000000-0005-0000-0000-0000E21E0000}"/>
    <cellStyle name="Good 3" xfId="3976" hidden="1" xr:uid="{00000000-0005-0000-0000-0000E31E0000}"/>
    <cellStyle name="Good 3" xfId="4009" hidden="1" xr:uid="{00000000-0005-0000-0000-0000E41E0000}"/>
    <cellStyle name="Good 3" xfId="4041" hidden="1" xr:uid="{00000000-0005-0000-0000-0000E51E0000}"/>
    <cellStyle name="Good 3" xfId="4074" hidden="1" xr:uid="{00000000-0005-0000-0000-0000E61E0000}"/>
    <cellStyle name="Good 3" xfId="4107" hidden="1" xr:uid="{00000000-0005-0000-0000-0000E71E0000}"/>
    <cellStyle name="Good 3" xfId="4140" hidden="1" xr:uid="{00000000-0005-0000-0000-0000E81E0000}"/>
    <cellStyle name="Good 3" xfId="4173" hidden="1" xr:uid="{00000000-0005-0000-0000-0000E91E0000}"/>
    <cellStyle name="Good 3" xfId="4206" hidden="1" xr:uid="{00000000-0005-0000-0000-0000EA1E0000}"/>
    <cellStyle name="Good 3" xfId="4237" hidden="1" xr:uid="{00000000-0005-0000-0000-0000EB1E0000}"/>
    <cellStyle name="Good 3" xfId="4406" hidden="1" xr:uid="{00000000-0005-0000-0000-0000EC1E0000}"/>
    <cellStyle name="Good 3" xfId="4439" hidden="1" xr:uid="{00000000-0005-0000-0000-0000ED1E0000}"/>
    <cellStyle name="Good 3" xfId="4472" hidden="1" xr:uid="{00000000-0005-0000-0000-0000EE1E0000}"/>
    <cellStyle name="Good 3" xfId="4505" hidden="1" xr:uid="{00000000-0005-0000-0000-0000EF1E0000}"/>
    <cellStyle name="Good 3" xfId="4538" hidden="1" xr:uid="{00000000-0005-0000-0000-0000F01E0000}"/>
    <cellStyle name="Good 3" xfId="4571" hidden="1" xr:uid="{00000000-0005-0000-0000-0000F11E0000}"/>
    <cellStyle name="Good 3" xfId="4604" hidden="1" xr:uid="{00000000-0005-0000-0000-0000F21E0000}"/>
    <cellStyle name="Good 3" xfId="4637" hidden="1" xr:uid="{00000000-0005-0000-0000-0000F31E0000}"/>
    <cellStyle name="Good 3" xfId="4670" hidden="1" xr:uid="{00000000-0005-0000-0000-0000F41E0000}"/>
    <cellStyle name="Good 3" xfId="4703" hidden="1" xr:uid="{00000000-0005-0000-0000-0000F51E0000}"/>
    <cellStyle name="Good 3" xfId="4736" hidden="1" xr:uid="{00000000-0005-0000-0000-0000F61E0000}"/>
    <cellStyle name="Good 3" xfId="4773" hidden="1" xr:uid="{00000000-0005-0000-0000-0000F71E0000}"/>
    <cellStyle name="Good 3" xfId="4806" hidden="1" xr:uid="{00000000-0005-0000-0000-0000F81E0000}"/>
    <cellStyle name="Good 3" xfId="4838" hidden="1" xr:uid="{00000000-0005-0000-0000-0000F91E0000}"/>
    <cellStyle name="Good 3" xfId="4870" hidden="1" xr:uid="{00000000-0005-0000-0000-0000FA1E0000}"/>
    <cellStyle name="Good 3" xfId="4903" hidden="1" xr:uid="{00000000-0005-0000-0000-0000FB1E0000}"/>
    <cellStyle name="Good 3" xfId="4935" hidden="1" xr:uid="{00000000-0005-0000-0000-0000FC1E0000}"/>
    <cellStyle name="Good 3" xfId="4968" hidden="1" xr:uid="{00000000-0005-0000-0000-0000FD1E0000}"/>
    <cellStyle name="Good 3" xfId="5000" hidden="1" xr:uid="{00000000-0005-0000-0000-0000FE1E0000}"/>
    <cellStyle name="Good 3" xfId="5033" hidden="1" xr:uid="{00000000-0005-0000-0000-0000FF1E0000}"/>
    <cellStyle name="Good 3" xfId="5066" hidden="1" xr:uid="{00000000-0005-0000-0000-0000001F0000}"/>
    <cellStyle name="Good 3" xfId="5099" hidden="1" xr:uid="{00000000-0005-0000-0000-0000011F0000}"/>
    <cellStyle name="Good 3" xfId="5132" hidden="1" xr:uid="{00000000-0005-0000-0000-0000021F0000}"/>
    <cellStyle name="Good 3" xfId="5165" hidden="1" xr:uid="{00000000-0005-0000-0000-0000031F0000}"/>
    <cellStyle name="Good 3" xfId="5198" hidden="1" xr:uid="{00000000-0005-0000-0000-0000041F0000}"/>
    <cellStyle name="Good 3" xfId="5239" hidden="1" xr:uid="{00000000-0005-0000-0000-0000051F0000}"/>
    <cellStyle name="Good 3" xfId="5276" hidden="1" xr:uid="{00000000-0005-0000-0000-0000061F0000}"/>
    <cellStyle name="Good 3" xfId="5309" hidden="1" xr:uid="{00000000-0005-0000-0000-0000071F0000}"/>
    <cellStyle name="Good 3" xfId="5341" hidden="1" xr:uid="{00000000-0005-0000-0000-0000081F0000}"/>
    <cellStyle name="Good 3" xfId="5373" hidden="1" xr:uid="{00000000-0005-0000-0000-0000091F0000}"/>
    <cellStyle name="Good 3" xfId="5406" hidden="1" xr:uid="{00000000-0005-0000-0000-00000A1F0000}"/>
    <cellStyle name="Good 3" xfId="5438" hidden="1" xr:uid="{00000000-0005-0000-0000-00000B1F0000}"/>
    <cellStyle name="Good 3" xfId="5471" hidden="1" xr:uid="{00000000-0005-0000-0000-00000C1F0000}"/>
    <cellStyle name="Good 3" xfId="5503" hidden="1" xr:uid="{00000000-0005-0000-0000-00000D1F0000}"/>
    <cellStyle name="Good 3" xfId="5536" hidden="1" xr:uid="{00000000-0005-0000-0000-00000E1F0000}"/>
    <cellStyle name="Good 3" xfId="5569" hidden="1" xr:uid="{00000000-0005-0000-0000-00000F1F0000}"/>
    <cellStyle name="Good 3" xfId="5602" hidden="1" xr:uid="{00000000-0005-0000-0000-0000101F0000}"/>
    <cellStyle name="Good 3" xfId="5635" hidden="1" xr:uid="{00000000-0005-0000-0000-0000111F0000}"/>
    <cellStyle name="Good 3" xfId="5668" hidden="1" xr:uid="{00000000-0005-0000-0000-0000121F0000}"/>
    <cellStyle name="Good 3" xfId="5701" hidden="1" xr:uid="{00000000-0005-0000-0000-0000131F0000}"/>
    <cellStyle name="Good 3" xfId="5805" hidden="1" xr:uid="{00000000-0005-0000-0000-0000141F0000}"/>
    <cellStyle name="Good 3" xfId="5842" hidden="1" xr:uid="{00000000-0005-0000-0000-0000151F0000}"/>
    <cellStyle name="Good 3" xfId="5875" hidden="1" xr:uid="{00000000-0005-0000-0000-0000161F0000}"/>
    <cellStyle name="Good 3" xfId="5907" hidden="1" xr:uid="{00000000-0005-0000-0000-0000171F0000}"/>
    <cellStyle name="Good 3" xfId="5939" hidden="1" xr:uid="{00000000-0005-0000-0000-0000181F0000}"/>
    <cellStyle name="Good 3" xfId="5972" hidden="1" xr:uid="{00000000-0005-0000-0000-0000191F0000}"/>
    <cellStyle name="Good 3" xfId="6004" hidden="1" xr:uid="{00000000-0005-0000-0000-00001A1F0000}"/>
    <cellStyle name="Good 3" xfId="6037" hidden="1" xr:uid="{00000000-0005-0000-0000-00001B1F0000}"/>
    <cellStyle name="Good 3" xfId="6069" hidden="1" xr:uid="{00000000-0005-0000-0000-00001C1F0000}"/>
    <cellStyle name="Good 3" xfId="6102" hidden="1" xr:uid="{00000000-0005-0000-0000-00001D1F0000}"/>
    <cellStyle name="Good 3" xfId="6135" hidden="1" xr:uid="{00000000-0005-0000-0000-00001E1F0000}"/>
    <cellStyle name="Good 3" xfId="6168" hidden="1" xr:uid="{00000000-0005-0000-0000-00001F1F0000}"/>
    <cellStyle name="Good 3" xfId="6201" hidden="1" xr:uid="{00000000-0005-0000-0000-0000201F0000}"/>
    <cellStyle name="Good 3" xfId="6234" hidden="1" xr:uid="{00000000-0005-0000-0000-0000211F0000}"/>
    <cellStyle name="Good 3" xfId="6265" hidden="1" xr:uid="{00000000-0005-0000-0000-0000221F0000}"/>
    <cellStyle name="Good 3" xfId="6282" hidden="1" xr:uid="{00000000-0005-0000-0000-0000231F0000}"/>
    <cellStyle name="Good 3" xfId="6319" hidden="1" xr:uid="{00000000-0005-0000-0000-0000241F0000}"/>
    <cellStyle name="Good 3" xfId="6352" hidden="1" xr:uid="{00000000-0005-0000-0000-0000251F0000}"/>
    <cellStyle name="Good 3" xfId="6384" hidden="1" xr:uid="{00000000-0005-0000-0000-0000261F0000}"/>
    <cellStyle name="Good 3" xfId="6416" hidden="1" xr:uid="{00000000-0005-0000-0000-0000271F0000}"/>
    <cellStyle name="Good 3" xfId="6449" hidden="1" xr:uid="{00000000-0005-0000-0000-0000281F0000}"/>
    <cellStyle name="Good 3" xfId="6481" hidden="1" xr:uid="{00000000-0005-0000-0000-0000291F0000}"/>
    <cellStyle name="Good 3" xfId="6514" hidden="1" xr:uid="{00000000-0005-0000-0000-00002A1F0000}"/>
    <cellStyle name="Good 3" xfId="6546" hidden="1" xr:uid="{00000000-0005-0000-0000-00002B1F0000}"/>
    <cellStyle name="Good 3" xfId="6579" hidden="1" xr:uid="{00000000-0005-0000-0000-00002C1F0000}"/>
    <cellStyle name="Good 3" xfId="6612" hidden="1" xr:uid="{00000000-0005-0000-0000-00002D1F0000}"/>
    <cellStyle name="Good 3" xfId="6645" hidden="1" xr:uid="{00000000-0005-0000-0000-00002E1F0000}"/>
    <cellStyle name="Good 3" xfId="6678" hidden="1" xr:uid="{00000000-0005-0000-0000-00002F1F0000}"/>
    <cellStyle name="Good 3" xfId="6711" hidden="1" xr:uid="{00000000-0005-0000-0000-0000301F0000}"/>
    <cellStyle name="Good 3" xfId="6742" hidden="1" xr:uid="{00000000-0005-0000-0000-0000311F0000}"/>
    <cellStyle name="Good 3" xfId="6801" hidden="1" xr:uid="{00000000-0005-0000-0000-0000321F0000}"/>
    <cellStyle name="Good 3" xfId="6838" hidden="1" xr:uid="{00000000-0005-0000-0000-0000331F0000}"/>
    <cellStyle name="Good 3" xfId="6871" hidden="1" xr:uid="{00000000-0005-0000-0000-0000341F0000}"/>
    <cellStyle name="Good 3" xfId="6903" hidden="1" xr:uid="{00000000-0005-0000-0000-0000351F0000}"/>
    <cellStyle name="Good 3" xfId="6935" hidden="1" xr:uid="{00000000-0005-0000-0000-0000361F0000}"/>
    <cellStyle name="Good 3" xfId="6968" hidden="1" xr:uid="{00000000-0005-0000-0000-0000371F0000}"/>
    <cellStyle name="Good 3" xfId="7000" hidden="1" xr:uid="{00000000-0005-0000-0000-0000381F0000}"/>
    <cellStyle name="Good 3" xfId="7033" hidden="1" xr:uid="{00000000-0005-0000-0000-0000391F0000}"/>
    <cellStyle name="Good 3" xfId="7065" hidden="1" xr:uid="{00000000-0005-0000-0000-00003A1F0000}"/>
    <cellStyle name="Good 3" xfId="7098" hidden="1" xr:uid="{00000000-0005-0000-0000-00003B1F0000}"/>
    <cellStyle name="Good 3" xfId="7131" hidden="1" xr:uid="{00000000-0005-0000-0000-00003C1F0000}"/>
    <cellStyle name="Good 3" xfId="7164" hidden="1" xr:uid="{00000000-0005-0000-0000-00003D1F0000}"/>
    <cellStyle name="Good 3" xfId="7197" hidden="1" xr:uid="{00000000-0005-0000-0000-00003E1F0000}"/>
    <cellStyle name="Good 3" xfId="7230" hidden="1" xr:uid="{00000000-0005-0000-0000-00003F1F0000}"/>
    <cellStyle name="Good 3" xfId="7263" hidden="1" xr:uid="{00000000-0005-0000-0000-0000401F0000}"/>
    <cellStyle name="Good 3" xfId="7314" hidden="1" xr:uid="{00000000-0005-0000-0000-0000411F0000}"/>
    <cellStyle name="Good 3" xfId="7351" hidden="1" xr:uid="{00000000-0005-0000-0000-0000421F0000}"/>
    <cellStyle name="Good 3" xfId="7384" hidden="1" xr:uid="{00000000-0005-0000-0000-0000431F0000}"/>
    <cellStyle name="Good 3" xfId="7416" hidden="1" xr:uid="{00000000-0005-0000-0000-0000441F0000}"/>
    <cellStyle name="Good 3" xfId="7448" hidden="1" xr:uid="{00000000-0005-0000-0000-0000451F0000}"/>
    <cellStyle name="Good 3" xfId="7481" hidden="1" xr:uid="{00000000-0005-0000-0000-0000461F0000}"/>
    <cellStyle name="Good 3" xfId="7513" hidden="1" xr:uid="{00000000-0005-0000-0000-0000471F0000}"/>
    <cellStyle name="Good 3" xfId="7546" hidden="1" xr:uid="{00000000-0005-0000-0000-0000481F0000}"/>
    <cellStyle name="Good 3" xfId="7578" hidden="1" xr:uid="{00000000-0005-0000-0000-0000491F0000}"/>
    <cellStyle name="Good 3" xfId="7611" hidden="1" xr:uid="{00000000-0005-0000-0000-00004A1F0000}"/>
    <cellStyle name="Good 3" xfId="7644" hidden="1" xr:uid="{00000000-0005-0000-0000-00004B1F0000}"/>
    <cellStyle name="Good 3" xfId="7677" hidden="1" xr:uid="{00000000-0005-0000-0000-00004C1F0000}"/>
    <cellStyle name="Good 3" xfId="7710" hidden="1" xr:uid="{00000000-0005-0000-0000-00004D1F0000}"/>
    <cellStyle name="Good 3" xfId="7743" hidden="1" xr:uid="{00000000-0005-0000-0000-00004E1F0000}"/>
    <cellStyle name="Good 3" xfId="7774" hidden="1" xr:uid="{00000000-0005-0000-0000-00004F1F0000}"/>
    <cellStyle name="Good 3" xfId="7791" hidden="1" xr:uid="{00000000-0005-0000-0000-0000501F0000}"/>
    <cellStyle name="Good 3" xfId="7828" hidden="1" xr:uid="{00000000-0005-0000-0000-0000511F0000}"/>
    <cellStyle name="Good 3" xfId="7861" hidden="1" xr:uid="{00000000-0005-0000-0000-0000521F0000}"/>
    <cellStyle name="Good 3" xfId="7893" hidden="1" xr:uid="{00000000-0005-0000-0000-0000531F0000}"/>
    <cellStyle name="Good 3" xfId="7925" hidden="1" xr:uid="{00000000-0005-0000-0000-0000541F0000}"/>
    <cellStyle name="Good 3" xfId="7958" hidden="1" xr:uid="{00000000-0005-0000-0000-0000551F0000}"/>
    <cellStyle name="Good 3" xfId="7990" hidden="1" xr:uid="{00000000-0005-0000-0000-0000561F0000}"/>
    <cellStyle name="Good 3" xfId="8023" hidden="1" xr:uid="{00000000-0005-0000-0000-0000571F0000}"/>
    <cellStyle name="Good 3" xfId="8055" hidden="1" xr:uid="{00000000-0005-0000-0000-0000581F0000}"/>
    <cellStyle name="Good 3" xfId="8088" hidden="1" xr:uid="{00000000-0005-0000-0000-0000591F0000}"/>
    <cellStyle name="Good 3" xfId="8121" hidden="1" xr:uid="{00000000-0005-0000-0000-00005A1F0000}"/>
    <cellStyle name="Good 3" xfId="8154" hidden="1" xr:uid="{00000000-0005-0000-0000-00005B1F0000}"/>
    <cellStyle name="Good 3" xfId="8187" hidden="1" xr:uid="{00000000-0005-0000-0000-00005C1F0000}"/>
    <cellStyle name="Good 3" xfId="8220" hidden="1" xr:uid="{00000000-0005-0000-0000-00005D1F0000}"/>
    <cellStyle name="Good 3" xfId="8251" hidden="1" xr:uid="{00000000-0005-0000-0000-00005E1F0000}"/>
    <cellStyle name="Good 3" xfId="4340" hidden="1" xr:uid="{00000000-0005-0000-0000-00005F1F0000}"/>
    <cellStyle name="Good 3" xfId="4328" hidden="1" xr:uid="{00000000-0005-0000-0000-0000601F0000}"/>
    <cellStyle name="Good 3" xfId="4313" hidden="1" xr:uid="{00000000-0005-0000-0000-0000611F0000}"/>
    <cellStyle name="Good 3" xfId="4382" hidden="1" xr:uid="{00000000-0005-0000-0000-0000621F0000}"/>
    <cellStyle name="Good 3" xfId="4280" hidden="1" xr:uid="{00000000-0005-0000-0000-0000631F0000}"/>
    <cellStyle name="Good 3" xfId="4262" hidden="1" xr:uid="{00000000-0005-0000-0000-0000641F0000}"/>
    <cellStyle name="Good 3" xfId="8265" hidden="1" xr:uid="{00000000-0005-0000-0000-0000651F0000}"/>
    <cellStyle name="Good 3" xfId="8298" hidden="1" xr:uid="{00000000-0005-0000-0000-0000661F0000}"/>
    <cellStyle name="Good 3" xfId="8331" hidden="1" xr:uid="{00000000-0005-0000-0000-0000671F0000}"/>
    <cellStyle name="Good 3" xfId="8364" hidden="1" xr:uid="{00000000-0005-0000-0000-0000681F0000}"/>
    <cellStyle name="Good 3" xfId="8397" hidden="1" xr:uid="{00000000-0005-0000-0000-0000691F0000}"/>
    <cellStyle name="Good 3" xfId="8434" hidden="1" xr:uid="{00000000-0005-0000-0000-00006A1F0000}"/>
    <cellStyle name="Good 3" xfId="8467" hidden="1" xr:uid="{00000000-0005-0000-0000-00006B1F0000}"/>
    <cellStyle name="Good 3" xfId="8499" hidden="1" xr:uid="{00000000-0005-0000-0000-00006C1F0000}"/>
    <cellStyle name="Good 3" xfId="8531" hidden="1" xr:uid="{00000000-0005-0000-0000-00006D1F0000}"/>
    <cellStyle name="Good 3" xfId="8564" hidden="1" xr:uid="{00000000-0005-0000-0000-00006E1F0000}"/>
    <cellStyle name="Good 3" xfId="8596" hidden="1" xr:uid="{00000000-0005-0000-0000-00006F1F0000}"/>
    <cellStyle name="Good 3" xfId="8629" hidden="1" xr:uid="{00000000-0005-0000-0000-0000701F0000}"/>
    <cellStyle name="Good 3" xfId="8661" hidden="1" xr:uid="{00000000-0005-0000-0000-0000711F0000}"/>
    <cellStyle name="Good 3" xfId="8694" hidden="1" xr:uid="{00000000-0005-0000-0000-0000721F0000}"/>
    <cellStyle name="Good 3" xfId="8727" hidden="1" xr:uid="{00000000-0005-0000-0000-0000731F0000}"/>
    <cellStyle name="Good 3" xfId="8760" hidden="1" xr:uid="{00000000-0005-0000-0000-0000741F0000}"/>
    <cellStyle name="Good 3" xfId="8793" hidden="1" xr:uid="{00000000-0005-0000-0000-0000751F0000}"/>
    <cellStyle name="Good 3" xfId="8826" hidden="1" xr:uid="{00000000-0005-0000-0000-0000761F0000}"/>
    <cellStyle name="Good 3" xfId="8859" hidden="1" xr:uid="{00000000-0005-0000-0000-0000771F0000}"/>
    <cellStyle name="Good 3" xfId="8899" hidden="1" xr:uid="{00000000-0005-0000-0000-0000781F0000}"/>
    <cellStyle name="Good 3" xfId="8936" hidden="1" xr:uid="{00000000-0005-0000-0000-0000791F0000}"/>
    <cellStyle name="Good 3" xfId="8969" hidden="1" xr:uid="{00000000-0005-0000-0000-00007A1F0000}"/>
    <cellStyle name="Good 3" xfId="9001" hidden="1" xr:uid="{00000000-0005-0000-0000-00007B1F0000}"/>
    <cellStyle name="Good 3" xfId="9033" hidden="1" xr:uid="{00000000-0005-0000-0000-00007C1F0000}"/>
    <cellStyle name="Good 3" xfId="9066" hidden="1" xr:uid="{00000000-0005-0000-0000-00007D1F0000}"/>
    <cellStyle name="Good 3" xfId="9098" hidden="1" xr:uid="{00000000-0005-0000-0000-00007E1F0000}"/>
    <cellStyle name="Good 3" xfId="9131" hidden="1" xr:uid="{00000000-0005-0000-0000-00007F1F0000}"/>
    <cellStyle name="Good 3" xfId="9163" hidden="1" xr:uid="{00000000-0005-0000-0000-0000801F0000}"/>
    <cellStyle name="Good 3" xfId="9196" hidden="1" xr:uid="{00000000-0005-0000-0000-0000811F0000}"/>
    <cellStyle name="Good 3" xfId="9229" hidden="1" xr:uid="{00000000-0005-0000-0000-0000821F0000}"/>
    <cellStyle name="Good 3" xfId="9262" hidden="1" xr:uid="{00000000-0005-0000-0000-0000831F0000}"/>
    <cellStyle name="Good 3" xfId="9295" hidden="1" xr:uid="{00000000-0005-0000-0000-0000841F0000}"/>
    <cellStyle name="Good 3" xfId="9328" hidden="1" xr:uid="{00000000-0005-0000-0000-0000851F0000}"/>
    <cellStyle name="Good 3" xfId="9361" hidden="1" xr:uid="{00000000-0005-0000-0000-0000861F0000}"/>
    <cellStyle name="Good 3" xfId="9412" hidden="1" xr:uid="{00000000-0005-0000-0000-0000871F0000}"/>
    <cellStyle name="Good 3" xfId="9449" hidden="1" xr:uid="{00000000-0005-0000-0000-0000881F0000}"/>
    <cellStyle name="Good 3" xfId="9482" hidden="1" xr:uid="{00000000-0005-0000-0000-0000891F0000}"/>
    <cellStyle name="Good 3" xfId="9514" hidden="1" xr:uid="{00000000-0005-0000-0000-00008A1F0000}"/>
    <cellStyle name="Good 3" xfId="9546" hidden="1" xr:uid="{00000000-0005-0000-0000-00008B1F0000}"/>
    <cellStyle name="Good 3" xfId="9579" hidden="1" xr:uid="{00000000-0005-0000-0000-00008C1F0000}"/>
    <cellStyle name="Good 3" xfId="9611" hidden="1" xr:uid="{00000000-0005-0000-0000-00008D1F0000}"/>
    <cellStyle name="Good 3" xfId="9644" hidden="1" xr:uid="{00000000-0005-0000-0000-00008E1F0000}"/>
    <cellStyle name="Good 3" xfId="9676" hidden="1" xr:uid="{00000000-0005-0000-0000-00008F1F0000}"/>
    <cellStyle name="Good 3" xfId="9709" hidden="1" xr:uid="{00000000-0005-0000-0000-0000901F0000}"/>
    <cellStyle name="Good 3" xfId="9742" hidden="1" xr:uid="{00000000-0005-0000-0000-0000911F0000}"/>
    <cellStyle name="Good 3" xfId="9775" hidden="1" xr:uid="{00000000-0005-0000-0000-0000921F0000}"/>
    <cellStyle name="Good 3" xfId="9808" hidden="1" xr:uid="{00000000-0005-0000-0000-0000931F0000}"/>
    <cellStyle name="Good 3" xfId="9841" hidden="1" xr:uid="{00000000-0005-0000-0000-0000941F0000}"/>
    <cellStyle name="Good 3" xfId="9872" hidden="1" xr:uid="{00000000-0005-0000-0000-0000951F0000}"/>
    <cellStyle name="Good 3" xfId="9889" hidden="1" xr:uid="{00000000-0005-0000-0000-0000961F0000}"/>
    <cellStyle name="Good 3" xfId="9926" hidden="1" xr:uid="{00000000-0005-0000-0000-0000971F0000}"/>
    <cellStyle name="Good 3" xfId="9959" hidden="1" xr:uid="{00000000-0005-0000-0000-0000981F0000}"/>
    <cellStyle name="Good 3" xfId="9991" hidden="1" xr:uid="{00000000-0005-0000-0000-0000991F0000}"/>
    <cellStyle name="Good 3" xfId="10023" hidden="1" xr:uid="{00000000-0005-0000-0000-00009A1F0000}"/>
    <cellStyle name="Good 3" xfId="10056" hidden="1" xr:uid="{00000000-0005-0000-0000-00009B1F0000}"/>
    <cellStyle name="Good 3" xfId="10088" hidden="1" xr:uid="{00000000-0005-0000-0000-00009C1F0000}"/>
    <cellStyle name="Good 3" xfId="10121" hidden="1" xr:uid="{00000000-0005-0000-0000-00009D1F0000}"/>
    <cellStyle name="Good 3" xfId="10153" hidden="1" xr:uid="{00000000-0005-0000-0000-00009E1F0000}"/>
    <cellStyle name="Good 3" xfId="10186" hidden="1" xr:uid="{00000000-0005-0000-0000-00009F1F0000}"/>
    <cellStyle name="Good 3" xfId="10219" hidden="1" xr:uid="{00000000-0005-0000-0000-0000A01F0000}"/>
    <cellStyle name="Good 3" xfId="10252" hidden="1" xr:uid="{00000000-0005-0000-0000-0000A11F0000}"/>
    <cellStyle name="Good 3" xfId="10285" hidden="1" xr:uid="{00000000-0005-0000-0000-0000A21F0000}"/>
    <cellStyle name="Good 3" xfId="10318" hidden="1" xr:uid="{00000000-0005-0000-0000-0000A31F0000}"/>
    <cellStyle name="Good 3" xfId="10349" hidden="1" xr:uid="{00000000-0005-0000-0000-0000A41F0000}"/>
    <cellStyle name="Good 3" xfId="10377" hidden="1" xr:uid="{00000000-0005-0000-0000-0000A51F0000}"/>
    <cellStyle name="Good 3" xfId="10414" hidden="1" xr:uid="{00000000-0005-0000-0000-0000A61F0000}"/>
    <cellStyle name="Good 3" xfId="10447" hidden="1" xr:uid="{00000000-0005-0000-0000-0000A71F0000}"/>
    <cellStyle name="Good 3" xfId="10479" hidden="1" xr:uid="{00000000-0005-0000-0000-0000A81F0000}"/>
    <cellStyle name="Good 3" xfId="10511" hidden="1" xr:uid="{00000000-0005-0000-0000-0000A91F0000}"/>
    <cellStyle name="Good 3" xfId="10544" hidden="1" xr:uid="{00000000-0005-0000-0000-0000AA1F0000}"/>
    <cellStyle name="Good 3" xfId="10576" hidden="1" xr:uid="{00000000-0005-0000-0000-0000AB1F0000}"/>
    <cellStyle name="Good 3" xfId="10609" hidden="1" xr:uid="{00000000-0005-0000-0000-0000AC1F0000}"/>
    <cellStyle name="Good 3" xfId="10641" hidden="1" xr:uid="{00000000-0005-0000-0000-0000AD1F0000}"/>
    <cellStyle name="Good 3" xfId="10674" hidden="1" xr:uid="{00000000-0005-0000-0000-0000AE1F0000}"/>
    <cellStyle name="Good 3" xfId="10707" hidden="1" xr:uid="{00000000-0005-0000-0000-0000AF1F0000}"/>
    <cellStyle name="Good 3" xfId="10740" hidden="1" xr:uid="{00000000-0005-0000-0000-0000B01F0000}"/>
    <cellStyle name="Good 3" xfId="10773" hidden="1" xr:uid="{00000000-0005-0000-0000-0000B11F0000}"/>
    <cellStyle name="Good 3" xfId="10806" hidden="1" xr:uid="{00000000-0005-0000-0000-0000B21F0000}"/>
    <cellStyle name="Good 3" xfId="10839" hidden="1" xr:uid="{00000000-0005-0000-0000-0000B31F0000}"/>
    <cellStyle name="Good 3" xfId="10890" hidden="1" xr:uid="{00000000-0005-0000-0000-0000B41F0000}"/>
    <cellStyle name="Good 3" xfId="10927" hidden="1" xr:uid="{00000000-0005-0000-0000-0000B51F0000}"/>
    <cellStyle name="Good 3" xfId="10960" hidden="1" xr:uid="{00000000-0005-0000-0000-0000B61F0000}"/>
    <cellStyle name="Good 3" xfId="10992" hidden="1" xr:uid="{00000000-0005-0000-0000-0000B71F0000}"/>
    <cellStyle name="Good 3" xfId="11024" hidden="1" xr:uid="{00000000-0005-0000-0000-0000B81F0000}"/>
    <cellStyle name="Good 3" xfId="11057" hidden="1" xr:uid="{00000000-0005-0000-0000-0000B91F0000}"/>
    <cellStyle name="Good 3" xfId="11089" hidden="1" xr:uid="{00000000-0005-0000-0000-0000BA1F0000}"/>
    <cellStyle name="Good 3" xfId="11122" hidden="1" xr:uid="{00000000-0005-0000-0000-0000BB1F0000}"/>
    <cellStyle name="Good 3" xfId="11154" hidden="1" xr:uid="{00000000-0005-0000-0000-0000BC1F0000}"/>
    <cellStyle name="Good 3" xfId="11187" hidden="1" xr:uid="{00000000-0005-0000-0000-0000BD1F0000}"/>
    <cellStyle name="Good 3" xfId="11220" hidden="1" xr:uid="{00000000-0005-0000-0000-0000BE1F0000}"/>
    <cellStyle name="Good 3" xfId="11253" hidden="1" xr:uid="{00000000-0005-0000-0000-0000BF1F0000}"/>
    <cellStyle name="Good 3" xfId="11286" hidden="1" xr:uid="{00000000-0005-0000-0000-0000C01F0000}"/>
    <cellStyle name="Good 3" xfId="11319" hidden="1" xr:uid="{00000000-0005-0000-0000-0000C11F0000}"/>
    <cellStyle name="Good 3" xfId="11350" hidden="1" xr:uid="{00000000-0005-0000-0000-0000C21F0000}"/>
    <cellStyle name="Good 3" xfId="11367" hidden="1" xr:uid="{00000000-0005-0000-0000-0000C31F0000}"/>
    <cellStyle name="Good 3" xfId="11404" hidden="1" xr:uid="{00000000-0005-0000-0000-0000C41F0000}"/>
    <cellStyle name="Good 3" xfId="11437" hidden="1" xr:uid="{00000000-0005-0000-0000-0000C51F0000}"/>
    <cellStyle name="Good 3" xfId="11469" hidden="1" xr:uid="{00000000-0005-0000-0000-0000C61F0000}"/>
    <cellStyle name="Good 3" xfId="11501" hidden="1" xr:uid="{00000000-0005-0000-0000-0000C71F0000}"/>
    <cellStyle name="Good 3" xfId="11534" hidden="1" xr:uid="{00000000-0005-0000-0000-0000C81F0000}"/>
    <cellStyle name="Good 3" xfId="11566" hidden="1" xr:uid="{00000000-0005-0000-0000-0000C91F0000}"/>
    <cellStyle name="Good 3" xfId="11599" hidden="1" xr:uid="{00000000-0005-0000-0000-0000CA1F0000}"/>
    <cellStyle name="Good 3" xfId="11631" hidden="1" xr:uid="{00000000-0005-0000-0000-0000CB1F0000}"/>
    <cellStyle name="Good 3" xfId="11664" hidden="1" xr:uid="{00000000-0005-0000-0000-0000CC1F0000}"/>
    <cellStyle name="Good 3" xfId="11697" hidden="1" xr:uid="{00000000-0005-0000-0000-0000CD1F0000}"/>
    <cellStyle name="Good 3" xfId="11730" hidden="1" xr:uid="{00000000-0005-0000-0000-0000CE1F0000}"/>
    <cellStyle name="Good 3" xfId="11763" hidden="1" xr:uid="{00000000-0005-0000-0000-0000CF1F0000}"/>
    <cellStyle name="Good 3" xfId="11796" hidden="1" xr:uid="{00000000-0005-0000-0000-0000D01F0000}"/>
    <cellStyle name="Good 3" xfId="11827" xr:uid="{00000000-0005-0000-0000-0000D11F0000}"/>
    <cellStyle name="greyed" xfId="112" xr:uid="{00000000-0005-0000-0000-0000D21F0000}"/>
    <cellStyle name="Heading 1 2" xfId="113" xr:uid="{00000000-0005-0000-0000-0000D31F0000}"/>
    <cellStyle name="Heading 1 2 2" xfId="1614" xr:uid="{00000000-0005-0000-0000-0000D41F0000}"/>
    <cellStyle name="Heading 1 2 3" xfId="2740" xr:uid="{00000000-0005-0000-0000-0000D51F0000}"/>
    <cellStyle name="Heading 1 3" xfId="200" hidden="1" xr:uid="{00000000-0005-0000-0000-0000D61F0000}"/>
    <cellStyle name="Heading 1 3" xfId="257" hidden="1" xr:uid="{00000000-0005-0000-0000-0000D71F0000}"/>
    <cellStyle name="Heading 1 3" xfId="290" hidden="1" xr:uid="{00000000-0005-0000-0000-0000D81F0000}"/>
    <cellStyle name="Heading 1 3" xfId="323" hidden="1" xr:uid="{00000000-0005-0000-0000-0000D91F0000}"/>
    <cellStyle name="Heading 1 3" xfId="356" hidden="1" xr:uid="{00000000-0005-0000-0000-0000DA1F0000}"/>
    <cellStyle name="Heading 1 3" xfId="390" hidden="1" xr:uid="{00000000-0005-0000-0000-0000DB1F0000}"/>
    <cellStyle name="Heading 1 3" xfId="423" hidden="1" xr:uid="{00000000-0005-0000-0000-0000DC1F0000}"/>
    <cellStyle name="Heading 1 3" xfId="456" hidden="1" xr:uid="{00000000-0005-0000-0000-0000DD1F0000}"/>
    <cellStyle name="Heading 1 3" xfId="489" hidden="1" xr:uid="{00000000-0005-0000-0000-0000DE1F0000}"/>
    <cellStyle name="Heading 1 3" xfId="522" hidden="1" xr:uid="{00000000-0005-0000-0000-0000DF1F0000}"/>
    <cellStyle name="Heading 1 3" xfId="555" hidden="1" xr:uid="{00000000-0005-0000-0000-0000E01F0000}"/>
    <cellStyle name="Heading 1 3" xfId="588" hidden="1" xr:uid="{00000000-0005-0000-0000-0000E11F0000}"/>
    <cellStyle name="Heading 1 3" xfId="625" hidden="1" xr:uid="{00000000-0005-0000-0000-0000E21F0000}"/>
    <cellStyle name="Heading 1 3" xfId="658" hidden="1" xr:uid="{00000000-0005-0000-0000-0000E31F0000}"/>
    <cellStyle name="Heading 1 3" xfId="690" hidden="1" xr:uid="{00000000-0005-0000-0000-0000E41F0000}"/>
    <cellStyle name="Heading 1 3" xfId="722" hidden="1" xr:uid="{00000000-0005-0000-0000-0000E51F0000}"/>
    <cellStyle name="Heading 1 3" xfId="755" hidden="1" xr:uid="{00000000-0005-0000-0000-0000E61F0000}"/>
    <cellStyle name="Heading 1 3" xfId="787" hidden="1" xr:uid="{00000000-0005-0000-0000-0000E71F0000}"/>
    <cellStyle name="Heading 1 3" xfId="820" hidden="1" xr:uid="{00000000-0005-0000-0000-0000E81F0000}"/>
    <cellStyle name="Heading 1 3" xfId="852" hidden="1" xr:uid="{00000000-0005-0000-0000-0000E91F0000}"/>
    <cellStyle name="Heading 1 3" xfId="885" hidden="1" xr:uid="{00000000-0005-0000-0000-0000EA1F0000}"/>
    <cellStyle name="Heading 1 3" xfId="918" hidden="1" xr:uid="{00000000-0005-0000-0000-0000EB1F0000}"/>
    <cellStyle name="Heading 1 3" xfId="951" hidden="1" xr:uid="{00000000-0005-0000-0000-0000EC1F0000}"/>
    <cellStyle name="Heading 1 3" xfId="984" hidden="1" xr:uid="{00000000-0005-0000-0000-0000ED1F0000}"/>
    <cellStyle name="Heading 1 3" xfId="1017" hidden="1" xr:uid="{00000000-0005-0000-0000-0000EE1F0000}"/>
    <cellStyle name="Heading 1 3" xfId="1050" hidden="1" xr:uid="{00000000-0005-0000-0000-0000EF1F0000}"/>
    <cellStyle name="Heading 1 3" xfId="1093" hidden="1" xr:uid="{00000000-0005-0000-0000-0000F01F0000}"/>
    <cellStyle name="Heading 1 3" xfId="1131" hidden="1" xr:uid="{00000000-0005-0000-0000-0000F11F0000}"/>
    <cellStyle name="Heading 1 3" xfId="1164" hidden="1" xr:uid="{00000000-0005-0000-0000-0000F21F0000}"/>
    <cellStyle name="Heading 1 3" xfId="1196" hidden="1" xr:uid="{00000000-0005-0000-0000-0000F31F0000}"/>
    <cellStyle name="Heading 1 3" xfId="1228" hidden="1" xr:uid="{00000000-0005-0000-0000-0000F41F0000}"/>
    <cellStyle name="Heading 1 3" xfId="1261" hidden="1" xr:uid="{00000000-0005-0000-0000-0000F51F0000}"/>
    <cellStyle name="Heading 1 3" xfId="1293" hidden="1" xr:uid="{00000000-0005-0000-0000-0000F61F0000}"/>
    <cellStyle name="Heading 1 3" xfId="1326" hidden="1" xr:uid="{00000000-0005-0000-0000-0000F71F0000}"/>
    <cellStyle name="Heading 1 3" xfId="1358" hidden="1" xr:uid="{00000000-0005-0000-0000-0000F81F0000}"/>
    <cellStyle name="Heading 1 3" xfId="1391" hidden="1" xr:uid="{00000000-0005-0000-0000-0000F91F0000}"/>
    <cellStyle name="Heading 1 3" xfId="1424" hidden="1" xr:uid="{00000000-0005-0000-0000-0000FA1F0000}"/>
    <cellStyle name="Heading 1 3" xfId="1457" hidden="1" xr:uid="{00000000-0005-0000-0000-0000FB1F0000}"/>
    <cellStyle name="Heading 1 3" xfId="1490" hidden="1" xr:uid="{00000000-0005-0000-0000-0000FC1F0000}"/>
    <cellStyle name="Heading 1 3" xfId="1523" hidden="1" xr:uid="{00000000-0005-0000-0000-0000FD1F0000}"/>
    <cellStyle name="Heading 1 3" xfId="1556" hidden="1" xr:uid="{00000000-0005-0000-0000-0000FE1F0000}"/>
    <cellStyle name="Heading 1 3" xfId="1770" hidden="1" xr:uid="{00000000-0005-0000-0000-0000FF1F0000}"/>
    <cellStyle name="Heading 1 3" xfId="1807" hidden="1" xr:uid="{00000000-0005-0000-0000-000000200000}"/>
    <cellStyle name="Heading 1 3" xfId="1840" hidden="1" xr:uid="{00000000-0005-0000-0000-000001200000}"/>
    <cellStyle name="Heading 1 3" xfId="1872" hidden="1" xr:uid="{00000000-0005-0000-0000-000002200000}"/>
    <cellStyle name="Heading 1 3" xfId="1904" hidden="1" xr:uid="{00000000-0005-0000-0000-000003200000}"/>
    <cellStyle name="Heading 1 3" xfId="1937" hidden="1" xr:uid="{00000000-0005-0000-0000-000004200000}"/>
    <cellStyle name="Heading 1 3" xfId="1969" hidden="1" xr:uid="{00000000-0005-0000-0000-000005200000}"/>
    <cellStyle name="Heading 1 3" xfId="2002" hidden="1" xr:uid="{00000000-0005-0000-0000-000006200000}"/>
    <cellStyle name="Heading 1 3" xfId="2034" hidden="1" xr:uid="{00000000-0005-0000-0000-000007200000}"/>
    <cellStyle name="Heading 1 3" xfId="2067" hidden="1" xr:uid="{00000000-0005-0000-0000-000008200000}"/>
    <cellStyle name="Heading 1 3" xfId="2100" hidden="1" xr:uid="{00000000-0005-0000-0000-000009200000}"/>
    <cellStyle name="Heading 1 3" xfId="2133" hidden="1" xr:uid="{00000000-0005-0000-0000-00000A200000}"/>
    <cellStyle name="Heading 1 3" xfId="2166" hidden="1" xr:uid="{00000000-0005-0000-0000-00000B200000}"/>
    <cellStyle name="Heading 1 3" xfId="2199" hidden="1" xr:uid="{00000000-0005-0000-0000-00000C200000}"/>
    <cellStyle name="Heading 1 3" xfId="1743" hidden="1" xr:uid="{00000000-0005-0000-0000-00000D200000}"/>
    <cellStyle name="Heading 1 3" xfId="2247" hidden="1" xr:uid="{00000000-0005-0000-0000-00000E200000}"/>
    <cellStyle name="Heading 1 3" xfId="2284" hidden="1" xr:uid="{00000000-0005-0000-0000-00000F200000}"/>
    <cellStyle name="Heading 1 3" xfId="2317" hidden="1" xr:uid="{00000000-0005-0000-0000-000010200000}"/>
    <cellStyle name="Heading 1 3" xfId="2349" hidden="1" xr:uid="{00000000-0005-0000-0000-000011200000}"/>
    <cellStyle name="Heading 1 3" xfId="2381" hidden="1" xr:uid="{00000000-0005-0000-0000-000012200000}"/>
    <cellStyle name="Heading 1 3" xfId="2414" hidden="1" xr:uid="{00000000-0005-0000-0000-000013200000}"/>
    <cellStyle name="Heading 1 3" xfId="2446" hidden="1" xr:uid="{00000000-0005-0000-0000-000014200000}"/>
    <cellStyle name="Heading 1 3" xfId="2479" hidden="1" xr:uid="{00000000-0005-0000-0000-000015200000}"/>
    <cellStyle name="Heading 1 3" xfId="2511" hidden="1" xr:uid="{00000000-0005-0000-0000-000016200000}"/>
    <cellStyle name="Heading 1 3" xfId="2544" hidden="1" xr:uid="{00000000-0005-0000-0000-000017200000}"/>
    <cellStyle name="Heading 1 3" xfId="2577" hidden="1" xr:uid="{00000000-0005-0000-0000-000018200000}"/>
    <cellStyle name="Heading 1 3" xfId="2610" hidden="1" xr:uid="{00000000-0005-0000-0000-000019200000}"/>
    <cellStyle name="Heading 1 3" xfId="2643" hidden="1" xr:uid="{00000000-0005-0000-0000-00001A200000}"/>
    <cellStyle name="Heading 1 3" xfId="2676" hidden="1" xr:uid="{00000000-0005-0000-0000-00001B200000}"/>
    <cellStyle name="Heading 1 3" xfId="1066" hidden="1" xr:uid="{00000000-0005-0000-0000-00001C200000}"/>
    <cellStyle name="Heading 1 3" xfId="2790" hidden="1" xr:uid="{00000000-0005-0000-0000-00001D200000}"/>
    <cellStyle name="Heading 1 3" xfId="2827" hidden="1" xr:uid="{00000000-0005-0000-0000-00001E200000}"/>
    <cellStyle name="Heading 1 3" xfId="2860" hidden="1" xr:uid="{00000000-0005-0000-0000-00001F200000}"/>
    <cellStyle name="Heading 1 3" xfId="2892" hidden="1" xr:uid="{00000000-0005-0000-0000-000020200000}"/>
    <cellStyle name="Heading 1 3" xfId="2924" hidden="1" xr:uid="{00000000-0005-0000-0000-000021200000}"/>
    <cellStyle name="Heading 1 3" xfId="2957" hidden="1" xr:uid="{00000000-0005-0000-0000-000022200000}"/>
    <cellStyle name="Heading 1 3" xfId="2989" hidden="1" xr:uid="{00000000-0005-0000-0000-000023200000}"/>
    <cellStyle name="Heading 1 3" xfId="3022" hidden="1" xr:uid="{00000000-0005-0000-0000-000024200000}"/>
    <cellStyle name="Heading 1 3" xfId="3054" hidden="1" xr:uid="{00000000-0005-0000-0000-000025200000}"/>
    <cellStyle name="Heading 1 3" xfId="3087" hidden="1" xr:uid="{00000000-0005-0000-0000-000026200000}"/>
    <cellStyle name="Heading 1 3" xfId="3120" hidden="1" xr:uid="{00000000-0005-0000-0000-000027200000}"/>
    <cellStyle name="Heading 1 3" xfId="3153" hidden="1" xr:uid="{00000000-0005-0000-0000-000028200000}"/>
    <cellStyle name="Heading 1 3" xfId="3186" hidden="1" xr:uid="{00000000-0005-0000-0000-000029200000}"/>
    <cellStyle name="Heading 1 3" xfId="3219" hidden="1" xr:uid="{00000000-0005-0000-0000-00002A200000}"/>
    <cellStyle name="Heading 1 3" xfId="3252" hidden="1" xr:uid="{00000000-0005-0000-0000-00002B200000}"/>
    <cellStyle name="Heading 1 3" xfId="3303" hidden="1" xr:uid="{00000000-0005-0000-0000-00002C200000}"/>
    <cellStyle name="Heading 1 3" xfId="3340" hidden="1" xr:uid="{00000000-0005-0000-0000-00002D200000}"/>
    <cellStyle name="Heading 1 3" xfId="3373" hidden="1" xr:uid="{00000000-0005-0000-0000-00002E200000}"/>
    <cellStyle name="Heading 1 3" xfId="3405" hidden="1" xr:uid="{00000000-0005-0000-0000-00002F200000}"/>
    <cellStyle name="Heading 1 3" xfId="3437" hidden="1" xr:uid="{00000000-0005-0000-0000-000030200000}"/>
    <cellStyle name="Heading 1 3" xfId="3470" hidden="1" xr:uid="{00000000-0005-0000-0000-000031200000}"/>
    <cellStyle name="Heading 1 3" xfId="3502" hidden="1" xr:uid="{00000000-0005-0000-0000-000032200000}"/>
    <cellStyle name="Heading 1 3" xfId="3535" hidden="1" xr:uid="{00000000-0005-0000-0000-000033200000}"/>
    <cellStyle name="Heading 1 3" xfId="3567" hidden="1" xr:uid="{00000000-0005-0000-0000-000034200000}"/>
    <cellStyle name="Heading 1 3" xfId="3600" hidden="1" xr:uid="{00000000-0005-0000-0000-000035200000}"/>
    <cellStyle name="Heading 1 3" xfId="3633" hidden="1" xr:uid="{00000000-0005-0000-0000-000036200000}"/>
    <cellStyle name="Heading 1 3" xfId="3666" hidden="1" xr:uid="{00000000-0005-0000-0000-000037200000}"/>
    <cellStyle name="Heading 1 3" xfId="3699" hidden="1" xr:uid="{00000000-0005-0000-0000-000038200000}"/>
    <cellStyle name="Heading 1 3" xfId="3732" hidden="1" xr:uid="{00000000-0005-0000-0000-000039200000}"/>
    <cellStyle name="Heading 1 3" xfId="3276" hidden="1" xr:uid="{00000000-0005-0000-0000-00003A200000}"/>
    <cellStyle name="Heading 1 3" xfId="3780" hidden="1" xr:uid="{00000000-0005-0000-0000-00003B200000}"/>
    <cellStyle name="Heading 1 3" xfId="3817" hidden="1" xr:uid="{00000000-0005-0000-0000-00003C200000}"/>
    <cellStyle name="Heading 1 3" xfId="3850" hidden="1" xr:uid="{00000000-0005-0000-0000-00003D200000}"/>
    <cellStyle name="Heading 1 3" xfId="3882" hidden="1" xr:uid="{00000000-0005-0000-0000-00003E200000}"/>
    <cellStyle name="Heading 1 3" xfId="3914" hidden="1" xr:uid="{00000000-0005-0000-0000-00003F200000}"/>
    <cellStyle name="Heading 1 3" xfId="3947" hidden="1" xr:uid="{00000000-0005-0000-0000-000040200000}"/>
    <cellStyle name="Heading 1 3" xfId="3979" hidden="1" xr:uid="{00000000-0005-0000-0000-000041200000}"/>
    <cellStyle name="Heading 1 3" xfId="4012" hidden="1" xr:uid="{00000000-0005-0000-0000-000042200000}"/>
    <cellStyle name="Heading 1 3" xfId="4044" hidden="1" xr:uid="{00000000-0005-0000-0000-000043200000}"/>
    <cellStyle name="Heading 1 3" xfId="4077" hidden="1" xr:uid="{00000000-0005-0000-0000-000044200000}"/>
    <cellStyle name="Heading 1 3" xfId="4110" hidden="1" xr:uid="{00000000-0005-0000-0000-000045200000}"/>
    <cellStyle name="Heading 1 3" xfId="4143" hidden="1" xr:uid="{00000000-0005-0000-0000-000046200000}"/>
    <cellStyle name="Heading 1 3" xfId="4176" hidden="1" xr:uid="{00000000-0005-0000-0000-000047200000}"/>
    <cellStyle name="Heading 1 3" xfId="4209" hidden="1" xr:uid="{00000000-0005-0000-0000-000048200000}"/>
    <cellStyle name="Heading 1 3" xfId="4356" hidden="1" xr:uid="{00000000-0005-0000-0000-000049200000}"/>
    <cellStyle name="Heading 1 3" xfId="4409" hidden="1" xr:uid="{00000000-0005-0000-0000-00004A200000}"/>
    <cellStyle name="Heading 1 3" xfId="4442" hidden="1" xr:uid="{00000000-0005-0000-0000-00004B200000}"/>
    <cellStyle name="Heading 1 3" xfId="4475" hidden="1" xr:uid="{00000000-0005-0000-0000-00004C200000}"/>
    <cellStyle name="Heading 1 3" xfId="4508" hidden="1" xr:uid="{00000000-0005-0000-0000-00004D200000}"/>
    <cellStyle name="Heading 1 3" xfId="4541" hidden="1" xr:uid="{00000000-0005-0000-0000-00004E200000}"/>
    <cellStyle name="Heading 1 3" xfId="4574" hidden="1" xr:uid="{00000000-0005-0000-0000-00004F200000}"/>
    <cellStyle name="Heading 1 3" xfId="4607" hidden="1" xr:uid="{00000000-0005-0000-0000-000050200000}"/>
    <cellStyle name="Heading 1 3" xfId="4640" hidden="1" xr:uid="{00000000-0005-0000-0000-000051200000}"/>
    <cellStyle name="Heading 1 3" xfId="4673" hidden="1" xr:uid="{00000000-0005-0000-0000-000052200000}"/>
    <cellStyle name="Heading 1 3" xfId="4706" hidden="1" xr:uid="{00000000-0005-0000-0000-000053200000}"/>
    <cellStyle name="Heading 1 3" xfId="4739" hidden="1" xr:uid="{00000000-0005-0000-0000-000054200000}"/>
    <cellStyle name="Heading 1 3" xfId="4776" hidden="1" xr:uid="{00000000-0005-0000-0000-000055200000}"/>
    <cellStyle name="Heading 1 3" xfId="4809" hidden="1" xr:uid="{00000000-0005-0000-0000-000056200000}"/>
    <cellStyle name="Heading 1 3" xfId="4841" hidden="1" xr:uid="{00000000-0005-0000-0000-000057200000}"/>
    <cellStyle name="Heading 1 3" xfId="4873" hidden="1" xr:uid="{00000000-0005-0000-0000-000058200000}"/>
    <cellStyle name="Heading 1 3" xfId="4906" hidden="1" xr:uid="{00000000-0005-0000-0000-000059200000}"/>
    <cellStyle name="Heading 1 3" xfId="4938" hidden="1" xr:uid="{00000000-0005-0000-0000-00005A200000}"/>
    <cellStyle name="Heading 1 3" xfId="4971" hidden="1" xr:uid="{00000000-0005-0000-0000-00005B200000}"/>
    <cellStyle name="Heading 1 3" xfId="5003" hidden="1" xr:uid="{00000000-0005-0000-0000-00005C200000}"/>
    <cellStyle name="Heading 1 3" xfId="5036" hidden="1" xr:uid="{00000000-0005-0000-0000-00005D200000}"/>
    <cellStyle name="Heading 1 3" xfId="5069" hidden="1" xr:uid="{00000000-0005-0000-0000-00005E200000}"/>
    <cellStyle name="Heading 1 3" xfId="5102" hidden="1" xr:uid="{00000000-0005-0000-0000-00005F200000}"/>
    <cellStyle name="Heading 1 3" xfId="5135" hidden="1" xr:uid="{00000000-0005-0000-0000-000060200000}"/>
    <cellStyle name="Heading 1 3" xfId="5168" hidden="1" xr:uid="{00000000-0005-0000-0000-000061200000}"/>
    <cellStyle name="Heading 1 3" xfId="5201" hidden="1" xr:uid="{00000000-0005-0000-0000-000062200000}"/>
    <cellStyle name="Heading 1 3" xfId="5242" hidden="1" xr:uid="{00000000-0005-0000-0000-000063200000}"/>
    <cellStyle name="Heading 1 3" xfId="5279" hidden="1" xr:uid="{00000000-0005-0000-0000-000064200000}"/>
    <cellStyle name="Heading 1 3" xfId="5312" hidden="1" xr:uid="{00000000-0005-0000-0000-000065200000}"/>
    <cellStyle name="Heading 1 3" xfId="5344" hidden="1" xr:uid="{00000000-0005-0000-0000-000066200000}"/>
    <cellStyle name="Heading 1 3" xfId="5376" hidden="1" xr:uid="{00000000-0005-0000-0000-000067200000}"/>
    <cellStyle name="Heading 1 3" xfId="5409" hidden="1" xr:uid="{00000000-0005-0000-0000-000068200000}"/>
    <cellStyle name="Heading 1 3" xfId="5441" hidden="1" xr:uid="{00000000-0005-0000-0000-000069200000}"/>
    <cellStyle name="Heading 1 3" xfId="5474" hidden="1" xr:uid="{00000000-0005-0000-0000-00006A200000}"/>
    <cellStyle name="Heading 1 3" xfId="5506" hidden="1" xr:uid="{00000000-0005-0000-0000-00006B200000}"/>
    <cellStyle name="Heading 1 3" xfId="5539" hidden="1" xr:uid="{00000000-0005-0000-0000-00006C200000}"/>
    <cellStyle name="Heading 1 3" xfId="5572" hidden="1" xr:uid="{00000000-0005-0000-0000-00006D200000}"/>
    <cellStyle name="Heading 1 3" xfId="5605" hidden="1" xr:uid="{00000000-0005-0000-0000-00006E200000}"/>
    <cellStyle name="Heading 1 3" xfId="5638" hidden="1" xr:uid="{00000000-0005-0000-0000-00006F200000}"/>
    <cellStyle name="Heading 1 3" xfId="5671" hidden="1" xr:uid="{00000000-0005-0000-0000-000070200000}"/>
    <cellStyle name="Heading 1 3" xfId="5704" hidden="1" xr:uid="{00000000-0005-0000-0000-000071200000}"/>
    <cellStyle name="Heading 1 3" xfId="5808" hidden="1" xr:uid="{00000000-0005-0000-0000-000072200000}"/>
    <cellStyle name="Heading 1 3" xfId="5845" hidden="1" xr:uid="{00000000-0005-0000-0000-000073200000}"/>
    <cellStyle name="Heading 1 3" xfId="5878" hidden="1" xr:uid="{00000000-0005-0000-0000-000074200000}"/>
    <cellStyle name="Heading 1 3" xfId="5910" hidden="1" xr:uid="{00000000-0005-0000-0000-000075200000}"/>
    <cellStyle name="Heading 1 3" xfId="5942" hidden="1" xr:uid="{00000000-0005-0000-0000-000076200000}"/>
    <cellStyle name="Heading 1 3" xfId="5975" hidden="1" xr:uid="{00000000-0005-0000-0000-000077200000}"/>
    <cellStyle name="Heading 1 3" xfId="6007" hidden="1" xr:uid="{00000000-0005-0000-0000-000078200000}"/>
    <cellStyle name="Heading 1 3" xfId="6040" hidden="1" xr:uid="{00000000-0005-0000-0000-000079200000}"/>
    <cellStyle name="Heading 1 3" xfId="6072" hidden="1" xr:uid="{00000000-0005-0000-0000-00007A200000}"/>
    <cellStyle name="Heading 1 3" xfId="6105" hidden="1" xr:uid="{00000000-0005-0000-0000-00007B200000}"/>
    <cellStyle name="Heading 1 3" xfId="6138" hidden="1" xr:uid="{00000000-0005-0000-0000-00007C200000}"/>
    <cellStyle name="Heading 1 3" xfId="6171" hidden="1" xr:uid="{00000000-0005-0000-0000-00007D200000}"/>
    <cellStyle name="Heading 1 3" xfId="6204" hidden="1" xr:uid="{00000000-0005-0000-0000-00007E200000}"/>
    <cellStyle name="Heading 1 3" xfId="6237" hidden="1" xr:uid="{00000000-0005-0000-0000-00007F200000}"/>
    <cellStyle name="Heading 1 3" xfId="5781" hidden="1" xr:uid="{00000000-0005-0000-0000-000080200000}"/>
    <cellStyle name="Heading 1 3" xfId="6285" hidden="1" xr:uid="{00000000-0005-0000-0000-000081200000}"/>
    <cellStyle name="Heading 1 3" xfId="6322" hidden="1" xr:uid="{00000000-0005-0000-0000-000082200000}"/>
    <cellStyle name="Heading 1 3" xfId="6355" hidden="1" xr:uid="{00000000-0005-0000-0000-000083200000}"/>
    <cellStyle name="Heading 1 3" xfId="6387" hidden="1" xr:uid="{00000000-0005-0000-0000-000084200000}"/>
    <cellStyle name="Heading 1 3" xfId="6419" hidden="1" xr:uid="{00000000-0005-0000-0000-000085200000}"/>
    <cellStyle name="Heading 1 3" xfId="6452" hidden="1" xr:uid="{00000000-0005-0000-0000-000086200000}"/>
    <cellStyle name="Heading 1 3" xfId="6484" hidden="1" xr:uid="{00000000-0005-0000-0000-000087200000}"/>
    <cellStyle name="Heading 1 3" xfId="6517" hidden="1" xr:uid="{00000000-0005-0000-0000-000088200000}"/>
    <cellStyle name="Heading 1 3" xfId="6549" hidden="1" xr:uid="{00000000-0005-0000-0000-000089200000}"/>
    <cellStyle name="Heading 1 3" xfId="6582" hidden="1" xr:uid="{00000000-0005-0000-0000-00008A200000}"/>
    <cellStyle name="Heading 1 3" xfId="6615" hidden="1" xr:uid="{00000000-0005-0000-0000-00008B200000}"/>
    <cellStyle name="Heading 1 3" xfId="6648" hidden="1" xr:uid="{00000000-0005-0000-0000-00008C200000}"/>
    <cellStyle name="Heading 1 3" xfId="6681" hidden="1" xr:uid="{00000000-0005-0000-0000-00008D200000}"/>
    <cellStyle name="Heading 1 3" xfId="6714" hidden="1" xr:uid="{00000000-0005-0000-0000-00008E200000}"/>
    <cellStyle name="Heading 1 3" xfId="5215" hidden="1" xr:uid="{00000000-0005-0000-0000-00008F200000}"/>
    <cellStyle name="Heading 1 3" xfId="6804" hidden="1" xr:uid="{00000000-0005-0000-0000-000090200000}"/>
    <cellStyle name="Heading 1 3" xfId="6841" hidden="1" xr:uid="{00000000-0005-0000-0000-000091200000}"/>
    <cellStyle name="Heading 1 3" xfId="6874" hidden="1" xr:uid="{00000000-0005-0000-0000-000092200000}"/>
    <cellStyle name="Heading 1 3" xfId="6906" hidden="1" xr:uid="{00000000-0005-0000-0000-000093200000}"/>
    <cellStyle name="Heading 1 3" xfId="6938" hidden="1" xr:uid="{00000000-0005-0000-0000-000094200000}"/>
    <cellStyle name="Heading 1 3" xfId="6971" hidden="1" xr:uid="{00000000-0005-0000-0000-000095200000}"/>
    <cellStyle name="Heading 1 3" xfId="7003" hidden="1" xr:uid="{00000000-0005-0000-0000-000096200000}"/>
    <cellStyle name="Heading 1 3" xfId="7036" hidden="1" xr:uid="{00000000-0005-0000-0000-000097200000}"/>
    <cellStyle name="Heading 1 3" xfId="7068" hidden="1" xr:uid="{00000000-0005-0000-0000-000098200000}"/>
    <cellStyle name="Heading 1 3" xfId="7101" hidden="1" xr:uid="{00000000-0005-0000-0000-000099200000}"/>
    <cellStyle name="Heading 1 3" xfId="7134" hidden="1" xr:uid="{00000000-0005-0000-0000-00009A200000}"/>
    <cellStyle name="Heading 1 3" xfId="7167" hidden="1" xr:uid="{00000000-0005-0000-0000-00009B200000}"/>
    <cellStyle name="Heading 1 3" xfId="7200" hidden="1" xr:uid="{00000000-0005-0000-0000-00009C200000}"/>
    <cellStyle name="Heading 1 3" xfId="7233" hidden="1" xr:uid="{00000000-0005-0000-0000-00009D200000}"/>
    <cellStyle name="Heading 1 3" xfId="7266" hidden="1" xr:uid="{00000000-0005-0000-0000-00009E200000}"/>
    <cellStyle name="Heading 1 3" xfId="7317" hidden="1" xr:uid="{00000000-0005-0000-0000-00009F200000}"/>
    <cellStyle name="Heading 1 3" xfId="7354" hidden="1" xr:uid="{00000000-0005-0000-0000-0000A0200000}"/>
    <cellStyle name="Heading 1 3" xfId="7387" hidden="1" xr:uid="{00000000-0005-0000-0000-0000A1200000}"/>
    <cellStyle name="Heading 1 3" xfId="7419" hidden="1" xr:uid="{00000000-0005-0000-0000-0000A2200000}"/>
    <cellStyle name="Heading 1 3" xfId="7451" hidden="1" xr:uid="{00000000-0005-0000-0000-0000A3200000}"/>
    <cellStyle name="Heading 1 3" xfId="7484" hidden="1" xr:uid="{00000000-0005-0000-0000-0000A4200000}"/>
    <cellStyle name="Heading 1 3" xfId="7516" hidden="1" xr:uid="{00000000-0005-0000-0000-0000A5200000}"/>
    <cellStyle name="Heading 1 3" xfId="7549" hidden="1" xr:uid="{00000000-0005-0000-0000-0000A6200000}"/>
    <cellStyle name="Heading 1 3" xfId="7581" hidden="1" xr:uid="{00000000-0005-0000-0000-0000A7200000}"/>
    <cellStyle name="Heading 1 3" xfId="7614" hidden="1" xr:uid="{00000000-0005-0000-0000-0000A8200000}"/>
    <cellStyle name="Heading 1 3" xfId="7647" hidden="1" xr:uid="{00000000-0005-0000-0000-0000A9200000}"/>
    <cellStyle name="Heading 1 3" xfId="7680" hidden="1" xr:uid="{00000000-0005-0000-0000-0000AA200000}"/>
    <cellStyle name="Heading 1 3" xfId="7713" hidden="1" xr:uid="{00000000-0005-0000-0000-0000AB200000}"/>
    <cellStyle name="Heading 1 3" xfId="7746" hidden="1" xr:uid="{00000000-0005-0000-0000-0000AC200000}"/>
    <cellStyle name="Heading 1 3" xfId="7290" hidden="1" xr:uid="{00000000-0005-0000-0000-0000AD200000}"/>
    <cellStyle name="Heading 1 3" xfId="7794" hidden="1" xr:uid="{00000000-0005-0000-0000-0000AE200000}"/>
    <cellStyle name="Heading 1 3" xfId="7831" hidden="1" xr:uid="{00000000-0005-0000-0000-0000AF200000}"/>
    <cellStyle name="Heading 1 3" xfId="7864" hidden="1" xr:uid="{00000000-0005-0000-0000-0000B0200000}"/>
    <cellStyle name="Heading 1 3" xfId="7896" hidden="1" xr:uid="{00000000-0005-0000-0000-0000B1200000}"/>
    <cellStyle name="Heading 1 3" xfId="7928" hidden="1" xr:uid="{00000000-0005-0000-0000-0000B2200000}"/>
    <cellStyle name="Heading 1 3" xfId="7961" hidden="1" xr:uid="{00000000-0005-0000-0000-0000B3200000}"/>
    <cellStyle name="Heading 1 3" xfId="7993" hidden="1" xr:uid="{00000000-0005-0000-0000-0000B4200000}"/>
    <cellStyle name="Heading 1 3" xfId="8026" hidden="1" xr:uid="{00000000-0005-0000-0000-0000B5200000}"/>
    <cellStyle name="Heading 1 3" xfId="8058" hidden="1" xr:uid="{00000000-0005-0000-0000-0000B6200000}"/>
    <cellStyle name="Heading 1 3" xfId="8091" hidden="1" xr:uid="{00000000-0005-0000-0000-0000B7200000}"/>
    <cellStyle name="Heading 1 3" xfId="8124" hidden="1" xr:uid="{00000000-0005-0000-0000-0000B8200000}"/>
    <cellStyle name="Heading 1 3" xfId="8157" hidden="1" xr:uid="{00000000-0005-0000-0000-0000B9200000}"/>
    <cellStyle name="Heading 1 3" xfId="8190" hidden="1" xr:uid="{00000000-0005-0000-0000-0000BA200000}"/>
    <cellStyle name="Heading 1 3" xfId="8223" hidden="1" xr:uid="{00000000-0005-0000-0000-0000BB200000}"/>
    <cellStyle name="Heading 1 3" xfId="4359" hidden="1" xr:uid="{00000000-0005-0000-0000-0000BC200000}"/>
    <cellStyle name="Heading 1 3" xfId="5750" hidden="1" xr:uid="{00000000-0005-0000-0000-0000BD200000}"/>
    <cellStyle name="Heading 1 3" xfId="6772" hidden="1" xr:uid="{00000000-0005-0000-0000-0000BE200000}"/>
    <cellStyle name="Heading 1 3" xfId="5732" hidden="1" xr:uid="{00000000-0005-0000-0000-0000BF200000}"/>
    <cellStyle name="Heading 1 3" xfId="4295" hidden="1" xr:uid="{00000000-0005-0000-0000-0000C0200000}"/>
    <cellStyle name="Heading 1 3" xfId="4277" hidden="1" xr:uid="{00000000-0005-0000-0000-0000C1200000}"/>
    <cellStyle name="Heading 1 3" xfId="6748" hidden="1" xr:uid="{00000000-0005-0000-0000-0000C2200000}"/>
    <cellStyle name="Heading 1 3" xfId="8268" hidden="1" xr:uid="{00000000-0005-0000-0000-0000C3200000}"/>
    <cellStyle name="Heading 1 3" xfId="8301" hidden="1" xr:uid="{00000000-0005-0000-0000-0000C4200000}"/>
    <cellStyle name="Heading 1 3" xfId="8334" hidden="1" xr:uid="{00000000-0005-0000-0000-0000C5200000}"/>
    <cellStyle name="Heading 1 3" xfId="8367" hidden="1" xr:uid="{00000000-0005-0000-0000-0000C6200000}"/>
    <cellStyle name="Heading 1 3" xfId="8400" hidden="1" xr:uid="{00000000-0005-0000-0000-0000C7200000}"/>
    <cellStyle name="Heading 1 3" xfId="8437" hidden="1" xr:uid="{00000000-0005-0000-0000-0000C8200000}"/>
    <cellStyle name="Heading 1 3" xfId="8470" hidden="1" xr:uid="{00000000-0005-0000-0000-0000C9200000}"/>
    <cellStyle name="Heading 1 3" xfId="8502" hidden="1" xr:uid="{00000000-0005-0000-0000-0000CA200000}"/>
    <cellStyle name="Heading 1 3" xfId="8534" hidden="1" xr:uid="{00000000-0005-0000-0000-0000CB200000}"/>
    <cellStyle name="Heading 1 3" xfId="8567" hidden="1" xr:uid="{00000000-0005-0000-0000-0000CC200000}"/>
    <cellStyle name="Heading 1 3" xfId="8599" hidden="1" xr:uid="{00000000-0005-0000-0000-0000CD200000}"/>
    <cellStyle name="Heading 1 3" xfId="8632" hidden="1" xr:uid="{00000000-0005-0000-0000-0000CE200000}"/>
    <cellStyle name="Heading 1 3" xfId="8664" hidden="1" xr:uid="{00000000-0005-0000-0000-0000CF200000}"/>
    <cellStyle name="Heading 1 3" xfId="8697" hidden="1" xr:uid="{00000000-0005-0000-0000-0000D0200000}"/>
    <cellStyle name="Heading 1 3" xfId="8730" hidden="1" xr:uid="{00000000-0005-0000-0000-0000D1200000}"/>
    <cellStyle name="Heading 1 3" xfId="8763" hidden="1" xr:uid="{00000000-0005-0000-0000-0000D2200000}"/>
    <cellStyle name="Heading 1 3" xfId="8796" hidden="1" xr:uid="{00000000-0005-0000-0000-0000D3200000}"/>
    <cellStyle name="Heading 1 3" xfId="8829" hidden="1" xr:uid="{00000000-0005-0000-0000-0000D4200000}"/>
    <cellStyle name="Heading 1 3" xfId="8862" hidden="1" xr:uid="{00000000-0005-0000-0000-0000D5200000}"/>
    <cellStyle name="Heading 1 3" xfId="8902" hidden="1" xr:uid="{00000000-0005-0000-0000-0000D6200000}"/>
    <cellStyle name="Heading 1 3" xfId="8939" hidden="1" xr:uid="{00000000-0005-0000-0000-0000D7200000}"/>
    <cellStyle name="Heading 1 3" xfId="8972" hidden="1" xr:uid="{00000000-0005-0000-0000-0000D8200000}"/>
    <cellStyle name="Heading 1 3" xfId="9004" hidden="1" xr:uid="{00000000-0005-0000-0000-0000D9200000}"/>
    <cellStyle name="Heading 1 3" xfId="9036" hidden="1" xr:uid="{00000000-0005-0000-0000-0000DA200000}"/>
    <cellStyle name="Heading 1 3" xfId="9069" hidden="1" xr:uid="{00000000-0005-0000-0000-0000DB200000}"/>
    <cellStyle name="Heading 1 3" xfId="9101" hidden="1" xr:uid="{00000000-0005-0000-0000-0000DC200000}"/>
    <cellStyle name="Heading 1 3" xfId="9134" hidden="1" xr:uid="{00000000-0005-0000-0000-0000DD200000}"/>
    <cellStyle name="Heading 1 3" xfId="9166" hidden="1" xr:uid="{00000000-0005-0000-0000-0000DE200000}"/>
    <cellStyle name="Heading 1 3" xfId="9199" hidden="1" xr:uid="{00000000-0005-0000-0000-0000DF200000}"/>
    <cellStyle name="Heading 1 3" xfId="9232" hidden="1" xr:uid="{00000000-0005-0000-0000-0000E0200000}"/>
    <cellStyle name="Heading 1 3" xfId="9265" hidden="1" xr:uid="{00000000-0005-0000-0000-0000E1200000}"/>
    <cellStyle name="Heading 1 3" xfId="9298" hidden="1" xr:uid="{00000000-0005-0000-0000-0000E2200000}"/>
    <cellStyle name="Heading 1 3" xfId="9331" hidden="1" xr:uid="{00000000-0005-0000-0000-0000E3200000}"/>
    <cellStyle name="Heading 1 3" xfId="9364" hidden="1" xr:uid="{00000000-0005-0000-0000-0000E4200000}"/>
    <cellStyle name="Heading 1 3" xfId="9415" hidden="1" xr:uid="{00000000-0005-0000-0000-0000E5200000}"/>
    <cellStyle name="Heading 1 3" xfId="9452" hidden="1" xr:uid="{00000000-0005-0000-0000-0000E6200000}"/>
    <cellStyle name="Heading 1 3" xfId="9485" hidden="1" xr:uid="{00000000-0005-0000-0000-0000E7200000}"/>
    <cellStyle name="Heading 1 3" xfId="9517" hidden="1" xr:uid="{00000000-0005-0000-0000-0000E8200000}"/>
    <cellStyle name="Heading 1 3" xfId="9549" hidden="1" xr:uid="{00000000-0005-0000-0000-0000E9200000}"/>
    <cellStyle name="Heading 1 3" xfId="9582" hidden="1" xr:uid="{00000000-0005-0000-0000-0000EA200000}"/>
    <cellStyle name="Heading 1 3" xfId="9614" hidden="1" xr:uid="{00000000-0005-0000-0000-0000EB200000}"/>
    <cellStyle name="Heading 1 3" xfId="9647" hidden="1" xr:uid="{00000000-0005-0000-0000-0000EC200000}"/>
    <cellStyle name="Heading 1 3" xfId="9679" hidden="1" xr:uid="{00000000-0005-0000-0000-0000ED200000}"/>
    <cellStyle name="Heading 1 3" xfId="9712" hidden="1" xr:uid="{00000000-0005-0000-0000-0000EE200000}"/>
    <cellStyle name="Heading 1 3" xfId="9745" hidden="1" xr:uid="{00000000-0005-0000-0000-0000EF200000}"/>
    <cellStyle name="Heading 1 3" xfId="9778" hidden="1" xr:uid="{00000000-0005-0000-0000-0000F0200000}"/>
    <cellStyle name="Heading 1 3" xfId="9811" hidden="1" xr:uid="{00000000-0005-0000-0000-0000F1200000}"/>
    <cellStyle name="Heading 1 3" xfId="9844" hidden="1" xr:uid="{00000000-0005-0000-0000-0000F2200000}"/>
    <cellStyle name="Heading 1 3" xfId="9388" hidden="1" xr:uid="{00000000-0005-0000-0000-0000F3200000}"/>
    <cellStyle name="Heading 1 3" xfId="9892" hidden="1" xr:uid="{00000000-0005-0000-0000-0000F4200000}"/>
    <cellStyle name="Heading 1 3" xfId="9929" hidden="1" xr:uid="{00000000-0005-0000-0000-0000F5200000}"/>
    <cellStyle name="Heading 1 3" xfId="9962" hidden="1" xr:uid="{00000000-0005-0000-0000-0000F6200000}"/>
    <cellStyle name="Heading 1 3" xfId="9994" hidden="1" xr:uid="{00000000-0005-0000-0000-0000F7200000}"/>
    <cellStyle name="Heading 1 3" xfId="10026" hidden="1" xr:uid="{00000000-0005-0000-0000-0000F8200000}"/>
    <cellStyle name="Heading 1 3" xfId="10059" hidden="1" xr:uid="{00000000-0005-0000-0000-0000F9200000}"/>
    <cellStyle name="Heading 1 3" xfId="10091" hidden="1" xr:uid="{00000000-0005-0000-0000-0000FA200000}"/>
    <cellStyle name="Heading 1 3" xfId="10124" hidden="1" xr:uid="{00000000-0005-0000-0000-0000FB200000}"/>
    <cellStyle name="Heading 1 3" xfId="10156" hidden="1" xr:uid="{00000000-0005-0000-0000-0000FC200000}"/>
    <cellStyle name="Heading 1 3" xfId="10189" hidden="1" xr:uid="{00000000-0005-0000-0000-0000FD200000}"/>
    <cellStyle name="Heading 1 3" xfId="10222" hidden="1" xr:uid="{00000000-0005-0000-0000-0000FE200000}"/>
    <cellStyle name="Heading 1 3" xfId="10255" hidden="1" xr:uid="{00000000-0005-0000-0000-0000FF200000}"/>
    <cellStyle name="Heading 1 3" xfId="10288" hidden="1" xr:uid="{00000000-0005-0000-0000-000000210000}"/>
    <cellStyle name="Heading 1 3" xfId="10321" hidden="1" xr:uid="{00000000-0005-0000-0000-000001210000}"/>
    <cellStyle name="Heading 1 3" xfId="8875" hidden="1" xr:uid="{00000000-0005-0000-0000-000002210000}"/>
    <cellStyle name="Heading 1 3" xfId="10380" hidden="1" xr:uid="{00000000-0005-0000-0000-000003210000}"/>
    <cellStyle name="Heading 1 3" xfId="10417" hidden="1" xr:uid="{00000000-0005-0000-0000-000004210000}"/>
    <cellStyle name="Heading 1 3" xfId="10450" hidden="1" xr:uid="{00000000-0005-0000-0000-000005210000}"/>
    <cellStyle name="Heading 1 3" xfId="10482" hidden="1" xr:uid="{00000000-0005-0000-0000-000006210000}"/>
    <cellStyle name="Heading 1 3" xfId="10514" hidden="1" xr:uid="{00000000-0005-0000-0000-000007210000}"/>
    <cellStyle name="Heading 1 3" xfId="10547" hidden="1" xr:uid="{00000000-0005-0000-0000-000008210000}"/>
    <cellStyle name="Heading 1 3" xfId="10579" hidden="1" xr:uid="{00000000-0005-0000-0000-000009210000}"/>
    <cellStyle name="Heading 1 3" xfId="10612" hidden="1" xr:uid="{00000000-0005-0000-0000-00000A210000}"/>
    <cellStyle name="Heading 1 3" xfId="10644" hidden="1" xr:uid="{00000000-0005-0000-0000-00000B210000}"/>
    <cellStyle name="Heading 1 3" xfId="10677" hidden="1" xr:uid="{00000000-0005-0000-0000-00000C210000}"/>
    <cellStyle name="Heading 1 3" xfId="10710" hidden="1" xr:uid="{00000000-0005-0000-0000-00000D210000}"/>
    <cellStyle name="Heading 1 3" xfId="10743" hidden="1" xr:uid="{00000000-0005-0000-0000-00000E210000}"/>
    <cellStyle name="Heading 1 3" xfId="10776" hidden="1" xr:uid="{00000000-0005-0000-0000-00000F210000}"/>
    <cellStyle name="Heading 1 3" xfId="10809" hidden="1" xr:uid="{00000000-0005-0000-0000-000010210000}"/>
    <cellStyle name="Heading 1 3" xfId="10842" hidden="1" xr:uid="{00000000-0005-0000-0000-000011210000}"/>
    <cellStyle name="Heading 1 3" xfId="10893" hidden="1" xr:uid="{00000000-0005-0000-0000-000012210000}"/>
    <cellStyle name="Heading 1 3" xfId="10930" hidden="1" xr:uid="{00000000-0005-0000-0000-000013210000}"/>
    <cellStyle name="Heading 1 3" xfId="10963" hidden="1" xr:uid="{00000000-0005-0000-0000-000014210000}"/>
    <cellStyle name="Heading 1 3" xfId="10995" hidden="1" xr:uid="{00000000-0005-0000-0000-000015210000}"/>
    <cellStyle name="Heading 1 3" xfId="11027" hidden="1" xr:uid="{00000000-0005-0000-0000-000016210000}"/>
    <cellStyle name="Heading 1 3" xfId="11060" hidden="1" xr:uid="{00000000-0005-0000-0000-000017210000}"/>
    <cellStyle name="Heading 1 3" xfId="11092" hidden="1" xr:uid="{00000000-0005-0000-0000-000018210000}"/>
    <cellStyle name="Heading 1 3" xfId="11125" hidden="1" xr:uid="{00000000-0005-0000-0000-000019210000}"/>
    <cellStyle name="Heading 1 3" xfId="11157" hidden="1" xr:uid="{00000000-0005-0000-0000-00001A210000}"/>
    <cellStyle name="Heading 1 3" xfId="11190" hidden="1" xr:uid="{00000000-0005-0000-0000-00001B210000}"/>
    <cellStyle name="Heading 1 3" xfId="11223" hidden="1" xr:uid="{00000000-0005-0000-0000-00001C210000}"/>
    <cellStyle name="Heading 1 3" xfId="11256" hidden="1" xr:uid="{00000000-0005-0000-0000-00001D210000}"/>
    <cellStyle name="Heading 1 3" xfId="11289" hidden="1" xr:uid="{00000000-0005-0000-0000-00001E210000}"/>
    <cellStyle name="Heading 1 3" xfId="11322" hidden="1" xr:uid="{00000000-0005-0000-0000-00001F210000}"/>
    <cellStyle name="Heading 1 3" xfId="10866" hidden="1" xr:uid="{00000000-0005-0000-0000-000020210000}"/>
    <cellStyle name="Heading 1 3" xfId="11370" hidden="1" xr:uid="{00000000-0005-0000-0000-000021210000}"/>
    <cellStyle name="Heading 1 3" xfId="11407" hidden="1" xr:uid="{00000000-0005-0000-0000-000022210000}"/>
    <cellStyle name="Heading 1 3" xfId="11440" hidden="1" xr:uid="{00000000-0005-0000-0000-000023210000}"/>
    <cellStyle name="Heading 1 3" xfId="11472" hidden="1" xr:uid="{00000000-0005-0000-0000-000024210000}"/>
    <cellStyle name="Heading 1 3" xfId="11504" hidden="1" xr:uid="{00000000-0005-0000-0000-000025210000}"/>
    <cellStyle name="Heading 1 3" xfId="11537" hidden="1" xr:uid="{00000000-0005-0000-0000-000026210000}"/>
    <cellStyle name="Heading 1 3" xfId="11569" hidden="1" xr:uid="{00000000-0005-0000-0000-000027210000}"/>
    <cellStyle name="Heading 1 3" xfId="11602" hidden="1" xr:uid="{00000000-0005-0000-0000-000028210000}"/>
    <cellStyle name="Heading 1 3" xfId="11634" hidden="1" xr:uid="{00000000-0005-0000-0000-000029210000}"/>
    <cellStyle name="Heading 1 3" xfId="11667" hidden="1" xr:uid="{00000000-0005-0000-0000-00002A210000}"/>
    <cellStyle name="Heading 1 3" xfId="11700" hidden="1" xr:uid="{00000000-0005-0000-0000-00002B210000}"/>
    <cellStyle name="Heading 1 3" xfId="11733" hidden="1" xr:uid="{00000000-0005-0000-0000-00002C210000}"/>
    <cellStyle name="Heading 1 3" xfId="11766" hidden="1" xr:uid="{00000000-0005-0000-0000-00002D210000}"/>
    <cellStyle name="Heading 1 3" xfId="11799" hidden="1" xr:uid="{00000000-0005-0000-0000-00002E210000}"/>
    <cellStyle name="Heading 1 3" xfId="1722" xr:uid="{00000000-0005-0000-0000-00002F210000}"/>
    <cellStyle name="Heading 1 3 2" xfId="1615" xr:uid="{00000000-0005-0000-0000-000030210000}"/>
    <cellStyle name="Heading 1 4" xfId="1616" xr:uid="{00000000-0005-0000-0000-000031210000}"/>
    <cellStyle name="Heading 1 5" xfId="1617" xr:uid="{00000000-0005-0000-0000-000032210000}"/>
    <cellStyle name="Heading 2 2" xfId="114" xr:uid="{00000000-0005-0000-0000-000033210000}"/>
    <cellStyle name="Heading 2 2 2" xfId="1619" xr:uid="{00000000-0005-0000-0000-000034210000}"/>
    <cellStyle name="Heading 2 2 2 2" xfId="1620" xr:uid="{00000000-0005-0000-0000-000035210000}"/>
    <cellStyle name="Heading 2 2 3" xfId="1621" xr:uid="{00000000-0005-0000-0000-000036210000}"/>
    <cellStyle name="Heading 2 2 4" xfId="1709" xr:uid="{00000000-0005-0000-0000-000037210000}"/>
    <cellStyle name="Heading 2 2 5" xfId="1618" xr:uid="{00000000-0005-0000-0000-000038210000}"/>
    <cellStyle name="Heading 2 2 6" xfId="2741" xr:uid="{00000000-0005-0000-0000-000039210000}"/>
    <cellStyle name="Heading 2 3" xfId="201" hidden="1" xr:uid="{00000000-0005-0000-0000-00003A210000}"/>
    <cellStyle name="Heading 2 3" xfId="256" hidden="1" xr:uid="{00000000-0005-0000-0000-00003B210000}"/>
    <cellStyle name="Heading 2 3" xfId="289" hidden="1" xr:uid="{00000000-0005-0000-0000-00003C210000}"/>
    <cellStyle name="Heading 2 3" xfId="322" hidden="1" xr:uid="{00000000-0005-0000-0000-00003D210000}"/>
    <cellStyle name="Heading 2 3" xfId="355" hidden="1" xr:uid="{00000000-0005-0000-0000-00003E210000}"/>
    <cellStyle name="Heading 2 3" xfId="389" hidden="1" xr:uid="{00000000-0005-0000-0000-00003F210000}"/>
    <cellStyle name="Heading 2 3" xfId="422" hidden="1" xr:uid="{00000000-0005-0000-0000-000040210000}"/>
    <cellStyle name="Heading 2 3" xfId="455" hidden="1" xr:uid="{00000000-0005-0000-0000-000041210000}"/>
    <cellStyle name="Heading 2 3" xfId="488" hidden="1" xr:uid="{00000000-0005-0000-0000-000042210000}"/>
    <cellStyle name="Heading 2 3" xfId="521" hidden="1" xr:uid="{00000000-0005-0000-0000-000043210000}"/>
    <cellStyle name="Heading 2 3" xfId="554" hidden="1" xr:uid="{00000000-0005-0000-0000-000044210000}"/>
    <cellStyle name="Heading 2 3" xfId="587" hidden="1" xr:uid="{00000000-0005-0000-0000-000045210000}"/>
    <cellStyle name="Heading 2 3" xfId="624" hidden="1" xr:uid="{00000000-0005-0000-0000-000046210000}"/>
    <cellStyle name="Heading 2 3" xfId="657" hidden="1" xr:uid="{00000000-0005-0000-0000-000047210000}"/>
    <cellStyle name="Heading 2 3" xfId="689" hidden="1" xr:uid="{00000000-0005-0000-0000-000048210000}"/>
    <cellStyle name="Heading 2 3" xfId="721" hidden="1" xr:uid="{00000000-0005-0000-0000-000049210000}"/>
    <cellStyle name="Heading 2 3" xfId="754" hidden="1" xr:uid="{00000000-0005-0000-0000-00004A210000}"/>
    <cellStyle name="Heading 2 3" xfId="786" hidden="1" xr:uid="{00000000-0005-0000-0000-00004B210000}"/>
    <cellStyle name="Heading 2 3" xfId="819" hidden="1" xr:uid="{00000000-0005-0000-0000-00004C210000}"/>
    <cellStyle name="Heading 2 3" xfId="851" hidden="1" xr:uid="{00000000-0005-0000-0000-00004D210000}"/>
    <cellStyle name="Heading 2 3" xfId="884" hidden="1" xr:uid="{00000000-0005-0000-0000-00004E210000}"/>
    <cellStyle name="Heading 2 3" xfId="917" hidden="1" xr:uid="{00000000-0005-0000-0000-00004F210000}"/>
    <cellStyle name="Heading 2 3" xfId="950" hidden="1" xr:uid="{00000000-0005-0000-0000-000050210000}"/>
    <cellStyle name="Heading 2 3" xfId="983" hidden="1" xr:uid="{00000000-0005-0000-0000-000051210000}"/>
    <cellStyle name="Heading 2 3" xfId="1016" hidden="1" xr:uid="{00000000-0005-0000-0000-000052210000}"/>
    <cellStyle name="Heading 2 3" xfId="1049" hidden="1" xr:uid="{00000000-0005-0000-0000-000053210000}"/>
    <cellStyle name="Heading 2 3" xfId="1092" hidden="1" xr:uid="{00000000-0005-0000-0000-000054210000}"/>
    <cellStyle name="Heading 2 3" xfId="1130" hidden="1" xr:uid="{00000000-0005-0000-0000-000055210000}"/>
    <cellStyle name="Heading 2 3" xfId="1163" hidden="1" xr:uid="{00000000-0005-0000-0000-000056210000}"/>
    <cellStyle name="Heading 2 3" xfId="1195" hidden="1" xr:uid="{00000000-0005-0000-0000-000057210000}"/>
    <cellStyle name="Heading 2 3" xfId="1227" hidden="1" xr:uid="{00000000-0005-0000-0000-000058210000}"/>
    <cellStyle name="Heading 2 3" xfId="1260" hidden="1" xr:uid="{00000000-0005-0000-0000-000059210000}"/>
    <cellStyle name="Heading 2 3" xfId="1292" hidden="1" xr:uid="{00000000-0005-0000-0000-00005A210000}"/>
    <cellStyle name="Heading 2 3" xfId="1325" hidden="1" xr:uid="{00000000-0005-0000-0000-00005B210000}"/>
    <cellStyle name="Heading 2 3" xfId="1357" hidden="1" xr:uid="{00000000-0005-0000-0000-00005C210000}"/>
    <cellStyle name="Heading 2 3" xfId="1390" hidden="1" xr:uid="{00000000-0005-0000-0000-00005D210000}"/>
    <cellStyle name="Heading 2 3" xfId="1423" hidden="1" xr:uid="{00000000-0005-0000-0000-00005E210000}"/>
    <cellStyle name="Heading 2 3" xfId="1456" hidden="1" xr:uid="{00000000-0005-0000-0000-00005F210000}"/>
    <cellStyle name="Heading 2 3" xfId="1489" hidden="1" xr:uid="{00000000-0005-0000-0000-000060210000}"/>
    <cellStyle name="Heading 2 3" xfId="1522" hidden="1" xr:uid="{00000000-0005-0000-0000-000061210000}"/>
    <cellStyle name="Heading 2 3" xfId="1555" hidden="1" xr:uid="{00000000-0005-0000-0000-000062210000}"/>
    <cellStyle name="Heading 2 3" xfId="1769" hidden="1" xr:uid="{00000000-0005-0000-0000-000063210000}"/>
    <cellStyle name="Heading 2 3" xfId="1806" hidden="1" xr:uid="{00000000-0005-0000-0000-000064210000}"/>
    <cellStyle name="Heading 2 3" xfId="1839" hidden="1" xr:uid="{00000000-0005-0000-0000-000065210000}"/>
    <cellStyle name="Heading 2 3" xfId="1871" hidden="1" xr:uid="{00000000-0005-0000-0000-000066210000}"/>
    <cellStyle name="Heading 2 3" xfId="1903" hidden="1" xr:uid="{00000000-0005-0000-0000-000067210000}"/>
    <cellStyle name="Heading 2 3" xfId="1936" hidden="1" xr:uid="{00000000-0005-0000-0000-000068210000}"/>
    <cellStyle name="Heading 2 3" xfId="1968" hidden="1" xr:uid="{00000000-0005-0000-0000-000069210000}"/>
    <cellStyle name="Heading 2 3" xfId="2001" hidden="1" xr:uid="{00000000-0005-0000-0000-00006A210000}"/>
    <cellStyle name="Heading 2 3" xfId="2033" hidden="1" xr:uid="{00000000-0005-0000-0000-00006B210000}"/>
    <cellStyle name="Heading 2 3" xfId="2066" hidden="1" xr:uid="{00000000-0005-0000-0000-00006C210000}"/>
    <cellStyle name="Heading 2 3" xfId="2099" hidden="1" xr:uid="{00000000-0005-0000-0000-00006D210000}"/>
    <cellStyle name="Heading 2 3" xfId="2132" hidden="1" xr:uid="{00000000-0005-0000-0000-00006E210000}"/>
    <cellStyle name="Heading 2 3" xfId="2165" hidden="1" xr:uid="{00000000-0005-0000-0000-00006F210000}"/>
    <cellStyle name="Heading 2 3" xfId="2198" hidden="1" xr:uid="{00000000-0005-0000-0000-000070210000}"/>
    <cellStyle name="Heading 2 3" xfId="1742" hidden="1" xr:uid="{00000000-0005-0000-0000-000071210000}"/>
    <cellStyle name="Heading 2 3" xfId="2246" hidden="1" xr:uid="{00000000-0005-0000-0000-000072210000}"/>
    <cellStyle name="Heading 2 3" xfId="2283" hidden="1" xr:uid="{00000000-0005-0000-0000-000073210000}"/>
    <cellStyle name="Heading 2 3" xfId="2316" hidden="1" xr:uid="{00000000-0005-0000-0000-000074210000}"/>
    <cellStyle name="Heading 2 3" xfId="2348" hidden="1" xr:uid="{00000000-0005-0000-0000-000075210000}"/>
    <cellStyle name="Heading 2 3" xfId="2380" hidden="1" xr:uid="{00000000-0005-0000-0000-000076210000}"/>
    <cellStyle name="Heading 2 3" xfId="2413" hidden="1" xr:uid="{00000000-0005-0000-0000-000077210000}"/>
    <cellStyle name="Heading 2 3" xfId="2445" hidden="1" xr:uid="{00000000-0005-0000-0000-000078210000}"/>
    <cellStyle name="Heading 2 3" xfId="2478" hidden="1" xr:uid="{00000000-0005-0000-0000-000079210000}"/>
    <cellStyle name="Heading 2 3" xfId="2510" hidden="1" xr:uid="{00000000-0005-0000-0000-00007A210000}"/>
    <cellStyle name="Heading 2 3" xfId="2543" hidden="1" xr:uid="{00000000-0005-0000-0000-00007B210000}"/>
    <cellStyle name="Heading 2 3" xfId="2576" hidden="1" xr:uid="{00000000-0005-0000-0000-00007C210000}"/>
    <cellStyle name="Heading 2 3" xfId="2609" hidden="1" xr:uid="{00000000-0005-0000-0000-00007D210000}"/>
    <cellStyle name="Heading 2 3" xfId="2642" hidden="1" xr:uid="{00000000-0005-0000-0000-00007E210000}"/>
    <cellStyle name="Heading 2 3" xfId="2675" hidden="1" xr:uid="{00000000-0005-0000-0000-00007F210000}"/>
    <cellStyle name="Heading 2 3" xfId="1065" hidden="1" xr:uid="{00000000-0005-0000-0000-000080210000}"/>
    <cellStyle name="Heading 2 3" xfId="2789" hidden="1" xr:uid="{00000000-0005-0000-0000-000081210000}"/>
    <cellStyle name="Heading 2 3" xfId="2826" hidden="1" xr:uid="{00000000-0005-0000-0000-000082210000}"/>
    <cellStyle name="Heading 2 3" xfId="2859" hidden="1" xr:uid="{00000000-0005-0000-0000-000083210000}"/>
    <cellStyle name="Heading 2 3" xfId="2891" hidden="1" xr:uid="{00000000-0005-0000-0000-000084210000}"/>
    <cellStyle name="Heading 2 3" xfId="2923" hidden="1" xr:uid="{00000000-0005-0000-0000-000085210000}"/>
    <cellStyle name="Heading 2 3" xfId="2956" hidden="1" xr:uid="{00000000-0005-0000-0000-000086210000}"/>
    <cellStyle name="Heading 2 3" xfId="2988" hidden="1" xr:uid="{00000000-0005-0000-0000-000087210000}"/>
    <cellStyle name="Heading 2 3" xfId="3021" hidden="1" xr:uid="{00000000-0005-0000-0000-000088210000}"/>
    <cellStyle name="Heading 2 3" xfId="3053" hidden="1" xr:uid="{00000000-0005-0000-0000-000089210000}"/>
    <cellStyle name="Heading 2 3" xfId="3086" hidden="1" xr:uid="{00000000-0005-0000-0000-00008A210000}"/>
    <cellStyle name="Heading 2 3" xfId="3119" hidden="1" xr:uid="{00000000-0005-0000-0000-00008B210000}"/>
    <cellStyle name="Heading 2 3" xfId="3152" hidden="1" xr:uid="{00000000-0005-0000-0000-00008C210000}"/>
    <cellStyle name="Heading 2 3" xfId="3185" hidden="1" xr:uid="{00000000-0005-0000-0000-00008D210000}"/>
    <cellStyle name="Heading 2 3" xfId="3218" hidden="1" xr:uid="{00000000-0005-0000-0000-00008E210000}"/>
    <cellStyle name="Heading 2 3" xfId="3251" hidden="1" xr:uid="{00000000-0005-0000-0000-00008F210000}"/>
    <cellStyle name="Heading 2 3" xfId="3302" hidden="1" xr:uid="{00000000-0005-0000-0000-000090210000}"/>
    <cellStyle name="Heading 2 3" xfId="3339" hidden="1" xr:uid="{00000000-0005-0000-0000-000091210000}"/>
    <cellStyle name="Heading 2 3" xfId="3372" hidden="1" xr:uid="{00000000-0005-0000-0000-000092210000}"/>
    <cellStyle name="Heading 2 3" xfId="3404" hidden="1" xr:uid="{00000000-0005-0000-0000-000093210000}"/>
    <cellStyle name="Heading 2 3" xfId="3436" hidden="1" xr:uid="{00000000-0005-0000-0000-000094210000}"/>
    <cellStyle name="Heading 2 3" xfId="3469" hidden="1" xr:uid="{00000000-0005-0000-0000-000095210000}"/>
    <cellStyle name="Heading 2 3" xfId="3501" hidden="1" xr:uid="{00000000-0005-0000-0000-000096210000}"/>
    <cellStyle name="Heading 2 3" xfId="3534" hidden="1" xr:uid="{00000000-0005-0000-0000-000097210000}"/>
    <cellStyle name="Heading 2 3" xfId="3566" hidden="1" xr:uid="{00000000-0005-0000-0000-000098210000}"/>
    <cellStyle name="Heading 2 3" xfId="3599" hidden="1" xr:uid="{00000000-0005-0000-0000-000099210000}"/>
    <cellStyle name="Heading 2 3" xfId="3632" hidden="1" xr:uid="{00000000-0005-0000-0000-00009A210000}"/>
    <cellStyle name="Heading 2 3" xfId="3665" hidden="1" xr:uid="{00000000-0005-0000-0000-00009B210000}"/>
    <cellStyle name="Heading 2 3" xfId="3698" hidden="1" xr:uid="{00000000-0005-0000-0000-00009C210000}"/>
    <cellStyle name="Heading 2 3" xfId="3731" hidden="1" xr:uid="{00000000-0005-0000-0000-00009D210000}"/>
    <cellStyle name="Heading 2 3" xfId="3275" hidden="1" xr:uid="{00000000-0005-0000-0000-00009E210000}"/>
    <cellStyle name="Heading 2 3" xfId="3779" hidden="1" xr:uid="{00000000-0005-0000-0000-00009F210000}"/>
    <cellStyle name="Heading 2 3" xfId="3816" hidden="1" xr:uid="{00000000-0005-0000-0000-0000A0210000}"/>
    <cellStyle name="Heading 2 3" xfId="3849" hidden="1" xr:uid="{00000000-0005-0000-0000-0000A1210000}"/>
    <cellStyle name="Heading 2 3" xfId="3881" hidden="1" xr:uid="{00000000-0005-0000-0000-0000A2210000}"/>
    <cellStyle name="Heading 2 3" xfId="3913" hidden="1" xr:uid="{00000000-0005-0000-0000-0000A3210000}"/>
    <cellStyle name="Heading 2 3" xfId="3946" hidden="1" xr:uid="{00000000-0005-0000-0000-0000A4210000}"/>
    <cellStyle name="Heading 2 3" xfId="3978" hidden="1" xr:uid="{00000000-0005-0000-0000-0000A5210000}"/>
    <cellStyle name="Heading 2 3" xfId="4011" hidden="1" xr:uid="{00000000-0005-0000-0000-0000A6210000}"/>
    <cellStyle name="Heading 2 3" xfId="4043" hidden="1" xr:uid="{00000000-0005-0000-0000-0000A7210000}"/>
    <cellStyle name="Heading 2 3" xfId="4076" hidden="1" xr:uid="{00000000-0005-0000-0000-0000A8210000}"/>
    <cellStyle name="Heading 2 3" xfId="4109" hidden="1" xr:uid="{00000000-0005-0000-0000-0000A9210000}"/>
    <cellStyle name="Heading 2 3" xfId="4142" hidden="1" xr:uid="{00000000-0005-0000-0000-0000AA210000}"/>
    <cellStyle name="Heading 2 3" xfId="4175" hidden="1" xr:uid="{00000000-0005-0000-0000-0000AB210000}"/>
    <cellStyle name="Heading 2 3" xfId="4208" hidden="1" xr:uid="{00000000-0005-0000-0000-0000AC210000}"/>
    <cellStyle name="Heading 2 3" xfId="4357" hidden="1" xr:uid="{00000000-0005-0000-0000-0000AD210000}"/>
    <cellStyle name="Heading 2 3" xfId="4408" hidden="1" xr:uid="{00000000-0005-0000-0000-0000AE210000}"/>
    <cellStyle name="Heading 2 3" xfId="4441" hidden="1" xr:uid="{00000000-0005-0000-0000-0000AF210000}"/>
    <cellStyle name="Heading 2 3" xfId="4474" hidden="1" xr:uid="{00000000-0005-0000-0000-0000B0210000}"/>
    <cellStyle name="Heading 2 3" xfId="4507" hidden="1" xr:uid="{00000000-0005-0000-0000-0000B1210000}"/>
    <cellStyle name="Heading 2 3" xfId="4540" hidden="1" xr:uid="{00000000-0005-0000-0000-0000B2210000}"/>
    <cellStyle name="Heading 2 3" xfId="4573" hidden="1" xr:uid="{00000000-0005-0000-0000-0000B3210000}"/>
    <cellStyle name="Heading 2 3" xfId="4606" hidden="1" xr:uid="{00000000-0005-0000-0000-0000B4210000}"/>
    <cellStyle name="Heading 2 3" xfId="4639" hidden="1" xr:uid="{00000000-0005-0000-0000-0000B5210000}"/>
    <cellStyle name="Heading 2 3" xfId="4672" hidden="1" xr:uid="{00000000-0005-0000-0000-0000B6210000}"/>
    <cellStyle name="Heading 2 3" xfId="4705" hidden="1" xr:uid="{00000000-0005-0000-0000-0000B7210000}"/>
    <cellStyle name="Heading 2 3" xfId="4738" hidden="1" xr:uid="{00000000-0005-0000-0000-0000B8210000}"/>
    <cellStyle name="Heading 2 3" xfId="4775" hidden="1" xr:uid="{00000000-0005-0000-0000-0000B9210000}"/>
    <cellStyle name="Heading 2 3" xfId="4808" hidden="1" xr:uid="{00000000-0005-0000-0000-0000BA210000}"/>
    <cellStyle name="Heading 2 3" xfId="4840" hidden="1" xr:uid="{00000000-0005-0000-0000-0000BB210000}"/>
    <cellStyle name="Heading 2 3" xfId="4872" hidden="1" xr:uid="{00000000-0005-0000-0000-0000BC210000}"/>
    <cellStyle name="Heading 2 3" xfId="4905" hidden="1" xr:uid="{00000000-0005-0000-0000-0000BD210000}"/>
    <cellStyle name="Heading 2 3" xfId="4937" hidden="1" xr:uid="{00000000-0005-0000-0000-0000BE210000}"/>
    <cellStyle name="Heading 2 3" xfId="4970" hidden="1" xr:uid="{00000000-0005-0000-0000-0000BF210000}"/>
    <cellStyle name="Heading 2 3" xfId="5002" hidden="1" xr:uid="{00000000-0005-0000-0000-0000C0210000}"/>
    <cellStyle name="Heading 2 3" xfId="5035" hidden="1" xr:uid="{00000000-0005-0000-0000-0000C1210000}"/>
    <cellStyle name="Heading 2 3" xfId="5068" hidden="1" xr:uid="{00000000-0005-0000-0000-0000C2210000}"/>
    <cellStyle name="Heading 2 3" xfId="5101" hidden="1" xr:uid="{00000000-0005-0000-0000-0000C3210000}"/>
    <cellStyle name="Heading 2 3" xfId="5134" hidden="1" xr:uid="{00000000-0005-0000-0000-0000C4210000}"/>
    <cellStyle name="Heading 2 3" xfId="5167" hidden="1" xr:uid="{00000000-0005-0000-0000-0000C5210000}"/>
    <cellStyle name="Heading 2 3" xfId="5200" hidden="1" xr:uid="{00000000-0005-0000-0000-0000C6210000}"/>
    <cellStyle name="Heading 2 3" xfId="5241" hidden="1" xr:uid="{00000000-0005-0000-0000-0000C7210000}"/>
    <cellStyle name="Heading 2 3" xfId="5278" hidden="1" xr:uid="{00000000-0005-0000-0000-0000C8210000}"/>
    <cellStyle name="Heading 2 3" xfId="5311" hidden="1" xr:uid="{00000000-0005-0000-0000-0000C9210000}"/>
    <cellStyle name="Heading 2 3" xfId="5343" hidden="1" xr:uid="{00000000-0005-0000-0000-0000CA210000}"/>
    <cellStyle name="Heading 2 3" xfId="5375" hidden="1" xr:uid="{00000000-0005-0000-0000-0000CB210000}"/>
    <cellStyle name="Heading 2 3" xfId="5408" hidden="1" xr:uid="{00000000-0005-0000-0000-0000CC210000}"/>
    <cellStyle name="Heading 2 3" xfId="5440" hidden="1" xr:uid="{00000000-0005-0000-0000-0000CD210000}"/>
    <cellStyle name="Heading 2 3" xfId="5473" hidden="1" xr:uid="{00000000-0005-0000-0000-0000CE210000}"/>
    <cellStyle name="Heading 2 3" xfId="5505" hidden="1" xr:uid="{00000000-0005-0000-0000-0000CF210000}"/>
    <cellStyle name="Heading 2 3" xfId="5538" hidden="1" xr:uid="{00000000-0005-0000-0000-0000D0210000}"/>
    <cellStyle name="Heading 2 3" xfId="5571" hidden="1" xr:uid="{00000000-0005-0000-0000-0000D1210000}"/>
    <cellStyle name="Heading 2 3" xfId="5604" hidden="1" xr:uid="{00000000-0005-0000-0000-0000D2210000}"/>
    <cellStyle name="Heading 2 3" xfId="5637" hidden="1" xr:uid="{00000000-0005-0000-0000-0000D3210000}"/>
    <cellStyle name="Heading 2 3" xfId="5670" hidden="1" xr:uid="{00000000-0005-0000-0000-0000D4210000}"/>
    <cellStyle name="Heading 2 3" xfId="5703" hidden="1" xr:uid="{00000000-0005-0000-0000-0000D5210000}"/>
    <cellStyle name="Heading 2 3" xfId="5807" hidden="1" xr:uid="{00000000-0005-0000-0000-0000D6210000}"/>
    <cellStyle name="Heading 2 3" xfId="5844" hidden="1" xr:uid="{00000000-0005-0000-0000-0000D7210000}"/>
    <cellStyle name="Heading 2 3" xfId="5877" hidden="1" xr:uid="{00000000-0005-0000-0000-0000D8210000}"/>
    <cellStyle name="Heading 2 3" xfId="5909" hidden="1" xr:uid="{00000000-0005-0000-0000-0000D9210000}"/>
    <cellStyle name="Heading 2 3" xfId="5941" hidden="1" xr:uid="{00000000-0005-0000-0000-0000DA210000}"/>
    <cellStyle name="Heading 2 3" xfId="5974" hidden="1" xr:uid="{00000000-0005-0000-0000-0000DB210000}"/>
    <cellStyle name="Heading 2 3" xfId="6006" hidden="1" xr:uid="{00000000-0005-0000-0000-0000DC210000}"/>
    <cellStyle name="Heading 2 3" xfId="6039" hidden="1" xr:uid="{00000000-0005-0000-0000-0000DD210000}"/>
    <cellStyle name="Heading 2 3" xfId="6071" hidden="1" xr:uid="{00000000-0005-0000-0000-0000DE210000}"/>
    <cellStyle name="Heading 2 3" xfId="6104" hidden="1" xr:uid="{00000000-0005-0000-0000-0000DF210000}"/>
    <cellStyle name="Heading 2 3" xfId="6137" hidden="1" xr:uid="{00000000-0005-0000-0000-0000E0210000}"/>
    <cellStyle name="Heading 2 3" xfId="6170" hidden="1" xr:uid="{00000000-0005-0000-0000-0000E1210000}"/>
    <cellStyle name="Heading 2 3" xfId="6203" hidden="1" xr:uid="{00000000-0005-0000-0000-0000E2210000}"/>
    <cellStyle name="Heading 2 3" xfId="6236" hidden="1" xr:uid="{00000000-0005-0000-0000-0000E3210000}"/>
    <cellStyle name="Heading 2 3" xfId="5780" hidden="1" xr:uid="{00000000-0005-0000-0000-0000E4210000}"/>
    <cellStyle name="Heading 2 3" xfId="6284" hidden="1" xr:uid="{00000000-0005-0000-0000-0000E5210000}"/>
    <cellStyle name="Heading 2 3" xfId="6321" hidden="1" xr:uid="{00000000-0005-0000-0000-0000E6210000}"/>
    <cellStyle name="Heading 2 3" xfId="6354" hidden="1" xr:uid="{00000000-0005-0000-0000-0000E7210000}"/>
    <cellStyle name="Heading 2 3" xfId="6386" hidden="1" xr:uid="{00000000-0005-0000-0000-0000E8210000}"/>
    <cellStyle name="Heading 2 3" xfId="6418" hidden="1" xr:uid="{00000000-0005-0000-0000-0000E9210000}"/>
    <cellStyle name="Heading 2 3" xfId="6451" hidden="1" xr:uid="{00000000-0005-0000-0000-0000EA210000}"/>
    <cellStyle name="Heading 2 3" xfId="6483" hidden="1" xr:uid="{00000000-0005-0000-0000-0000EB210000}"/>
    <cellStyle name="Heading 2 3" xfId="6516" hidden="1" xr:uid="{00000000-0005-0000-0000-0000EC210000}"/>
    <cellStyle name="Heading 2 3" xfId="6548" hidden="1" xr:uid="{00000000-0005-0000-0000-0000ED210000}"/>
    <cellStyle name="Heading 2 3" xfId="6581" hidden="1" xr:uid="{00000000-0005-0000-0000-0000EE210000}"/>
    <cellStyle name="Heading 2 3" xfId="6614" hidden="1" xr:uid="{00000000-0005-0000-0000-0000EF210000}"/>
    <cellStyle name="Heading 2 3" xfId="6647" hidden="1" xr:uid="{00000000-0005-0000-0000-0000F0210000}"/>
    <cellStyle name="Heading 2 3" xfId="6680" hidden="1" xr:uid="{00000000-0005-0000-0000-0000F1210000}"/>
    <cellStyle name="Heading 2 3" xfId="6713" hidden="1" xr:uid="{00000000-0005-0000-0000-0000F2210000}"/>
    <cellStyle name="Heading 2 3" xfId="5214" hidden="1" xr:uid="{00000000-0005-0000-0000-0000F3210000}"/>
    <cellStyle name="Heading 2 3" xfId="6803" hidden="1" xr:uid="{00000000-0005-0000-0000-0000F4210000}"/>
    <cellStyle name="Heading 2 3" xfId="6840" hidden="1" xr:uid="{00000000-0005-0000-0000-0000F5210000}"/>
    <cellStyle name="Heading 2 3" xfId="6873" hidden="1" xr:uid="{00000000-0005-0000-0000-0000F6210000}"/>
    <cellStyle name="Heading 2 3" xfId="6905" hidden="1" xr:uid="{00000000-0005-0000-0000-0000F7210000}"/>
    <cellStyle name="Heading 2 3" xfId="6937" hidden="1" xr:uid="{00000000-0005-0000-0000-0000F8210000}"/>
    <cellStyle name="Heading 2 3" xfId="6970" hidden="1" xr:uid="{00000000-0005-0000-0000-0000F9210000}"/>
    <cellStyle name="Heading 2 3" xfId="7002" hidden="1" xr:uid="{00000000-0005-0000-0000-0000FA210000}"/>
    <cellStyle name="Heading 2 3" xfId="7035" hidden="1" xr:uid="{00000000-0005-0000-0000-0000FB210000}"/>
    <cellStyle name="Heading 2 3" xfId="7067" hidden="1" xr:uid="{00000000-0005-0000-0000-0000FC210000}"/>
    <cellStyle name="Heading 2 3" xfId="7100" hidden="1" xr:uid="{00000000-0005-0000-0000-0000FD210000}"/>
    <cellStyle name="Heading 2 3" xfId="7133" hidden="1" xr:uid="{00000000-0005-0000-0000-0000FE210000}"/>
    <cellStyle name="Heading 2 3" xfId="7166" hidden="1" xr:uid="{00000000-0005-0000-0000-0000FF210000}"/>
    <cellStyle name="Heading 2 3" xfId="7199" hidden="1" xr:uid="{00000000-0005-0000-0000-000000220000}"/>
    <cellStyle name="Heading 2 3" xfId="7232" hidden="1" xr:uid="{00000000-0005-0000-0000-000001220000}"/>
    <cellStyle name="Heading 2 3" xfId="7265" hidden="1" xr:uid="{00000000-0005-0000-0000-000002220000}"/>
    <cellStyle name="Heading 2 3" xfId="7316" hidden="1" xr:uid="{00000000-0005-0000-0000-000003220000}"/>
    <cellStyle name="Heading 2 3" xfId="7353" hidden="1" xr:uid="{00000000-0005-0000-0000-000004220000}"/>
    <cellStyle name="Heading 2 3" xfId="7386" hidden="1" xr:uid="{00000000-0005-0000-0000-000005220000}"/>
    <cellStyle name="Heading 2 3" xfId="7418" hidden="1" xr:uid="{00000000-0005-0000-0000-000006220000}"/>
    <cellStyle name="Heading 2 3" xfId="7450" hidden="1" xr:uid="{00000000-0005-0000-0000-000007220000}"/>
    <cellStyle name="Heading 2 3" xfId="7483" hidden="1" xr:uid="{00000000-0005-0000-0000-000008220000}"/>
    <cellStyle name="Heading 2 3" xfId="7515" hidden="1" xr:uid="{00000000-0005-0000-0000-000009220000}"/>
    <cellStyle name="Heading 2 3" xfId="7548" hidden="1" xr:uid="{00000000-0005-0000-0000-00000A220000}"/>
    <cellStyle name="Heading 2 3" xfId="7580" hidden="1" xr:uid="{00000000-0005-0000-0000-00000B220000}"/>
    <cellStyle name="Heading 2 3" xfId="7613" hidden="1" xr:uid="{00000000-0005-0000-0000-00000C220000}"/>
    <cellStyle name="Heading 2 3" xfId="7646" hidden="1" xr:uid="{00000000-0005-0000-0000-00000D220000}"/>
    <cellStyle name="Heading 2 3" xfId="7679" hidden="1" xr:uid="{00000000-0005-0000-0000-00000E220000}"/>
    <cellStyle name="Heading 2 3" xfId="7712" hidden="1" xr:uid="{00000000-0005-0000-0000-00000F220000}"/>
    <cellStyle name="Heading 2 3" xfId="7745" hidden="1" xr:uid="{00000000-0005-0000-0000-000010220000}"/>
    <cellStyle name="Heading 2 3" xfId="7289" hidden="1" xr:uid="{00000000-0005-0000-0000-000011220000}"/>
    <cellStyle name="Heading 2 3" xfId="7793" hidden="1" xr:uid="{00000000-0005-0000-0000-000012220000}"/>
    <cellStyle name="Heading 2 3" xfId="7830" hidden="1" xr:uid="{00000000-0005-0000-0000-000013220000}"/>
    <cellStyle name="Heading 2 3" xfId="7863" hidden="1" xr:uid="{00000000-0005-0000-0000-000014220000}"/>
    <cellStyle name="Heading 2 3" xfId="7895" hidden="1" xr:uid="{00000000-0005-0000-0000-000015220000}"/>
    <cellStyle name="Heading 2 3" xfId="7927" hidden="1" xr:uid="{00000000-0005-0000-0000-000016220000}"/>
    <cellStyle name="Heading 2 3" xfId="7960" hidden="1" xr:uid="{00000000-0005-0000-0000-000017220000}"/>
    <cellStyle name="Heading 2 3" xfId="7992" hidden="1" xr:uid="{00000000-0005-0000-0000-000018220000}"/>
    <cellStyle name="Heading 2 3" xfId="8025" hidden="1" xr:uid="{00000000-0005-0000-0000-000019220000}"/>
    <cellStyle name="Heading 2 3" xfId="8057" hidden="1" xr:uid="{00000000-0005-0000-0000-00001A220000}"/>
    <cellStyle name="Heading 2 3" xfId="8090" hidden="1" xr:uid="{00000000-0005-0000-0000-00001B220000}"/>
    <cellStyle name="Heading 2 3" xfId="8123" hidden="1" xr:uid="{00000000-0005-0000-0000-00001C220000}"/>
    <cellStyle name="Heading 2 3" xfId="8156" hidden="1" xr:uid="{00000000-0005-0000-0000-00001D220000}"/>
    <cellStyle name="Heading 2 3" xfId="8189" hidden="1" xr:uid="{00000000-0005-0000-0000-00001E220000}"/>
    <cellStyle name="Heading 2 3" xfId="8222" hidden="1" xr:uid="{00000000-0005-0000-0000-00001F220000}"/>
    <cellStyle name="Heading 2 3" xfId="6778" hidden="1" xr:uid="{00000000-0005-0000-0000-000020220000}"/>
    <cellStyle name="Heading 2 3" xfId="5751" hidden="1" xr:uid="{00000000-0005-0000-0000-000021220000}"/>
    <cellStyle name="Heading 2 3" xfId="4361" hidden="1" xr:uid="{00000000-0005-0000-0000-000022220000}"/>
    <cellStyle name="Heading 2 3" xfId="6764" hidden="1" xr:uid="{00000000-0005-0000-0000-000023220000}"/>
    <cellStyle name="Heading 2 3" xfId="5727" hidden="1" xr:uid="{00000000-0005-0000-0000-000024220000}"/>
    <cellStyle name="Heading 2 3" xfId="4278" hidden="1" xr:uid="{00000000-0005-0000-0000-000025220000}"/>
    <cellStyle name="Heading 2 3" xfId="5764" hidden="1" xr:uid="{00000000-0005-0000-0000-000026220000}"/>
    <cellStyle name="Heading 2 3" xfId="8267" hidden="1" xr:uid="{00000000-0005-0000-0000-000027220000}"/>
    <cellStyle name="Heading 2 3" xfId="8300" hidden="1" xr:uid="{00000000-0005-0000-0000-000028220000}"/>
    <cellStyle name="Heading 2 3" xfId="8333" hidden="1" xr:uid="{00000000-0005-0000-0000-000029220000}"/>
    <cellStyle name="Heading 2 3" xfId="8366" hidden="1" xr:uid="{00000000-0005-0000-0000-00002A220000}"/>
    <cellStyle name="Heading 2 3" xfId="8399" hidden="1" xr:uid="{00000000-0005-0000-0000-00002B220000}"/>
    <cellStyle name="Heading 2 3" xfId="8436" hidden="1" xr:uid="{00000000-0005-0000-0000-00002C220000}"/>
    <cellStyle name="Heading 2 3" xfId="8469" hidden="1" xr:uid="{00000000-0005-0000-0000-00002D220000}"/>
    <cellStyle name="Heading 2 3" xfId="8501" hidden="1" xr:uid="{00000000-0005-0000-0000-00002E220000}"/>
    <cellStyle name="Heading 2 3" xfId="8533" hidden="1" xr:uid="{00000000-0005-0000-0000-00002F220000}"/>
    <cellStyle name="Heading 2 3" xfId="8566" hidden="1" xr:uid="{00000000-0005-0000-0000-000030220000}"/>
    <cellStyle name="Heading 2 3" xfId="8598" hidden="1" xr:uid="{00000000-0005-0000-0000-000031220000}"/>
    <cellStyle name="Heading 2 3" xfId="8631" hidden="1" xr:uid="{00000000-0005-0000-0000-000032220000}"/>
    <cellStyle name="Heading 2 3" xfId="8663" hidden="1" xr:uid="{00000000-0005-0000-0000-000033220000}"/>
    <cellStyle name="Heading 2 3" xfId="8696" hidden="1" xr:uid="{00000000-0005-0000-0000-000034220000}"/>
    <cellStyle name="Heading 2 3" xfId="8729" hidden="1" xr:uid="{00000000-0005-0000-0000-000035220000}"/>
    <cellStyle name="Heading 2 3" xfId="8762" hidden="1" xr:uid="{00000000-0005-0000-0000-000036220000}"/>
    <cellStyle name="Heading 2 3" xfId="8795" hidden="1" xr:uid="{00000000-0005-0000-0000-000037220000}"/>
    <cellStyle name="Heading 2 3" xfId="8828" hidden="1" xr:uid="{00000000-0005-0000-0000-000038220000}"/>
    <cellStyle name="Heading 2 3" xfId="8861" hidden="1" xr:uid="{00000000-0005-0000-0000-000039220000}"/>
    <cellStyle name="Heading 2 3" xfId="8901" hidden="1" xr:uid="{00000000-0005-0000-0000-00003A220000}"/>
    <cellStyle name="Heading 2 3" xfId="8938" hidden="1" xr:uid="{00000000-0005-0000-0000-00003B220000}"/>
    <cellStyle name="Heading 2 3" xfId="8971" hidden="1" xr:uid="{00000000-0005-0000-0000-00003C220000}"/>
    <cellStyle name="Heading 2 3" xfId="9003" hidden="1" xr:uid="{00000000-0005-0000-0000-00003D220000}"/>
    <cellStyle name="Heading 2 3" xfId="9035" hidden="1" xr:uid="{00000000-0005-0000-0000-00003E220000}"/>
    <cellStyle name="Heading 2 3" xfId="9068" hidden="1" xr:uid="{00000000-0005-0000-0000-00003F220000}"/>
    <cellStyle name="Heading 2 3" xfId="9100" hidden="1" xr:uid="{00000000-0005-0000-0000-000040220000}"/>
    <cellStyle name="Heading 2 3" xfId="9133" hidden="1" xr:uid="{00000000-0005-0000-0000-000041220000}"/>
    <cellStyle name="Heading 2 3" xfId="9165" hidden="1" xr:uid="{00000000-0005-0000-0000-000042220000}"/>
    <cellStyle name="Heading 2 3" xfId="9198" hidden="1" xr:uid="{00000000-0005-0000-0000-000043220000}"/>
    <cellStyle name="Heading 2 3" xfId="9231" hidden="1" xr:uid="{00000000-0005-0000-0000-000044220000}"/>
    <cellStyle name="Heading 2 3" xfId="9264" hidden="1" xr:uid="{00000000-0005-0000-0000-000045220000}"/>
    <cellStyle name="Heading 2 3" xfId="9297" hidden="1" xr:uid="{00000000-0005-0000-0000-000046220000}"/>
    <cellStyle name="Heading 2 3" xfId="9330" hidden="1" xr:uid="{00000000-0005-0000-0000-000047220000}"/>
    <cellStyle name="Heading 2 3" xfId="9363" hidden="1" xr:uid="{00000000-0005-0000-0000-000048220000}"/>
    <cellStyle name="Heading 2 3" xfId="9414" hidden="1" xr:uid="{00000000-0005-0000-0000-000049220000}"/>
    <cellStyle name="Heading 2 3" xfId="9451" hidden="1" xr:uid="{00000000-0005-0000-0000-00004A220000}"/>
    <cellStyle name="Heading 2 3" xfId="9484" hidden="1" xr:uid="{00000000-0005-0000-0000-00004B220000}"/>
    <cellStyle name="Heading 2 3" xfId="9516" hidden="1" xr:uid="{00000000-0005-0000-0000-00004C220000}"/>
    <cellStyle name="Heading 2 3" xfId="9548" hidden="1" xr:uid="{00000000-0005-0000-0000-00004D220000}"/>
    <cellStyle name="Heading 2 3" xfId="9581" hidden="1" xr:uid="{00000000-0005-0000-0000-00004E220000}"/>
    <cellStyle name="Heading 2 3" xfId="9613" hidden="1" xr:uid="{00000000-0005-0000-0000-00004F220000}"/>
    <cellStyle name="Heading 2 3" xfId="9646" hidden="1" xr:uid="{00000000-0005-0000-0000-000050220000}"/>
    <cellStyle name="Heading 2 3" xfId="9678" hidden="1" xr:uid="{00000000-0005-0000-0000-000051220000}"/>
    <cellStyle name="Heading 2 3" xfId="9711" hidden="1" xr:uid="{00000000-0005-0000-0000-000052220000}"/>
    <cellStyle name="Heading 2 3" xfId="9744" hidden="1" xr:uid="{00000000-0005-0000-0000-000053220000}"/>
    <cellStyle name="Heading 2 3" xfId="9777" hidden="1" xr:uid="{00000000-0005-0000-0000-000054220000}"/>
    <cellStyle name="Heading 2 3" xfId="9810" hidden="1" xr:uid="{00000000-0005-0000-0000-000055220000}"/>
    <cellStyle name="Heading 2 3" xfId="9843" hidden="1" xr:uid="{00000000-0005-0000-0000-000056220000}"/>
    <cellStyle name="Heading 2 3" xfId="9387" hidden="1" xr:uid="{00000000-0005-0000-0000-000057220000}"/>
    <cellStyle name="Heading 2 3" xfId="9891" hidden="1" xr:uid="{00000000-0005-0000-0000-000058220000}"/>
    <cellStyle name="Heading 2 3" xfId="9928" hidden="1" xr:uid="{00000000-0005-0000-0000-000059220000}"/>
    <cellStyle name="Heading 2 3" xfId="9961" hidden="1" xr:uid="{00000000-0005-0000-0000-00005A220000}"/>
    <cellStyle name="Heading 2 3" xfId="9993" hidden="1" xr:uid="{00000000-0005-0000-0000-00005B220000}"/>
    <cellStyle name="Heading 2 3" xfId="10025" hidden="1" xr:uid="{00000000-0005-0000-0000-00005C220000}"/>
    <cellStyle name="Heading 2 3" xfId="10058" hidden="1" xr:uid="{00000000-0005-0000-0000-00005D220000}"/>
    <cellStyle name="Heading 2 3" xfId="10090" hidden="1" xr:uid="{00000000-0005-0000-0000-00005E220000}"/>
    <cellStyle name="Heading 2 3" xfId="10123" hidden="1" xr:uid="{00000000-0005-0000-0000-00005F220000}"/>
    <cellStyle name="Heading 2 3" xfId="10155" hidden="1" xr:uid="{00000000-0005-0000-0000-000060220000}"/>
    <cellStyle name="Heading 2 3" xfId="10188" hidden="1" xr:uid="{00000000-0005-0000-0000-000061220000}"/>
    <cellStyle name="Heading 2 3" xfId="10221" hidden="1" xr:uid="{00000000-0005-0000-0000-000062220000}"/>
    <cellStyle name="Heading 2 3" xfId="10254" hidden="1" xr:uid="{00000000-0005-0000-0000-000063220000}"/>
    <cellStyle name="Heading 2 3" xfId="10287" hidden="1" xr:uid="{00000000-0005-0000-0000-000064220000}"/>
    <cellStyle name="Heading 2 3" xfId="10320" hidden="1" xr:uid="{00000000-0005-0000-0000-000065220000}"/>
    <cellStyle name="Heading 2 3" xfId="8874" hidden="1" xr:uid="{00000000-0005-0000-0000-000066220000}"/>
    <cellStyle name="Heading 2 3" xfId="10379" hidden="1" xr:uid="{00000000-0005-0000-0000-000067220000}"/>
    <cellStyle name="Heading 2 3" xfId="10416" hidden="1" xr:uid="{00000000-0005-0000-0000-000068220000}"/>
    <cellStyle name="Heading 2 3" xfId="10449" hidden="1" xr:uid="{00000000-0005-0000-0000-000069220000}"/>
    <cellStyle name="Heading 2 3" xfId="10481" hidden="1" xr:uid="{00000000-0005-0000-0000-00006A220000}"/>
    <cellStyle name="Heading 2 3" xfId="10513" hidden="1" xr:uid="{00000000-0005-0000-0000-00006B220000}"/>
    <cellStyle name="Heading 2 3" xfId="10546" hidden="1" xr:uid="{00000000-0005-0000-0000-00006C220000}"/>
    <cellStyle name="Heading 2 3" xfId="10578" hidden="1" xr:uid="{00000000-0005-0000-0000-00006D220000}"/>
    <cellStyle name="Heading 2 3" xfId="10611" hidden="1" xr:uid="{00000000-0005-0000-0000-00006E220000}"/>
    <cellStyle name="Heading 2 3" xfId="10643" hidden="1" xr:uid="{00000000-0005-0000-0000-00006F220000}"/>
    <cellStyle name="Heading 2 3" xfId="10676" hidden="1" xr:uid="{00000000-0005-0000-0000-000070220000}"/>
    <cellStyle name="Heading 2 3" xfId="10709" hidden="1" xr:uid="{00000000-0005-0000-0000-000071220000}"/>
    <cellStyle name="Heading 2 3" xfId="10742" hidden="1" xr:uid="{00000000-0005-0000-0000-000072220000}"/>
    <cellStyle name="Heading 2 3" xfId="10775" hidden="1" xr:uid="{00000000-0005-0000-0000-000073220000}"/>
    <cellStyle name="Heading 2 3" xfId="10808" hidden="1" xr:uid="{00000000-0005-0000-0000-000074220000}"/>
    <cellStyle name="Heading 2 3" xfId="10841" hidden="1" xr:uid="{00000000-0005-0000-0000-000075220000}"/>
    <cellStyle name="Heading 2 3" xfId="10892" hidden="1" xr:uid="{00000000-0005-0000-0000-000076220000}"/>
    <cellStyle name="Heading 2 3" xfId="10929" hidden="1" xr:uid="{00000000-0005-0000-0000-000077220000}"/>
    <cellStyle name="Heading 2 3" xfId="10962" hidden="1" xr:uid="{00000000-0005-0000-0000-000078220000}"/>
    <cellStyle name="Heading 2 3" xfId="10994" hidden="1" xr:uid="{00000000-0005-0000-0000-000079220000}"/>
    <cellStyle name="Heading 2 3" xfId="11026" hidden="1" xr:uid="{00000000-0005-0000-0000-00007A220000}"/>
    <cellStyle name="Heading 2 3" xfId="11059" hidden="1" xr:uid="{00000000-0005-0000-0000-00007B220000}"/>
    <cellStyle name="Heading 2 3" xfId="11091" hidden="1" xr:uid="{00000000-0005-0000-0000-00007C220000}"/>
    <cellStyle name="Heading 2 3" xfId="11124" hidden="1" xr:uid="{00000000-0005-0000-0000-00007D220000}"/>
    <cellStyle name="Heading 2 3" xfId="11156" hidden="1" xr:uid="{00000000-0005-0000-0000-00007E220000}"/>
    <cellStyle name="Heading 2 3" xfId="11189" hidden="1" xr:uid="{00000000-0005-0000-0000-00007F220000}"/>
    <cellStyle name="Heading 2 3" xfId="11222" hidden="1" xr:uid="{00000000-0005-0000-0000-000080220000}"/>
    <cellStyle name="Heading 2 3" xfId="11255" hidden="1" xr:uid="{00000000-0005-0000-0000-000081220000}"/>
    <cellStyle name="Heading 2 3" xfId="11288" hidden="1" xr:uid="{00000000-0005-0000-0000-000082220000}"/>
    <cellStyle name="Heading 2 3" xfId="11321" hidden="1" xr:uid="{00000000-0005-0000-0000-000083220000}"/>
    <cellStyle name="Heading 2 3" xfId="10865" hidden="1" xr:uid="{00000000-0005-0000-0000-000084220000}"/>
    <cellStyle name="Heading 2 3" xfId="11369" hidden="1" xr:uid="{00000000-0005-0000-0000-000085220000}"/>
    <cellStyle name="Heading 2 3" xfId="11406" hidden="1" xr:uid="{00000000-0005-0000-0000-000086220000}"/>
    <cellStyle name="Heading 2 3" xfId="11439" hidden="1" xr:uid="{00000000-0005-0000-0000-000087220000}"/>
    <cellStyle name="Heading 2 3" xfId="11471" hidden="1" xr:uid="{00000000-0005-0000-0000-000088220000}"/>
    <cellStyle name="Heading 2 3" xfId="11503" hidden="1" xr:uid="{00000000-0005-0000-0000-000089220000}"/>
    <cellStyle name="Heading 2 3" xfId="11536" hidden="1" xr:uid="{00000000-0005-0000-0000-00008A220000}"/>
    <cellStyle name="Heading 2 3" xfId="11568" hidden="1" xr:uid="{00000000-0005-0000-0000-00008B220000}"/>
    <cellStyle name="Heading 2 3" xfId="11601" hidden="1" xr:uid="{00000000-0005-0000-0000-00008C220000}"/>
    <cellStyle name="Heading 2 3" xfId="11633" hidden="1" xr:uid="{00000000-0005-0000-0000-00008D220000}"/>
    <cellStyle name="Heading 2 3" xfId="11666" hidden="1" xr:uid="{00000000-0005-0000-0000-00008E220000}"/>
    <cellStyle name="Heading 2 3" xfId="11699" hidden="1" xr:uid="{00000000-0005-0000-0000-00008F220000}"/>
    <cellStyle name="Heading 2 3" xfId="11732" hidden="1" xr:uid="{00000000-0005-0000-0000-000090220000}"/>
    <cellStyle name="Heading 2 3" xfId="11765" hidden="1" xr:uid="{00000000-0005-0000-0000-000091220000}"/>
    <cellStyle name="Heading 2 3" xfId="11798" hidden="1" xr:uid="{00000000-0005-0000-0000-000092220000}"/>
    <cellStyle name="Heading 2 3" xfId="1723" xr:uid="{00000000-0005-0000-0000-000093220000}"/>
    <cellStyle name="Heading 2 3 2" xfId="1623" xr:uid="{00000000-0005-0000-0000-000094220000}"/>
    <cellStyle name="Heading 2 3 3" xfId="1624" xr:uid="{00000000-0005-0000-0000-000095220000}"/>
    <cellStyle name="Heading 2 3 4" xfId="1622" xr:uid="{00000000-0005-0000-0000-000096220000}"/>
    <cellStyle name="Heading 2 4" xfId="1625" xr:uid="{00000000-0005-0000-0000-000097220000}"/>
    <cellStyle name="Heading 2 5" xfId="1626" xr:uid="{00000000-0005-0000-0000-000098220000}"/>
    <cellStyle name="Heading 2 6" xfId="1627" xr:uid="{00000000-0005-0000-0000-000099220000}"/>
    <cellStyle name="Heading 3 2" xfId="115" xr:uid="{00000000-0005-0000-0000-00009A220000}"/>
    <cellStyle name="Heading 3 2 2" xfId="1629" xr:uid="{00000000-0005-0000-0000-00009B220000}"/>
    <cellStyle name="Heading 3 2 3" xfId="1628" xr:uid="{00000000-0005-0000-0000-00009C220000}"/>
    <cellStyle name="Heading 3 2 4" xfId="2742" xr:uid="{00000000-0005-0000-0000-00009D220000}"/>
    <cellStyle name="Heading 3 3" xfId="202" hidden="1" xr:uid="{00000000-0005-0000-0000-00009E220000}"/>
    <cellStyle name="Heading 3 3" xfId="255" hidden="1" xr:uid="{00000000-0005-0000-0000-00009F220000}"/>
    <cellStyle name="Heading 3 3" xfId="288" hidden="1" xr:uid="{00000000-0005-0000-0000-0000A0220000}"/>
    <cellStyle name="Heading 3 3" xfId="321" hidden="1" xr:uid="{00000000-0005-0000-0000-0000A1220000}"/>
    <cellStyle name="Heading 3 3" xfId="354" hidden="1" xr:uid="{00000000-0005-0000-0000-0000A2220000}"/>
    <cellStyle name="Heading 3 3" xfId="388" hidden="1" xr:uid="{00000000-0005-0000-0000-0000A3220000}"/>
    <cellStyle name="Heading 3 3" xfId="421" hidden="1" xr:uid="{00000000-0005-0000-0000-0000A4220000}"/>
    <cellStyle name="Heading 3 3" xfId="454" hidden="1" xr:uid="{00000000-0005-0000-0000-0000A5220000}"/>
    <cellStyle name="Heading 3 3" xfId="487" hidden="1" xr:uid="{00000000-0005-0000-0000-0000A6220000}"/>
    <cellStyle name="Heading 3 3" xfId="520" hidden="1" xr:uid="{00000000-0005-0000-0000-0000A7220000}"/>
    <cellStyle name="Heading 3 3" xfId="553" hidden="1" xr:uid="{00000000-0005-0000-0000-0000A8220000}"/>
    <cellStyle name="Heading 3 3" xfId="586" hidden="1" xr:uid="{00000000-0005-0000-0000-0000A9220000}"/>
    <cellStyle name="Heading 3 3" xfId="623" hidden="1" xr:uid="{00000000-0005-0000-0000-0000AA220000}"/>
    <cellStyle name="Heading 3 3" xfId="656" hidden="1" xr:uid="{00000000-0005-0000-0000-0000AB220000}"/>
    <cellStyle name="Heading 3 3" xfId="688" hidden="1" xr:uid="{00000000-0005-0000-0000-0000AC220000}"/>
    <cellStyle name="Heading 3 3" xfId="720" hidden="1" xr:uid="{00000000-0005-0000-0000-0000AD220000}"/>
    <cellStyle name="Heading 3 3" xfId="753" hidden="1" xr:uid="{00000000-0005-0000-0000-0000AE220000}"/>
    <cellStyle name="Heading 3 3" xfId="785" hidden="1" xr:uid="{00000000-0005-0000-0000-0000AF220000}"/>
    <cellStyle name="Heading 3 3" xfId="818" hidden="1" xr:uid="{00000000-0005-0000-0000-0000B0220000}"/>
    <cellStyle name="Heading 3 3" xfId="850" hidden="1" xr:uid="{00000000-0005-0000-0000-0000B1220000}"/>
    <cellStyle name="Heading 3 3" xfId="883" hidden="1" xr:uid="{00000000-0005-0000-0000-0000B2220000}"/>
    <cellStyle name="Heading 3 3" xfId="916" hidden="1" xr:uid="{00000000-0005-0000-0000-0000B3220000}"/>
    <cellStyle name="Heading 3 3" xfId="949" hidden="1" xr:uid="{00000000-0005-0000-0000-0000B4220000}"/>
    <cellStyle name="Heading 3 3" xfId="982" hidden="1" xr:uid="{00000000-0005-0000-0000-0000B5220000}"/>
    <cellStyle name="Heading 3 3" xfId="1015" hidden="1" xr:uid="{00000000-0005-0000-0000-0000B6220000}"/>
    <cellStyle name="Heading 3 3" xfId="1048" hidden="1" xr:uid="{00000000-0005-0000-0000-0000B7220000}"/>
    <cellStyle name="Heading 3 3" xfId="1091" hidden="1" xr:uid="{00000000-0005-0000-0000-0000B8220000}"/>
    <cellStyle name="Heading 3 3" xfId="1129" hidden="1" xr:uid="{00000000-0005-0000-0000-0000B9220000}"/>
    <cellStyle name="Heading 3 3" xfId="1162" hidden="1" xr:uid="{00000000-0005-0000-0000-0000BA220000}"/>
    <cellStyle name="Heading 3 3" xfId="1194" hidden="1" xr:uid="{00000000-0005-0000-0000-0000BB220000}"/>
    <cellStyle name="Heading 3 3" xfId="1226" hidden="1" xr:uid="{00000000-0005-0000-0000-0000BC220000}"/>
    <cellStyle name="Heading 3 3" xfId="1259" hidden="1" xr:uid="{00000000-0005-0000-0000-0000BD220000}"/>
    <cellStyle name="Heading 3 3" xfId="1291" hidden="1" xr:uid="{00000000-0005-0000-0000-0000BE220000}"/>
    <cellStyle name="Heading 3 3" xfId="1324" hidden="1" xr:uid="{00000000-0005-0000-0000-0000BF220000}"/>
    <cellStyle name="Heading 3 3" xfId="1356" hidden="1" xr:uid="{00000000-0005-0000-0000-0000C0220000}"/>
    <cellStyle name="Heading 3 3" xfId="1389" hidden="1" xr:uid="{00000000-0005-0000-0000-0000C1220000}"/>
    <cellStyle name="Heading 3 3" xfId="1422" hidden="1" xr:uid="{00000000-0005-0000-0000-0000C2220000}"/>
    <cellStyle name="Heading 3 3" xfId="1455" hidden="1" xr:uid="{00000000-0005-0000-0000-0000C3220000}"/>
    <cellStyle name="Heading 3 3" xfId="1488" hidden="1" xr:uid="{00000000-0005-0000-0000-0000C4220000}"/>
    <cellStyle name="Heading 3 3" xfId="1521" hidden="1" xr:uid="{00000000-0005-0000-0000-0000C5220000}"/>
    <cellStyle name="Heading 3 3" xfId="1554" hidden="1" xr:uid="{00000000-0005-0000-0000-0000C6220000}"/>
    <cellStyle name="Heading 3 3" xfId="1768" hidden="1" xr:uid="{00000000-0005-0000-0000-0000C7220000}"/>
    <cellStyle name="Heading 3 3" xfId="1805" hidden="1" xr:uid="{00000000-0005-0000-0000-0000C8220000}"/>
    <cellStyle name="Heading 3 3" xfId="1838" hidden="1" xr:uid="{00000000-0005-0000-0000-0000C9220000}"/>
    <cellStyle name="Heading 3 3" xfId="1870" hidden="1" xr:uid="{00000000-0005-0000-0000-0000CA220000}"/>
    <cellStyle name="Heading 3 3" xfId="1902" hidden="1" xr:uid="{00000000-0005-0000-0000-0000CB220000}"/>
    <cellStyle name="Heading 3 3" xfId="1935" hidden="1" xr:uid="{00000000-0005-0000-0000-0000CC220000}"/>
    <cellStyle name="Heading 3 3" xfId="1967" hidden="1" xr:uid="{00000000-0005-0000-0000-0000CD220000}"/>
    <cellStyle name="Heading 3 3" xfId="2000" hidden="1" xr:uid="{00000000-0005-0000-0000-0000CE220000}"/>
    <cellStyle name="Heading 3 3" xfId="2032" hidden="1" xr:uid="{00000000-0005-0000-0000-0000CF220000}"/>
    <cellStyle name="Heading 3 3" xfId="2065" hidden="1" xr:uid="{00000000-0005-0000-0000-0000D0220000}"/>
    <cellStyle name="Heading 3 3" xfId="2098" hidden="1" xr:uid="{00000000-0005-0000-0000-0000D1220000}"/>
    <cellStyle name="Heading 3 3" xfId="2131" hidden="1" xr:uid="{00000000-0005-0000-0000-0000D2220000}"/>
    <cellStyle name="Heading 3 3" xfId="2164" hidden="1" xr:uid="{00000000-0005-0000-0000-0000D3220000}"/>
    <cellStyle name="Heading 3 3" xfId="2197" hidden="1" xr:uid="{00000000-0005-0000-0000-0000D4220000}"/>
    <cellStyle name="Heading 3 3" xfId="1741" hidden="1" xr:uid="{00000000-0005-0000-0000-0000D5220000}"/>
    <cellStyle name="Heading 3 3" xfId="2245" hidden="1" xr:uid="{00000000-0005-0000-0000-0000D6220000}"/>
    <cellStyle name="Heading 3 3" xfId="2282" hidden="1" xr:uid="{00000000-0005-0000-0000-0000D7220000}"/>
    <cellStyle name="Heading 3 3" xfId="2315" hidden="1" xr:uid="{00000000-0005-0000-0000-0000D8220000}"/>
    <cellStyle name="Heading 3 3" xfId="2347" hidden="1" xr:uid="{00000000-0005-0000-0000-0000D9220000}"/>
    <cellStyle name="Heading 3 3" xfId="2379" hidden="1" xr:uid="{00000000-0005-0000-0000-0000DA220000}"/>
    <cellStyle name="Heading 3 3" xfId="2412" hidden="1" xr:uid="{00000000-0005-0000-0000-0000DB220000}"/>
    <cellStyle name="Heading 3 3" xfId="2444" hidden="1" xr:uid="{00000000-0005-0000-0000-0000DC220000}"/>
    <cellStyle name="Heading 3 3" xfId="2477" hidden="1" xr:uid="{00000000-0005-0000-0000-0000DD220000}"/>
    <cellStyle name="Heading 3 3" xfId="2509" hidden="1" xr:uid="{00000000-0005-0000-0000-0000DE220000}"/>
    <cellStyle name="Heading 3 3" xfId="2542" hidden="1" xr:uid="{00000000-0005-0000-0000-0000DF220000}"/>
    <cellStyle name="Heading 3 3" xfId="2575" hidden="1" xr:uid="{00000000-0005-0000-0000-0000E0220000}"/>
    <cellStyle name="Heading 3 3" xfId="2608" hidden="1" xr:uid="{00000000-0005-0000-0000-0000E1220000}"/>
    <cellStyle name="Heading 3 3" xfId="2641" hidden="1" xr:uid="{00000000-0005-0000-0000-0000E2220000}"/>
    <cellStyle name="Heading 3 3" xfId="2674" hidden="1" xr:uid="{00000000-0005-0000-0000-0000E3220000}"/>
    <cellStyle name="Heading 3 3" xfId="1064" hidden="1" xr:uid="{00000000-0005-0000-0000-0000E4220000}"/>
    <cellStyle name="Heading 3 3" xfId="2788" hidden="1" xr:uid="{00000000-0005-0000-0000-0000E5220000}"/>
    <cellStyle name="Heading 3 3" xfId="2825" hidden="1" xr:uid="{00000000-0005-0000-0000-0000E6220000}"/>
    <cellStyle name="Heading 3 3" xfId="2858" hidden="1" xr:uid="{00000000-0005-0000-0000-0000E7220000}"/>
    <cellStyle name="Heading 3 3" xfId="2890" hidden="1" xr:uid="{00000000-0005-0000-0000-0000E8220000}"/>
    <cellStyle name="Heading 3 3" xfId="2922" hidden="1" xr:uid="{00000000-0005-0000-0000-0000E9220000}"/>
    <cellStyle name="Heading 3 3" xfId="2955" hidden="1" xr:uid="{00000000-0005-0000-0000-0000EA220000}"/>
    <cellStyle name="Heading 3 3" xfId="2987" hidden="1" xr:uid="{00000000-0005-0000-0000-0000EB220000}"/>
    <cellStyle name="Heading 3 3" xfId="3020" hidden="1" xr:uid="{00000000-0005-0000-0000-0000EC220000}"/>
    <cellStyle name="Heading 3 3" xfId="3052" hidden="1" xr:uid="{00000000-0005-0000-0000-0000ED220000}"/>
    <cellStyle name="Heading 3 3" xfId="3085" hidden="1" xr:uid="{00000000-0005-0000-0000-0000EE220000}"/>
    <cellStyle name="Heading 3 3" xfId="3118" hidden="1" xr:uid="{00000000-0005-0000-0000-0000EF220000}"/>
    <cellStyle name="Heading 3 3" xfId="3151" hidden="1" xr:uid="{00000000-0005-0000-0000-0000F0220000}"/>
    <cellStyle name="Heading 3 3" xfId="3184" hidden="1" xr:uid="{00000000-0005-0000-0000-0000F1220000}"/>
    <cellStyle name="Heading 3 3" xfId="3217" hidden="1" xr:uid="{00000000-0005-0000-0000-0000F2220000}"/>
    <cellStyle name="Heading 3 3" xfId="3250" hidden="1" xr:uid="{00000000-0005-0000-0000-0000F3220000}"/>
    <cellStyle name="Heading 3 3" xfId="3301" hidden="1" xr:uid="{00000000-0005-0000-0000-0000F4220000}"/>
    <cellStyle name="Heading 3 3" xfId="3338" hidden="1" xr:uid="{00000000-0005-0000-0000-0000F5220000}"/>
    <cellStyle name="Heading 3 3" xfId="3371" hidden="1" xr:uid="{00000000-0005-0000-0000-0000F6220000}"/>
    <cellStyle name="Heading 3 3" xfId="3403" hidden="1" xr:uid="{00000000-0005-0000-0000-0000F7220000}"/>
    <cellStyle name="Heading 3 3" xfId="3435" hidden="1" xr:uid="{00000000-0005-0000-0000-0000F8220000}"/>
    <cellStyle name="Heading 3 3" xfId="3468" hidden="1" xr:uid="{00000000-0005-0000-0000-0000F9220000}"/>
    <cellStyle name="Heading 3 3" xfId="3500" hidden="1" xr:uid="{00000000-0005-0000-0000-0000FA220000}"/>
    <cellStyle name="Heading 3 3" xfId="3533" hidden="1" xr:uid="{00000000-0005-0000-0000-0000FB220000}"/>
    <cellStyle name="Heading 3 3" xfId="3565" hidden="1" xr:uid="{00000000-0005-0000-0000-0000FC220000}"/>
    <cellStyle name="Heading 3 3" xfId="3598" hidden="1" xr:uid="{00000000-0005-0000-0000-0000FD220000}"/>
    <cellStyle name="Heading 3 3" xfId="3631" hidden="1" xr:uid="{00000000-0005-0000-0000-0000FE220000}"/>
    <cellStyle name="Heading 3 3" xfId="3664" hidden="1" xr:uid="{00000000-0005-0000-0000-0000FF220000}"/>
    <cellStyle name="Heading 3 3" xfId="3697" hidden="1" xr:uid="{00000000-0005-0000-0000-000000230000}"/>
    <cellStyle name="Heading 3 3" xfId="3730" hidden="1" xr:uid="{00000000-0005-0000-0000-000001230000}"/>
    <cellStyle name="Heading 3 3" xfId="3274" hidden="1" xr:uid="{00000000-0005-0000-0000-000002230000}"/>
    <cellStyle name="Heading 3 3" xfId="3778" hidden="1" xr:uid="{00000000-0005-0000-0000-000003230000}"/>
    <cellStyle name="Heading 3 3" xfId="3815" hidden="1" xr:uid="{00000000-0005-0000-0000-000004230000}"/>
    <cellStyle name="Heading 3 3" xfId="3848" hidden="1" xr:uid="{00000000-0005-0000-0000-000005230000}"/>
    <cellStyle name="Heading 3 3" xfId="3880" hidden="1" xr:uid="{00000000-0005-0000-0000-000006230000}"/>
    <cellStyle name="Heading 3 3" xfId="3912" hidden="1" xr:uid="{00000000-0005-0000-0000-000007230000}"/>
    <cellStyle name="Heading 3 3" xfId="3945" hidden="1" xr:uid="{00000000-0005-0000-0000-000008230000}"/>
    <cellStyle name="Heading 3 3" xfId="3977" hidden="1" xr:uid="{00000000-0005-0000-0000-000009230000}"/>
    <cellStyle name="Heading 3 3" xfId="4010" hidden="1" xr:uid="{00000000-0005-0000-0000-00000A230000}"/>
    <cellStyle name="Heading 3 3" xfId="4042" hidden="1" xr:uid="{00000000-0005-0000-0000-00000B230000}"/>
    <cellStyle name="Heading 3 3" xfId="4075" hidden="1" xr:uid="{00000000-0005-0000-0000-00000C230000}"/>
    <cellStyle name="Heading 3 3" xfId="4108" hidden="1" xr:uid="{00000000-0005-0000-0000-00000D230000}"/>
    <cellStyle name="Heading 3 3" xfId="4141" hidden="1" xr:uid="{00000000-0005-0000-0000-00000E230000}"/>
    <cellStyle name="Heading 3 3" xfId="4174" hidden="1" xr:uid="{00000000-0005-0000-0000-00000F230000}"/>
    <cellStyle name="Heading 3 3" xfId="4207" hidden="1" xr:uid="{00000000-0005-0000-0000-000010230000}"/>
    <cellStyle name="Heading 3 3" xfId="4358" hidden="1" xr:uid="{00000000-0005-0000-0000-000011230000}"/>
    <cellStyle name="Heading 3 3" xfId="4407" hidden="1" xr:uid="{00000000-0005-0000-0000-000012230000}"/>
    <cellStyle name="Heading 3 3" xfId="4440" hidden="1" xr:uid="{00000000-0005-0000-0000-000013230000}"/>
    <cellStyle name="Heading 3 3" xfId="4473" hidden="1" xr:uid="{00000000-0005-0000-0000-000014230000}"/>
    <cellStyle name="Heading 3 3" xfId="4506" hidden="1" xr:uid="{00000000-0005-0000-0000-000015230000}"/>
    <cellStyle name="Heading 3 3" xfId="4539" hidden="1" xr:uid="{00000000-0005-0000-0000-000016230000}"/>
    <cellStyle name="Heading 3 3" xfId="4572" hidden="1" xr:uid="{00000000-0005-0000-0000-000017230000}"/>
    <cellStyle name="Heading 3 3" xfId="4605" hidden="1" xr:uid="{00000000-0005-0000-0000-000018230000}"/>
    <cellStyle name="Heading 3 3" xfId="4638" hidden="1" xr:uid="{00000000-0005-0000-0000-000019230000}"/>
    <cellStyle name="Heading 3 3" xfId="4671" hidden="1" xr:uid="{00000000-0005-0000-0000-00001A230000}"/>
    <cellStyle name="Heading 3 3" xfId="4704" hidden="1" xr:uid="{00000000-0005-0000-0000-00001B230000}"/>
    <cellStyle name="Heading 3 3" xfId="4737" hidden="1" xr:uid="{00000000-0005-0000-0000-00001C230000}"/>
    <cellStyle name="Heading 3 3" xfId="4774" hidden="1" xr:uid="{00000000-0005-0000-0000-00001D230000}"/>
    <cellStyle name="Heading 3 3" xfId="4807" hidden="1" xr:uid="{00000000-0005-0000-0000-00001E230000}"/>
    <cellStyle name="Heading 3 3" xfId="4839" hidden="1" xr:uid="{00000000-0005-0000-0000-00001F230000}"/>
    <cellStyle name="Heading 3 3" xfId="4871" hidden="1" xr:uid="{00000000-0005-0000-0000-000020230000}"/>
    <cellStyle name="Heading 3 3" xfId="4904" hidden="1" xr:uid="{00000000-0005-0000-0000-000021230000}"/>
    <cellStyle name="Heading 3 3" xfId="4936" hidden="1" xr:uid="{00000000-0005-0000-0000-000022230000}"/>
    <cellStyle name="Heading 3 3" xfId="4969" hidden="1" xr:uid="{00000000-0005-0000-0000-000023230000}"/>
    <cellStyle name="Heading 3 3" xfId="5001" hidden="1" xr:uid="{00000000-0005-0000-0000-000024230000}"/>
    <cellStyle name="Heading 3 3" xfId="5034" hidden="1" xr:uid="{00000000-0005-0000-0000-000025230000}"/>
    <cellStyle name="Heading 3 3" xfId="5067" hidden="1" xr:uid="{00000000-0005-0000-0000-000026230000}"/>
    <cellStyle name="Heading 3 3" xfId="5100" hidden="1" xr:uid="{00000000-0005-0000-0000-000027230000}"/>
    <cellStyle name="Heading 3 3" xfId="5133" hidden="1" xr:uid="{00000000-0005-0000-0000-000028230000}"/>
    <cellStyle name="Heading 3 3" xfId="5166" hidden="1" xr:uid="{00000000-0005-0000-0000-000029230000}"/>
    <cellStyle name="Heading 3 3" xfId="5199" hidden="1" xr:uid="{00000000-0005-0000-0000-00002A230000}"/>
    <cellStyle name="Heading 3 3" xfId="5240" hidden="1" xr:uid="{00000000-0005-0000-0000-00002B230000}"/>
    <cellStyle name="Heading 3 3" xfId="5277" hidden="1" xr:uid="{00000000-0005-0000-0000-00002C230000}"/>
    <cellStyle name="Heading 3 3" xfId="5310" hidden="1" xr:uid="{00000000-0005-0000-0000-00002D230000}"/>
    <cellStyle name="Heading 3 3" xfId="5342" hidden="1" xr:uid="{00000000-0005-0000-0000-00002E230000}"/>
    <cellStyle name="Heading 3 3" xfId="5374" hidden="1" xr:uid="{00000000-0005-0000-0000-00002F230000}"/>
    <cellStyle name="Heading 3 3" xfId="5407" hidden="1" xr:uid="{00000000-0005-0000-0000-000030230000}"/>
    <cellStyle name="Heading 3 3" xfId="5439" hidden="1" xr:uid="{00000000-0005-0000-0000-000031230000}"/>
    <cellStyle name="Heading 3 3" xfId="5472" hidden="1" xr:uid="{00000000-0005-0000-0000-000032230000}"/>
    <cellStyle name="Heading 3 3" xfId="5504" hidden="1" xr:uid="{00000000-0005-0000-0000-000033230000}"/>
    <cellStyle name="Heading 3 3" xfId="5537" hidden="1" xr:uid="{00000000-0005-0000-0000-000034230000}"/>
    <cellStyle name="Heading 3 3" xfId="5570" hidden="1" xr:uid="{00000000-0005-0000-0000-000035230000}"/>
    <cellStyle name="Heading 3 3" xfId="5603" hidden="1" xr:uid="{00000000-0005-0000-0000-000036230000}"/>
    <cellStyle name="Heading 3 3" xfId="5636" hidden="1" xr:uid="{00000000-0005-0000-0000-000037230000}"/>
    <cellStyle name="Heading 3 3" xfId="5669" hidden="1" xr:uid="{00000000-0005-0000-0000-000038230000}"/>
    <cellStyle name="Heading 3 3" xfId="5702" hidden="1" xr:uid="{00000000-0005-0000-0000-000039230000}"/>
    <cellStyle name="Heading 3 3" xfId="5806" hidden="1" xr:uid="{00000000-0005-0000-0000-00003A230000}"/>
    <cellStyle name="Heading 3 3" xfId="5843" hidden="1" xr:uid="{00000000-0005-0000-0000-00003B230000}"/>
    <cellStyle name="Heading 3 3" xfId="5876" hidden="1" xr:uid="{00000000-0005-0000-0000-00003C230000}"/>
    <cellStyle name="Heading 3 3" xfId="5908" hidden="1" xr:uid="{00000000-0005-0000-0000-00003D230000}"/>
    <cellStyle name="Heading 3 3" xfId="5940" hidden="1" xr:uid="{00000000-0005-0000-0000-00003E230000}"/>
    <cellStyle name="Heading 3 3" xfId="5973" hidden="1" xr:uid="{00000000-0005-0000-0000-00003F230000}"/>
    <cellStyle name="Heading 3 3" xfId="6005" hidden="1" xr:uid="{00000000-0005-0000-0000-000040230000}"/>
    <cellStyle name="Heading 3 3" xfId="6038" hidden="1" xr:uid="{00000000-0005-0000-0000-000041230000}"/>
    <cellStyle name="Heading 3 3" xfId="6070" hidden="1" xr:uid="{00000000-0005-0000-0000-000042230000}"/>
    <cellStyle name="Heading 3 3" xfId="6103" hidden="1" xr:uid="{00000000-0005-0000-0000-000043230000}"/>
    <cellStyle name="Heading 3 3" xfId="6136" hidden="1" xr:uid="{00000000-0005-0000-0000-000044230000}"/>
    <cellStyle name="Heading 3 3" xfId="6169" hidden="1" xr:uid="{00000000-0005-0000-0000-000045230000}"/>
    <cellStyle name="Heading 3 3" xfId="6202" hidden="1" xr:uid="{00000000-0005-0000-0000-000046230000}"/>
    <cellStyle name="Heading 3 3" xfId="6235" hidden="1" xr:uid="{00000000-0005-0000-0000-000047230000}"/>
    <cellStyle name="Heading 3 3" xfId="5779" hidden="1" xr:uid="{00000000-0005-0000-0000-000048230000}"/>
    <cellStyle name="Heading 3 3" xfId="6283" hidden="1" xr:uid="{00000000-0005-0000-0000-000049230000}"/>
    <cellStyle name="Heading 3 3" xfId="6320" hidden="1" xr:uid="{00000000-0005-0000-0000-00004A230000}"/>
    <cellStyle name="Heading 3 3" xfId="6353" hidden="1" xr:uid="{00000000-0005-0000-0000-00004B230000}"/>
    <cellStyle name="Heading 3 3" xfId="6385" hidden="1" xr:uid="{00000000-0005-0000-0000-00004C230000}"/>
    <cellStyle name="Heading 3 3" xfId="6417" hidden="1" xr:uid="{00000000-0005-0000-0000-00004D230000}"/>
    <cellStyle name="Heading 3 3" xfId="6450" hidden="1" xr:uid="{00000000-0005-0000-0000-00004E230000}"/>
    <cellStyle name="Heading 3 3" xfId="6482" hidden="1" xr:uid="{00000000-0005-0000-0000-00004F230000}"/>
    <cellStyle name="Heading 3 3" xfId="6515" hidden="1" xr:uid="{00000000-0005-0000-0000-000050230000}"/>
    <cellStyle name="Heading 3 3" xfId="6547" hidden="1" xr:uid="{00000000-0005-0000-0000-000051230000}"/>
    <cellStyle name="Heading 3 3" xfId="6580" hidden="1" xr:uid="{00000000-0005-0000-0000-000052230000}"/>
    <cellStyle name="Heading 3 3" xfId="6613" hidden="1" xr:uid="{00000000-0005-0000-0000-000053230000}"/>
    <cellStyle name="Heading 3 3" xfId="6646" hidden="1" xr:uid="{00000000-0005-0000-0000-000054230000}"/>
    <cellStyle name="Heading 3 3" xfId="6679" hidden="1" xr:uid="{00000000-0005-0000-0000-000055230000}"/>
    <cellStyle name="Heading 3 3" xfId="6712" hidden="1" xr:uid="{00000000-0005-0000-0000-000056230000}"/>
    <cellStyle name="Heading 3 3" xfId="5213" hidden="1" xr:uid="{00000000-0005-0000-0000-000057230000}"/>
    <cellStyle name="Heading 3 3" xfId="6802" hidden="1" xr:uid="{00000000-0005-0000-0000-000058230000}"/>
    <cellStyle name="Heading 3 3" xfId="6839" hidden="1" xr:uid="{00000000-0005-0000-0000-000059230000}"/>
    <cellStyle name="Heading 3 3" xfId="6872" hidden="1" xr:uid="{00000000-0005-0000-0000-00005A230000}"/>
    <cellStyle name="Heading 3 3" xfId="6904" hidden="1" xr:uid="{00000000-0005-0000-0000-00005B230000}"/>
    <cellStyle name="Heading 3 3" xfId="6936" hidden="1" xr:uid="{00000000-0005-0000-0000-00005C230000}"/>
    <cellStyle name="Heading 3 3" xfId="6969" hidden="1" xr:uid="{00000000-0005-0000-0000-00005D230000}"/>
    <cellStyle name="Heading 3 3" xfId="7001" hidden="1" xr:uid="{00000000-0005-0000-0000-00005E230000}"/>
    <cellStyle name="Heading 3 3" xfId="7034" hidden="1" xr:uid="{00000000-0005-0000-0000-00005F230000}"/>
    <cellStyle name="Heading 3 3" xfId="7066" hidden="1" xr:uid="{00000000-0005-0000-0000-000060230000}"/>
    <cellStyle name="Heading 3 3" xfId="7099" hidden="1" xr:uid="{00000000-0005-0000-0000-000061230000}"/>
    <cellStyle name="Heading 3 3" xfId="7132" hidden="1" xr:uid="{00000000-0005-0000-0000-000062230000}"/>
    <cellStyle name="Heading 3 3" xfId="7165" hidden="1" xr:uid="{00000000-0005-0000-0000-000063230000}"/>
    <cellStyle name="Heading 3 3" xfId="7198" hidden="1" xr:uid="{00000000-0005-0000-0000-000064230000}"/>
    <cellStyle name="Heading 3 3" xfId="7231" hidden="1" xr:uid="{00000000-0005-0000-0000-000065230000}"/>
    <cellStyle name="Heading 3 3" xfId="7264" hidden="1" xr:uid="{00000000-0005-0000-0000-000066230000}"/>
    <cellStyle name="Heading 3 3" xfId="7315" hidden="1" xr:uid="{00000000-0005-0000-0000-000067230000}"/>
    <cellStyle name="Heading 3 3" xfId="7352" hidden="1" xr:uid="{00000000-0005-0000-0000-000068230000}"/>
    <cellStyle name="Heading 3 3" xfId="7385" hidden="1" xr:uid="{00000000-0005-0000-0000-000069230000}"/>
    <cellStyle name="Heading 3 3" xfId="7417" hidden="1" xr:uid="{00000000-0005-0000-0000-00006A230000}"/>
    <cellStyle name="Heading 3 3" xfId="7449" hidden="1" xr:uid="{00000000-0005-0000-0000-00006B230000}"/>
    <cellStyle name="Heading 3 3" xfId="7482" hidden="1" xr:uid="{00000000-0005-0000-0000-00006C230000}"/>
    <cellStyle name="Heading 3 3" xfId="7514" hidden="1" xr:uid="{00000000-0005-0000-0000-00006D230000}"/>
    <cellStyle name="Heading 3 3" xfId="7547" hidden="1" xr:uid="{00000000-0005-0000-0000-00006E230000}"/>
    <cellStyle name="Heading 3 3" xfId="7579" hidden="1" xr:uid="{00000000-0005-0000-0000-00006F230000}"/>
    <cellStyle name="Heading 3 3" xfId="7612" hidden="1" xr:uid="{00000000-0005-0000-0000-000070230000}"/>
    <cellStyle name="Heading 3 3" xfId="7645" hidden="1" xr:uid="{00000000-0005-0000-0000-000071230000}"/>
    <cellStyle name="Heading 3 3" xfId="7678" hidden="1" xr:uid="{00000000-0005-0000-0000-000072230000}"/>
    <cellStyle name="Heading 3 3" xfId="7711" hidden="1" xr:uid="{00000000-0005-0000-0000-000073230000}"/>
    <cellStyle name="Heading 3 3" xfId="7744" hidden="1" xr:uid="{00000000-0005-0000-0000-000074230000}"/>
    <cellStyle name="Heading 3 3" xfId="7288" hidden="1" xr:uid="{00000000-0005-0000-0000-000075230000}"/>
    <cellStyle name="Heading 3 3" xfId="7792" hidden="1" xr:uid="{00000000-0005-0000-0000-000076230000}"/>
    <cellStyle name="Heading 3 3" xfId="7829" hidden="1" xr:uid="{00000000-0005-0000-0000-000077230000}"/>
    <cellStyle name="Heading 3 3" xfId="7862" hidden="1" xr:uid="{00000000-0005-0000-0000-000078230000}"/>
    <cellStyle name="Heading 3 3" xfId="7894" hidden="1" xr:uid="{00000000-0005-0000-0000-000079230000}"/>
    <cellStyle name="Heading 3 3" xfId="7926" hidden="1" xr:uid="{00000000-0005-0000-0000-00007A230000}"/>
    <cellStyle name="Heading 3 3" xfId="7959" hidden="1" xr:uid="{00000000-0005-0000-0000-00007B230000}"/>
    <cellStyle name="Heading 3 3" xfId="7991" hidden="1" xr:uid="{00000000-0005-0000-0000-00007C230000}"/>
    <cellStyle name="Heading 3 3" xfId="8024" hidden="1" xr:uid="{00000000-0005-0000-0000-00007D230000}"/>
    <cellStyle name="Heading 3 3" xfId="8056" hidden="1" xr:uid="{00000000-0005-0000-0000-00007E230000}"/>
    <cellStyle name="Heading 3 3" xfId="8089" hidden="1" xr:uid="{00000000-0005-0000-0000-00007F230000}"/>
    <cellStyle name="Heading 3 3" xfId="8122" hidden="1" xr:uid="{00000000-0005-0000-0000-000080230000}"/>
    <cellStyle name="Heading 3 3" xfId="8155" hidden="1" xr:uid="{00000000-0005-0000-0000-000081230000}"/>
    <cellStyle name="Heading 3 3" xfId="8188" hidden="1" xr:uid="{00000000-0005-0000-0000-000082230000}"/>
    <cellStyle name="Heading 3 3" xfId="8221" hidden="1" xr:uid="{00000000-0005-0000-0000-000083230000}"/>
    <cellStyle name="Heading 3 3" xfId="5760" hidden="1" xr:uid="{00000000-0005-0000-0000-000084230000}"/>
    <cellStyle name="Heading 3 3" xfId="5752" hidden="1" xr:uid="{00000000-0005-0000-0000-000085230000}"/>
    <cellStyle name="Heading 3 3" xfId="4327" hidden="1" xr:uid="{00000000-0005-0000-0000-000086230000}"/>
    <cellStyle name="Heading 3 3" xfId="4380" hidden="1" xr:uid="{00000000-0005-0000-0000-000087230000}"/>
    <cellStyle name="Heading 3 3" xfId="6759" hidden="1" xr:uid="{00000000-0005-0000-0000-000088230000}"/>
    <cellStyle name="Heading 3 3" xfId="4279" hidden="1" xr:uid="{00000000-0005-0000-0000-000089230000}"/>
    <cellStyle name="Heading 3 3" xfId="5716" hidden="1" xr:uid="{00000000-0005-0000-0000-00008A230000}"/>
    <cellStyle name="Heading 3 3" xfId="8266" hidden="1" xr:uid="{00000000-0005-0000-0000-00008B230000}"/>
    <cellStyle name="Heading 3 3" xfId="8299" hidden="1" xr:uid="{00000000-0005-0000-0000-00008C230000}"/>
    <cellStyle name="Heading 3 3" xfId="8332" hidden="1" xr:uid="{00000000-0005-0000-0000-00008D230000}"/>
    <cellStyle name="Heading 3 3" xfId="8365" hidden="1" xr:uid="{00000000-0005-0000-0000-00008E230000}"/>
    <cellStyle name="Heading 3 3" xfId="8398" hidden="1" xr:uid="{00000000-0005-0000-0000-00008F230000}"/>
    <cellStyle name="Heading 3 3" xfId="8435" hidden="1" xr:uid="{00000000-0005-0000-0000-000090230000}"/>
    <cellStyle name="Heading 3 3" xfId="8468" hidden="1" xr:uid="{00000000-0005-0000-0000-000091230000}"/>
    <cellStyle name="Heading 3 3" xfId="8500" hidden="1" xr:uid="{00000000-0005-0000-0000-000092230000}"/>
    <cellStyle name="Heading 3 3" xfId="8532" hidden="1" xr:uid="{00000000-0005-0000-0000-000093230000}"/>
    <cellStyle name="Heading 3 3" xfId="8565" hidden="1" xr:uid="{00000000-0005-0000-0000-000094230000}"/>
    <cellStyle name="Heading 3 3" xfId="8597" hidden="1" xr:uid="{00000000-0005-0000-0000-000095230000}"/>
    <cellStyle name="Heading 3 3" xfId="8630" hidden="1" xr:uid="{00000000-0005-0000-0000-000096230000}"/>
    <cellStyle name="Heading 3 3" xfId="8662" hidden="1" xr:uid="{00000000-0005-0000-0000-000097230000}"/>
    <cellStyle name="Heading 3 3" xfId="8695" hidden="1" xr:uid="{00000000-0005-0000-0000-000098230000}"/>
    <cellStyle name="Heading 3 3" xfId="8728" hidden="1" xr:uid="{00000000-0005-0000-0000-000099230000}"/>
    <cellStyle name="Heading 3 3" xfId="8761" hidden="1" xr:uid="{00000000-0005-0000-0000-00009A230000}"/>
    <cellStyle name="Heading 3 3" xfId="8794" hidden="1" xr:uid="{00000000-0005-0000-0000-00009B230000}"/>
    <cellStyle name="Heading 3 3" xfId="8827" hidden="1" xr:uid="{00000000-0005-0000-0000-00009C230000}"/>
    <cellStyle name="Heading 3 3" xfId="8860" hidden="1" xr:uid="{00000000-0005-0000-0000-00009D230000}"/>
    <cellStyle name="Heading 3 3" xfId="8900" hidden="1" xr:uid="{00000000-0005-0000-0000-00009E230000}"/>
    <cellStyle name="Heading 3 3" xfId="8937" hidden="1" xr:uid="{00000000-0005-0000-0000-00009F230000}"/>
    <cellStyle name="Heading 3 3" xfId="8970" hidden="1" xr:uid="{00000000-0005-0000-0000-0000A0230000}"/>
    <cellStyle name="Heading 3 3" xfId="9002" hidden="1" xr:uid="{00000000-0005-0000-0000-0000A1230000}"/>
    <cellStyle name="Heading 3 3" xfId="9034" hidden="1" xr:uid="{00000000-0005-0000-0000-0000A2230000}"/>
    <cellStyle name="Heading 3 3" xfId="9067" hidden="1" xr:uid="{00000000-0005-0000-0000-0000A3230000}"/>
    <cellStyle name="Heading 3 3" xfId="9099" hidden="1" xr:uid="{00000000-0005-0000-0000-0000A4230000}"/>
    <cellStyle name="Heading 3 3" xfId="9132" hidden="1" xr:uid="{00000000-0005-0000-0000-0000A5230000}"/>
    <cellStyle name="Heading 3 3" xfId="9164" hidden="1" xr:uid="{00000000-0005-0000-0000-0000A6230000}"/>
    <cellStyle name="Heading 3 3" xfId="9197" hidden="1" xr:uid="{00000000-0005-0000-0000-0000A7230000}"/>
    <cellStyle name="Heading 3 3" xfId="9230" hidden="1" xr:uid="{00000000-0005-0000-0000-0000A8230000}"/>
    <cellStyle name="Heading 3 3" xfId="9263" hidden="1" xr:uid="{00000000-0005-0000-0000-0000A9230000}"/>
    <cellStyle name="Heading 3 3" xfId="9296" hidden="1" xr:uid="{00000000-0005-0000-0000-0000AA230000}"/>
    <cellStyle name="Heading 3 3" xfId="9329" hidden="1" xr:uid="{00000000-0005-0000-0000-0000AB230000}"/>
    <cellStyle name="Heading 3 3" xfId="9362" hidden="1" xr:uid="{00000000-0005-0000-0000-0000AC230000}"/>
    <cellStyle name="Heading 3 3" xfId="9413" hidden="1" xr:uid="{00000000-0005-0000-0000-0000AD230000}"/>
    <cellStyle name="Heading 3 3" xfId="9450" hidden="1" xr:uid="{00000000-0005-0000-0000-0000AE230000}"/>
    <cellStyle name="Heading 3 3" xfId="9483" hidden="1" xr:uid="{00000000-0005-0000-0000-0000AF230000}"/>
    <cellStyle name="Heading 3 3" xfId="9515" hidden="1" xr:uid="{00000000-0005-0000-0000-0000B0230000}"/>
    <cellStyle name="Heading 3 3" xfId="9547" hidden="1" xr:uid="{00000000-0005-0000-0000-0000B1230000}"/>
    <cellStyle name="Heading 3 3" xfId="9580" hidden="1" xr:uid="{00000000-0005-0000-0000-0000B2230000}"/>
    <cellStyle name="Heading 3 3" xfId="9612" hidden="1" xr:uid="{00000000-0005-0000-0000-0000B3230000}"/>
    <cellStyle name="Heading 3 3" xfId="9645" hidden="1" xr:uid="{00000000-0005-0000-0000-0000B4230000}"/>
    <cellStyle name="Heading 3 3" xfId="9677" hidden="1" xr:uid="{00000000-0005-0000-0000-0000B5230000}"/>
    <cellStyle name="Heading 3 3" xfId="9710" hidden="1" xr:uid="{00000000-0005-0000-0000-0000B6230000}"/>
    <cellStyle name="Heading 3 3" xfId="9743" hidden="1" xr:uid="{00000000-0005-0000-0000-0000B7230000}"/>
    <cellStyle name="Heading 3 3" xfId="9776" hidden="1" xr:uid="{00000000-0005-0000-0000-0000B8230000}"/>
    <cellStyle name="Heading 3 3" xfId="9809" hidden="1" xr:uid="{00000000-0005-0000-0000-0000B9230000}"/>
    <cellStyle name="Heading 3 3" xfId="9842" hidden="1" xr:uid="{00000000-0005-0000-0000-0000BA230000}"/>
    <cellStyle name="Heading 3 3" xfId="9386" hidden="1" xr:uid="{00000000-0005-0000-0000-0000BB230000}"/>
    <cellStyle name="Heading 3 3" xfId="9890" hidden="1" xr:uid="{00000000-0005-0000-0000-0000BC230000}"/>
    <cellStyle name="Heading 3 3" xfId="9927" hidden="1" xr:uid="{00000000-0005-0000-0000-0000BD230000}"/>
    <cellStyle name="Heading 3 3" xfId="9960" hidden="1" xr:uid="{00000000-0005-0000-0000-0000BE230000}"/>
    <cellStyle name="Heading 3 3" xfId="9992" hidden="1" xr:uid="{00000000-0005-0000-0000-0000BF230000}"/>
    <cellStyle name="Heading 3 3" xfId="10024" hidden="1" xr:uid="{00000000-0005-0000-0000-0000C0230000}"/>
    <cellStyle name="Heading 3 3" xfId="10057" hidden="1" xr:uid="{00000000-0005-0000-0000-0000C1230000}"/>
    <cellStyle name="Heading 3 3" xfId="10089" hidden="1" xr:uid="{00000000-0005-0000-0000-0000C2230000}"/>
    <cellStyle name="Heading 3 3" xfId="10122" hidden="1" xr:uid="{00000000-0005-0000-0000-0000C3230000}"/>
    <cellStyle name="Heading 3 3" xfId="10154" hidden="1" xr:uid="{00000000-0005-0000-0000-0000C4230000}"/>
    <cellStyle name="Heading 3 3" xfId="10187" hidden="1" xr:uid="{00000000-0005-0000-0000-0000C5230000}"/>
    <cellStyle name="Heading 3 3" xfId="10220" hidden="1" xr:uid="{00000000-0005-0000-0000-0000C6230000}"/>
    <cellStyle name="Heading 3 3" xfId="10253" hidden="1" xr:uid="{00000000-0005-0000-0000-0000C7230000}"/>
    <cellStyle name="Heading 3 3" xfId="10286" hidden="1" xr:uid="{00000000-0005-0000-0000-0000C8230000}"/>
    <cellStyle name="Heading 3 3" xfId="10319" hidden="1" xr:uid="{00000000-0005-0000-0000-0000C9230000}"/>
    <cellStyle name="Heading 3 3" xfId="8873" hidden="1" xr:uid="{00000000-0005-0000-0000-0000CA230000}"/>
    <cellStyle name="Heading 3 3" xfId="10378" hidden="1" xr:uid="{00000000-0005-0000-0000-0000CB230000}"/>
    <cellStyle name="Heading 3 3" xfId="10415" hidden="1" xr:uid="{00000000-0005-0000-0000-0000CC230000}"/>
    <cellStyle name="Heading 3 3" xfId="10448" hidden="1" xr:uid="{00000000-0005-0000-0000-0000CD230000}"/>
    <cellStyle name="Heading 3 3" xfId="10480" hidden="1" xr:uid="{00000000-0005-0000-0000-0000CE230000}"/>
    <cellStyle name="Heading 3 3" xfId="10512" hidden="1" xr:uid="{00000000-0005-0000-0000-0000CF230000}"/>
    <cellStyle name="Heading 3 3" xfId="10545" hidden="1" xr:uid="{00000000-0005-0000-0000-0000D0230000}"/>
    <cellStyle name="Heading 3 3" xfId="10577" hidden="1" xr:uid="{00000000-0005-0000-0000-0000D1230000}"/>
    <cellStyle name="Heading 3 3" xfId="10610" hidden="1" xr:uid="{00000000-0005-0000-0000-0000D2230000}"/>
    <cellStyle name="Heading 3 3" xfId="10642" hidden="1" xr:uid="{00000000-0005-0000-0000-0000D3230000}"/>
    <cellStyle name="Heading 3 3" xfId="10675" hidden="1" xr:uid="{00000000-0005-0000-0000-0000D4230000}"/>
    <cellStyle name="Heading 3 3" xfId="10708" hidden="1" xr:uid="{00000000-0005-0000-0000-0000D5230000}"/>
    <cellStyle name="Heading 3 3" xfId="10741" hidden="1" xr:uid="{00000000-0005-0000-0000-0000D6230000}"/>
    <cellStyle name="Heading 3 3" xfId="10774" hidden="1" xr:uid="{00000000-0005-0000-0000-0000D7230000}"/>
    <cellStyle name="Heading 3 3" xfId="10807" hidden="1" xr:uid="{00000000-0005-0000-0000-0000D8230000}"/>
    <cellStyle name="Heading 3 3" xfId="10840" hidden="1" xr:uid="{00000000-0005-0000-0000-0000D9230000}"/>
    <cellStyle name="Heading 3 3" xfId="10891" hidden="1" xr:uid="{00000000-0005-0000-0000-0000DA230000}"/>
    <cellStyle name="Heading 3 3" xfId="10928" hidden="1" xr:uid="{00000000-0005-0000-0000-0000DB230000}"/>
    <cellStyle name="Heading 3 3" xfId="10961" hidden="1" xr:uid="{00000000-0005-0000-0000-0000DC230000}"/>
    <cellStyle name="Heading 3 3" xfId="10993" hidden="1" xr:uid="{00000000-0005-0000-0000-0000DD230000}"/>
    <cellStyle name="Heading 3 3" xfId="11025" hidden="1" xr:uid="{00000000-0005-0000-0000-0000DE230000}"/>
    <cellStyle name="Heading 3 3" xfId="11058" hidden="1" xr:uid="{00000000-0005-0000-0000-0000DF230000}"/>
    <cellStyle name="Heading 3 3" xfId="11090" hidden="1" xr:uid="{00000000-0005-0000-0000-0000E0230000}"/>
    <cellStyle name="Heading 3 3" xfId="11123" hidden="1" xr:uid="{00000000-0005-0000-0000-0000E1230000}"/>
    <cellStyle name="Heading 3 3" xfId="11155" hidden="1" xr:uid="{00000000-0005-0000-0000-0000E2230000}"/>
    <cellStyle name="Heading 3 3" xfId="11188" hidden="1" xr:uid="{00000000-0005-0000-0000-0000E3230000}"/>
    <cellStyle name="Heading 3 3" xfId="11221" hidden="1" xr:uid="{00000000-0005-0000-0000-0000E4230000}"/>
    <cellStyle name="Heading 3 3" xfId="11254" hidden="1" xr:uid="{00000000-0005-0000-0000-0000E5230000}"/>
    <cellStyle name="Heading 3 3" xfId="11287" hidden="1" xr:uid="{00000000-0005-0000-0000-0000E6230000}"/>
    <cellStyle name="Heading 3 3" xfId="11320" hidden="1" xr:uid="{00000000-0005-0000-0000-0000E7230000}"/>
    <cellStyle name="Heading 3 3" xfId="10864" hidden="1" xr:uid="{00000000-0005-0000-0000-0000E8230000}"/>
    <cellStyle name="Heading 3 3" xfId="11368" hidden="1" xr:uid="{00000000-0005-0000-0000-0000E9230000}"/>
    <cellStyle name="Heading 3 3" xfId="11405" hidden="1" xr:uid="{00000000-0005-0000-0000-0000EA230000}"/>
    <cellStyle name="Heading 3 3" xfId="11438" hidden="1" xr:uid="{00000000-0005-0000-0000-0000EB230000}"/>
    <cellStyle name="Heading 3 3" xfId="11470" hidden="1" xr:uid="{00000000-0005-0000-0000-0000EC230000}"/>
    <cellStyle name="Heading 3 3" xfId="11502" hidden="1" xr:uid="{00000000-0005-0000-0000-0000ED230000}"/>
    <cellStyle name="Heading 3 3" xfId="11535" hidden="1" xr:uid="{00000000-0005-0000-0000-0000EE230000}"/>
    <cellStyle name="Heading 3 3" xfId="11567" hidden="1" xr:uid="{00000000-0005-0000-0000-0000EF230000}"/>
    <cellStyle name="Heading 3 3" xfId="11600" hidden="1" xr:uid="{00000000-0005-0000-0000-0000F0230000}"/>
    <cellStyle name="Heading 3 3" xfId="11632" hidden="1" xr:uid="{00000000-0005-0000-0000-0000F1230000}"/>
    <cellStyle name="Heading 3 3" xfId="11665" hidden="1" xr:uid="{00000000-0005-0000-0000-0000F2230000}"/>
    <cellStyle name="Heading 3 3" xfId="11698" hidden="1" xr:uid="{00000000-0005-0000-0000-0000F3230000}"/>
    <cellStyle name="Heading 3 3" xfId="11731" hidden="1" xr:uid="{00000000-0005-0000-0000-0000F4230000}"/>
    <cellStyle name="Heading 3 3" xfId="11764" hidden="1" xr:uid="{00000000-0005-0000-0000-0000F5230000}"/>
    <cellStyle name="Heading 3 3" xfId="11797" hidden="1" xr:uid="{00000000-0005-0000-0000-0000F6230000}"/>
    <cellStyle name="Heading 3 3" xfId="1724" xr:uid="{00000000-0005-0000-0000-0000F7230000}"/>
    <cellStyle name="Heading 3 3 2" xfId="1630" xr:uid="{00000000-0005-0000-0000-0000F8230000}"/>
    <cellStyle name="Heading 3 4" xfId="1631" xr:uid="{00000000-0005-0000-0000-0000F9230000}"/>
    <cellStyle name="Heading 3 5" xfId="1632" xr:uid="{00000000-0005-0000-0000-0000FA230000}"/>
    <cellStyle name="Heading 4 2" xfId="116" xr:uid="{00000000-0005-0000-0000-0000FB230000}"/>
    <cellStyle name="Heading 4 2 2" xfId="1633" xr:uid="{00000000-0005-0000-0000-0000FC230000}"/>
    <cellStyle name="Heading 4 2 3" xfId="2743" xr:uid="{00000000-0005-0000-0000-0000FD230000}"/>
    <cellStyle name="Heading 4 3" xfId="203" hidden="1" xr:uid="{00000000-0005-0000-0000-0000FE230000}"/>
    <cellStyle name="Heading 4 3" xfId="264" hidden="1" xr:uid="{00000000-0005-0000-0000-0000FF230000}"/>
    <cellStyle name="Heading 4 3" xfId="297" hidden="1" xr:uid="{00000000-0005-0000-0000-000000240000}"/>
    <cellStyle name="Heading 4 3" xfId="330" hidden="1" xr:uid="{00000000-0005-0000-0000-000001240000}"/>
    <cellStyle name="Heading 4 3" xfId="363" hidden="1" xr:uid="{00000000-0005-0000-0000-000002240000}"/>
    <cellStyle name="Heading 4 3" xfId="397" hidden="1" xr:uid="{00000000-0005-0000-0000-000003240000}"/>
    <cellStyle name="Heading 4 3" xfId="430" hidden="1" xr:uid="{00000000-0005-0000-0000-000004240000}"/>
    <cellStyle name="Heading 4 3" xfId="463" hidden="1" xr:uid="{00000000-0005-0000-0000-000005240000}"/>
    <cellStyle name="Heading 4 3" xfId="496" hidden="1" xr:uid="{00000000-0005-0000-0000-000006240000}"/>
    <cellStyle name="Heading 4 3" xfId="529" hidden="1" xr:uid="{00000000-0005-0000-0000-000007240000}"/>
    <cellStyle name="Heading 4 3" xfId="562" hidden="1" xr:uid="{00000000-0005-0000-0000-000008240000}"/>
    <cellStyle name="Heading 4 3" xfId="595" hidden="1" xr:uid="{00000000-0005-0000-0000-000009240000}"/>
    <cellStyle name="Heading 4 3" xfId="632" hidden="1" xr:uid="{00000000-0005-0000-0000-00000A240000}"/>
    <cellStyle name="Heading 4 3" xfId="665" hidden="1" xr:uid="{00000000-0005-0000-0000-00000B240000}"/>
    <cellStyle name="Heading 4 3" xfId="697" hidden="1" xr:uid="{00000000-0005-0000-0000-00000C240000}"/>
    <cellStyle name="Heading 4 3" xfId="729" hidden="1" xr:uid="{00000000-0005-0000-0000-00000D240000}"/>
    <cellStyle name="Heading 4 3" xfId="762" hidden="1" xr:uid="{00000000-0005-0000-0000-00000E240000}"/>
    <cellStyle name="Heading 4 3" xfId="794" hidden="1" xr:uid="{00000000-0005-0000-0000-00000F240000}"/>
    <cellStyle name="Heading 4 3" xfId="827" hidden="1" xr:uid="{00000000-0005-0000-0000-000010240000}"/>
    <cellStyle name="Heading 4 3" xfId="859" hidden="1" xr:uid="{00000000-0005-0000-0000-000011240000}"/>
    <cellStyle name="Heading 4 3" xfId="892" hidden="1" xr:uid="{00000000-0005-0000-0000-000012240000}"/>
    <cellStyle name="Heading 4 3" xfId="925" hidden="1" xr:uid="{00000000-0005-0000-0000-000013240000}"/>
    <cellStyle name="Heading 4 3" xfId="958" hidden="1" xr:uid="{00000000-0005-0000-0000-000014240000}"/>
    <cellStyle name="Heading 4 3" xfId="991" hidden="1" xr:uid="{00000000-0005-0000-0000-000015240000}"/>
    <cellStyle name="Heading 4 3" xfId="1024" hidden="1" xr:uid="{00000000-0005-0000-0000-000016240000}"/>
    <cellStyle name="Heading 4 3" xfId="1057" hidden="1" xr:uid="{00000000-0005-0000-0000-000017240000}"/>
    <cellStyle name="Heading 4 3" xfId="1100" hidden="1" xr:uid="{00000000-0005-0000-0000-000018240000}"/>
    <cellStyle name="Heading 4 3" xfId="1138" hidden="1" xr:uid="{00000000-0005-0000-0000-000019240000}"/>
    <cellStyle name="Heading 4 3" xfId="1171" hidden="1" xr:uid="{00000000-0005-0000-0000-00001A240000}"/>
    <cellStyle name="Heading 4 3" xfId="1203" hidden="1" xr:uid="{00000000-0005-0000-0000-00001B240000}"/>
    <cellStyle name="Heading 4 3" xfId="1235" hidden="1" xr:uid="{00000000-0005-0000-0000-00001C240000}"/>
    <cellStyle name="Heading 4 3" xfId="1268" hidden="1" xr:uid="{00000000-0005-0000-0000-00001D240000}"/>
    <cellStyle name="Heading 4 3" xfId="1300" hidden="1" xr:uid="{00000000-0005-0000-0000-00001E240000}"/>
    <cellStyle name="Heading 4 3" xfId="1333" hidden="1" xr:uid="{00000000-0005-0000-0000-00001F240000}"/>
    <cellStyle name="Heading 4 3" xfId="1365" hidden="1" xr:uid="{00000000-0005-0000-0000-000020240000}"/>
    <cellStyle name="Heading 4 3" xfId="1398" hidden="1" xr:uid="{00000000-0005-0000-0000-000021240000}"/>
    <cellStyle name="Heading 4 3" xfId="1431" hidden="1" xr:uid="{00000000-0005-0000-0000-000022240000}"/>
    <cellStyle name="Heading 4 3" xfId="1464" hidden="1" xr:uid="{00000000-0005-0000-0000-000023240000}"/>
    <cellStyle name="Heading 4 3" xfId="1497" hidden="1" xr:uid="{00000000-0005-0000-0000-000024240000}"/>
    <cellStyle name="Heading 4 3" xfId="1530" hidden="1" xr:uid="{00000000-0005-0000-0000-000025240000}"/>
    <cellStyle name="Heading 4 3" xfId="1563" hidden="1" xr:uid="{00000000-0005-0000-0000-000026240000}"/>
    <cellStyle name="Heading 4 3" xfId="1777" hidden="1" xr:uid="{00000000-0005-0000-0000-000027240000}"/>
    <cellStyle name="Heading 4 3" xfId="1814" hidden="1" xr:uid="{00000000-0005-0000-0000-000028240000}"/>
    <cellStyle name="Heading 4 3" xfId="1847" hidden="1" xr:uid="{00000000-0005-0000-0000-000029240000}"/>
    <cellStyle name="Heading 4 3" xfId="1879" hidden="1" xr:uid="{00000000-0005-0000-0000-00002A240000}"/>
    <cellStyle name="Heading 4 3" xfId="1911" hidden="1" xr:uid="{00000000-0005-0000-0000-00002B240000}"/>
    <cellStyle name="Heading 4 3" xfId="1944" hidden="1" xr:uid="{00000000-0005-0000-0000-00002C240000}"/>
    <cellStyle name="Heading 4 3" xfId="1976" hidden="1" xr:uid="{00000000-0005-0000-0000-00002D240000}"/>
    <cellStyle name="Heading 4 3" xfId="2009" hidden="1" xr:uid="{00000000-0005-0000-0000-00002E240000}"/>
    <cellStyle name="Heading 4 3" xfId="2041" hidden="1" xr:uid="{00000000-0005-0000-0000-00002F240000}"/>
    <cellStyle name="Heading 4 3" xfId="2074" hidden="1" xr:uid="{00000000-0005-0000-0000-000030240000}"/>
    <cellStyle name="Heading 4 3" xfId="2107" hidden="1" xr:uid="{00000000-0005-0000-0000-000031240000}"/>
    <cellStyle name="Heading 4 3" xfId="2140" hidden="1" xr:uid="{00000000-0005-0000-0000-000032240000}"/>
    <cellStyle name="Heading 4 3" xfId="2173" hidden="1" xr:uid="{00000000-0005-0000-0000-000033240000}"/>
    <cellStyle name="Heading 4 3" xfId="2206" hidden="1" xr:uid="{00000000-0005-0000-0000-000034240000}"/>
    <cellStyle name="Heading 4 3" xfId="2232" hidden="1" xr:uid="{00000000-0005-0000-0000-000035240000}"/>
    <cellStyle name="Heading 4 3" xfId="2254" hidden="1" xr:uid="{00000000-0005-0000-0000-000036240000}"/>
    <cellStyle name="Heading 4 3" xfId="2291" hidden="1" xr:uid="{00000000-0005-0000-0000-000037240000}"/>
    <cellStyle name="Heading 4 3" xfId="2324" hidden="1" xr:uid="{00000000-0005-0000-0000-000038240000}"/>
    <cellStyle name="Heading 4 3" xfId="2356" hidden="1" xr:uid="{00000000-0005-0000-0000-000039240000}"/>
    <cellStyle name="Heading 4 3" xfId="2388" hidden="1" xr:uid="{00000000-0005-0000-0000-00003A240000}"/>
    <cellStyle name="Heading 4 3" xfId="2421" hidden="1" xr:uid="{00000000-0005-0000-0000-00003B240000}"/>
    <cellStyle name="Heading 4 3" xfId="2453" hidden="1" xr:uid="{00000000-0005-0000-0000-00003C240000}"/>
    <cellStyle name="Heading 4 3" xfId="2486" hidden="1" xr:uid="{00000000-0005-0000-0000-00003D240000}"/>
    <cellStyle name="Heading 4 3" xfId="2518" hidden="1" xr:uid="{00000000-0005-0000-0000-00003E240000}"/>
    <cellStyle name="Heading 4 3" xfId="2551" hidden="1" xr:uid="{00000000-0005-0000-0000-00003F240000}"/>
    <cellStyle name="Heading 4 3" xfId="2584" hidden="1" xr:uid="{00000000-0005-0000-0000-000040240000}"/>
    <cellStyle name="Heading 4 3" xfId="2617" hidden="1" xr:uid="{00000000-0005-0000-0000-000041240000}"/>
    <cellStyle name="Heading 4 3" xfId="2650" hidden="1" xr:uid="{00000000-0005-0000-0000-000042240000}"/>
    <cellStyle name="Heading 4 3" xfId="2683" hidden="1" xr:uid="{00000000-0005-0000-0000-000043240000}"/>
    <cellStyle name="Heading 4 3" xfId="2709" hidden="1" xr:uid="{00000000-0005-0000-0000-000044240000}"/>
    <cellStyle name="Heading 4 3" xfId="2797" hidden="1" xr:uid="{00000000-0005-0000-0000-000045240000}"/>
    <cellStyle name="Heading 4 3" xfId="2834" hidden="1" xr:uid="{00000000-0005-0000-0000-000046240000}"/>
    <cellStyle name="Heading 4 3" xfId="2867" hidden="1" xr:uid="{00000000-0005-0000-0000-000047240000}"/>
    <cellStyle name="Heading 4 3" xfId="2899" hidden="1" xr:uid="{00000000-0005-0000-0000-000048240000}"/>
    <cellStyle name="Heading 4 3" xfId="2931" hidden="1" xr:uid="{00000000-0005-0000-0000-000049240000}"/>
    <cellStyle name="Heading 4 3" xfId="2964" hidden="1" xr:uid="{00000000-0005-0000-0000-00004A240000}"/>
    <cellStyle name="Heading 4 3" xfId="2996" hidden="1" xr:uid="{00000000-0005-0000-0000-00004B240000}"/>
    <cellStyle name="Heading 4 3" xfId="3029" hidden="1" xr:uid="{00000000-0005-0000-0000-00004C240000}"/>
    <cellStyle name="Heading 4 3" xfId="3061" hidden="1" xr:uid="{00000000-0005-0000-0000-00004D240000}"/>
    <cellStyle name="Heading 4 3" xfId="3094" hidden="1" xr:uid="{00000000-0005-0000-0000-00004E240000}"/>
    <cellStyle name="Heading 4 3" xfId="3127" hidden="1" xr:uid="{00000000-0005-0000-0000-00004F240000}"/>
    <cellStyle name="Heading 4 3" xfId="3160" hidden="1" xr:uid="{00000000-0005-0000-0000-000050240000}"/>
    <cellStyle name="Heading 4 3" xfId="3193" hidden="1" xr:uid="{00000000-0005-0000-0000-000051240000}"/>
    <cellStyle name="Heading 4 3" xfId="3226" hidden="1" xr:uid="{00000000-0005-0000-0000-000052240000}"/>
    <cellStyle name="Heading 4 3" xfId="3259" hidden="1" xr:uid="{00000000-0005-0000-0000-000053240000}"/>
    <cellStyle name="Heading 4 3" xfId="3310" hidden="1" xr:uid="{00000000-0005-0000-0000-000054240000}"/>
    <cellStyle name="Heading 4 3" xfId="3347" hidden="1" xr:uid="{00000000-0005-0000-0000-000055240000}"/>
    <cellStyle name="Heading 4 3" xfId="3380" hidden="1" xr:uid="{00000000-0005-0000-0000-000056240000}"/>
    <cellStyle name="Heading 4 3" xfId="3412" hidden="1" xr:uid="{00000000-0005-0000-0000-000057240000}"/>
    <cellStyle name="Heading 4 3" xfId="3444" hidden="1" xr:uid="{00000000-0005-0000-0000-000058240000}"/>
    <cellStyle name="Heading 4 3" xfId="3477" hidden="1" xr:uid="{00000000-0005-0000-0000-000059240000}"/>
    <cellStyle name="Heading 4 3" xfId="3509" hidden="1" xr:uid="{00000000-0005-0000-0000-00005A240000}"/>
    <cellStyle name="Heading 4 3" xfId="3542" hidden="1" xr:uid="{00000000-0005-0000-0000-00005B240000}"/>
    <cellStyle name="Heading 4 3" xfId="3574" hidden="1" xr:uid="{00000000-0005-0000-0000-00005C240000}"/>
    <cellStyle name="Heading 4 3" xfId="3607" hidden="1" xr:uid="{00000000-0005-0000-0000-00005D240000}"/>
    <cellStyle name="Heading 4 3" xfId="3640" hidden="1" xr:uid="{00000000-0005-0000-0000-00005E240000}"/>
    <cellStyle name="Heading 4 3" xfId="3673" hidden="1" xr:uid="{00000000-0005-0000-0000-00005F240000}"/>
    <cellStyle name="Heading 4 3" xfId="3706" hidden="1" xr:uid="{00000000-0005-0000-0000-000060240000}"/>
    <cellStyle name="Heading 4 3" xfId="3739" hidden="1" xr:uid="{00000000-0005-0000-0000-000061240000}"/>
    <cellStyle name="Heading 4 3" xfId="3765" hidden="1" xr:uid="{00000000-0005-0000-0000-000062240000}"/>
    <cellStyle name="Heading 4 3" xfId="3787" hidden="1" xr:uid="{00000000-0005-0000-0000-000063240000}"/>
    <cellStyle name="Heading 4 3" xfId="3824" hidden="1" xr:uid="{00000000-0005-0000-0000-000064240000}"/>
    <cellStyle name="Heading 4 3" xfId="3857" hidden="1" xr:uid="{00000000-0005-0000-0000-000065240000}"/>
    <cellStyle name="Heading 4 3" xfId="3889" hidden="1" xr:uid="{00000000-0005-0000-0000-000066240000}"/>
    <cellStyle name="Heading 4 3" xfId="3921" hidden="1" xr:uid="{00000000-0005-0000-0000-000067240000}"/>
    <cellStyle name="Heading 4 3" xfId="3954" hidden="1" xr:uid="{00000000-0005-0000-0000-000068240000}"/>
    <cellStyle name="Heading 4 3" xfId="3986" hidden="1" xr:uid="{00000000-0005-0000-0000-000069240000}"/>
    <cellStyle name="Heading 4 3" xfId="4019" hidden="1" xr:uid="{00000000-0005-0000-0000-00006A240000}"/>
    <cellStyle name="Heading 4 3" xfId="4051" hidden="1" xr:uid="{00000000-0005-0000-0000-00006B240000}"/>
    <cellStyle name="Heading 4 3" xfId="4084" hidden="1" xr:uid="{00000000-0005-0000-0000-00006C240000}"/>
    <cellStyle name="Heading 4 3" xfId="4117" hidden="1" xr:uid="{00000000-0005-0000-0000-00006D240000}"/>
    <cellStyle name="Heading 4 3" xfId="4150" hidden="1" xr:uid="{00000000-0005-0000-0000-00006E240000}"/>
    <cellStyle name="Heading 4 3" xfId="4183" hidden="1" xr:uid="{00000000-0005-0000-0000-00006F240000}"/>
    <cellStyle name="Heading 4 3" xfId="4216" hidden="1" xr:uid="{00000000-0005-0000-0000-000070240000}"/>
    <cellStyle name="Heading 4 3" xfId="4242" hidden="1" xr:uid="{00000000-0005-0000-0000-000071240000}"/>
    <cellStyle name="Heading 4 3" xfId="4416" hidden="1" xr:uid="{00000000-0005-0000-0000-000072240000}"/>
    <cellStyle name="Heading 4 3" xfId="4449" hidden="1" xr:uid="{00000000-0005-0000-0000-000073240000}"/>
    <cellStyle name="Heading 4 3" xfId="4482" hidden="1" xr:uid="{00000000-0005-0000-0000-000074240000}"/>
    <cellStyle name="Heading 4 3" xfId="4515" hidden="1" xr:uid="{00000000-0005-0000-0000-000075240000}"/>
    <cellStyle name="Heading 4 3" xfId="4548" hidden="1" xr:uid="{00000000-0005-0000-0000-000076240000}"/>
    <cellStyle name="Heading 4 3" xfId="4581" hidden="1" xr:uid="{00000000-0005-0000-0000-000077240000}"/>
    <cellStyle name="Heading 4 3" xfId="4614" hidden="1" xr:uid="{00000000-0005-0000-0000-000078240000}"/>
    <cellStyle name="Heading 4 3" xfId="4647" hidden="1" xr:uid="{00000000-0005-0000-0000-000079240000}"/>
    <cellStyle name="Heading 4 3" xfId="4680" hidden="1" xr:uid="{00000000-0005-0000-0000-00007A240000}"/>
    <cellStyle name="Heading 4 3" xfId="4713" hidden="1" xr:uid="{00000000-0005-0000-0000-00007B240000}"/>
    <cellStyle name="Heading 4 3" xfId="4746" hidden="1" xr:uid="{00000000-0005-0000-0000-00007C240000}"/>
    <cellStyle name="Heading 4 3" xfId="4783" hidden="1" xr:uid="{00000000-0005-0000-0000-00007D240000}"/>
    <cellStyle name="Heading 4 3" xfId="4816" hidden="1" xr:uid="{00000000-0005-0000-0000-00007E240000}"/>
    <cellStyle name="Heading 4 3" xfId="4848" hidden="1" xr:uid="{00000000-0005-0000-0000-00007F240000}"/>
    <cellStyle name="Heading 4 3" xfId="4880" hidden="1" xr:uid="{00000000-0005-0000-0000-000080240000}"/>
    <cellStyle name="Heading 4 3" xfId="4913" hidden="1" xr:uid="{00000000-0005-0000-0000-000081240000}"/>
    <cellStyle name="Heading 4 3" xfId="4945" hidden="1" xr:uid="{00000000-0005-0000-0000-000082240000}"/>
    <cellStyle name="Heading 4 3" xfId="4978" hidden="1" xr:uid="{00000000-0005-0000-0000-000083240000}"/>
    <cellStyle name="Heading 4 3" xfId="5010" hidden="1" xr:uid="{00000000-0005-0000-0000-000084240000}"/>
    <cellStyle name="Heading 4 3" xfId="5043" hidden="1" xr:uid="{00000000-0005-0000-0000-000085240000}"/>
    <cellStyle name="Heading 4 3" xfId="5076" hidden="1" xr:uid="{00000000-0005-0000-0000-000086240000}"/>
    <cellStyle name="Heading 4 3" xfId="5109" hidden="1" xr:uid="{00000000-0005-0000-0000-000087240000}"/>
    <cellStyle name="Heading 4 3" xfId="5142" hidden="1" xr:uid="{00000000-0005-0000-0000-000088240000}"/>
    <cellStyle name="Heading 4 3" xfId="5175" hidden="1" xr:uid="{00000000-0005-0000-0000-000089240000}"/>
    <cellStyle name="Heading 4 3" xfId="5208" hidden="1" xr:uid="{00000000-0005-0000-0000-00008A240000}"/>
    <cellStyle name="Heading 4 3" xfId="5249" hidden="1" xr:uid="{00000000-0005-0000-0000-00008B240000}"/>
    <cellStyle name="Heading 4 3" xfId="5286" hidden="1" xr:uid="{00000000-0005-0000-0000-00008C240000}"/>
    <cellStyle name="Heading 4 3" xfId="5319" hidden="1" xr:uid="{00000000-0005-0000-0000-00008D240000}"/>
    <cellStyle name="Heading 4 3" xfId="5351" hidden="1" xr:uid="{00000000-0005-0000-0000-00008E240000}"/>
    <cellStyle name="Heading 4 3" xfId="5383" hidden="1" xr:uid="{00000000-0005-0000-0000-00008F240000}"/>
    <cellStyle name="Heading 4 3" xfId="5416" hidden="1" xr:uid="{00000000-0005-0000-0000-000090240000}"/>
    <cellStyle name="Heading 4 3" xfId="5448" hidden="1" xr:uid="{00000000-0005-0000-0000-000091240000}"/>
    <cellStyle name="Heading 4 3" xfId="5481" hidden="1" xr:uid="{00000000-0005-0000-0000-000092240000}"/>
    <cellStyle name="Heading 4 3" xfId="5513" hidden="1" xr:uid="{00000000-0005-0000-0000-000093240000}"/>
    <cellStyle name="Heading 4 3" xfId="5546" hidden="1" xr:uid="{00000000-0005-0000-0000-000094240000}"/>
    <cellStyle name="Heading 4 3" xfId="5579" hidden="1" xr:uid="{00000000-0005-0000-0000-000095240000}"/>
    <cellStyle name="Heading 4 3" xfId="5612" hidden="1" xr:uid="{00000000-0005-0000-0000-000096240000}"/>
    <cellStyle name="Heading 4 3" xfId="5645" hidden="1" xr:uid="{00000000-0005-0000-0000-000097240000}"/>
    <cellStyle name="Heading 4 3" xfId="5678" hidden="1" xr:uid="{00000000-0005-0000-0000-000098240000}"/>
    <cellStyle name="Heading 4 3" xfId="5711" hidden="1" xr:uid="{00000000-0005-0000-0000-000099240000}"/>
    <cellStyle name="Heading 4 3" xfId="5815" hidden="1" xr:uid="{00000000-0005-0000-0000-00009A240000}"/>
    <cellStyle name="Heading 4 3" xfId="5852" hidden="1" xr:uid="{00000000-0005-0000-0000-00009B240000}"/>
    <cellStyle name="Heading 4 3" xfId="5885" hidden="1" xr:uid="{00000000-0005-0000-0000-00009C240000}"/>
    <cellStyle name="Heading 4 3" xfId="5917" hidden="1" xr:uid="{00000000-0005-0000-0000-00009D240000}"/>
    <cellStyle name="Heading 4 3" xfId="5949" hidden="1" xr:uid="{00000000-0005-0000-0000-00009E240000}"/>
    <cellStyle name="Heading 4 3" xfId="5982" hidden="1" xr:uid="{00000000-0005-0000-0000-00009F240000}"/>
    <cellStyle name="Heading 4 3" xfId="6014" hidden="1" xr:uid="{00000000-0005-0000-0000-0000A0240000}"/>
    <cellStyle name="Heading 4 3" xfId="6047" hidden="1" xr:uid="{00000000-0005-0000-0000-0000A1240000}"/>
    <cellStyle name="Heading 4 3" xfId="6079" hidden="1" xr:uid="{00000000-0005-0000-0000-0000A2240000}"/>
    <cellStyle name="Heading 4 3" xfId="6112" hidden="1" xr:uid="{00000000-0005-0000-0000-0000A3240000}"/>
    <cellStyle name="Heading 4 3" xfId="6145" hidden="1" xr:uid="{00000000-0005-0000-0000-0000A4240000}"/>
    <cellStyle name="Heading 4 3" xfId="6178" hidden="1" xr:uid="{00000000-0005-0000-0000-0000A5240000}"/>
    <cellStyle name="Heading 4 3" xfId="6211" hidden="1" xr:uid="{00000000-0005-0000-0000-0000A6240000}"/>
    <cellStyle name="Heading 4 3" xfId="6244" hidden="1" xr:uid="{00000000-0005-0000-0000-0000A7240000}"/>
    <cellStyle name="Heading 4 3" xfId="6270" hidden="1" xr:uid="{00000000-0005-0000-0000-0000A8240000}"/>
    <cellStyle name="Heading 4 3" xfId="6292" hidden="1" xr:uid="{00000000-0005-0000-0000-0000A9240000}"/>
    <cellStyle name="Heading 4 3" xfId="6329" hidden="1" xr:uid="{00000000-0005-0000-0000-0000AA240000}"/>
    <cellStyle name="Heading 4 3" xfId="6362" hidden="1" xr:uid="{00000000-0005-0000-0000-0000AB240000}"/>
    <cellStyle name="Heading 4 3" xfId="6394" hidden="1" xr:uid="{00000000-0005-0000-0000-0000AC240000}"/>
    <cellStyle name="Heading 4 3" xfId="6426" hidden="1" xr:uid="{00000000-0005-0000-0000-0000AD240000}"/>
    <cellStyle name="Heading 4 3" xfId="6459" hidden="1" xr:uid="{00000000-0005-0000-0000-0000AE240000}"/>
    <cellStyle name="Heading 4 3" xfId="6491" hidden="1" xr:uid="{00000000-0005-0000-0000-0000AF240000}"/>
    <cellStyle name="Heading 4 3" xfId="6524" hidden="1" xr:uid="{00000000-0005-0000-0000-0000B0240000}"/>
    <cellStyle name="Heading 4 3" xfId="6556" hidden="1" xr:uid="{00000000-0005-0000-0000-0000B1240000}"/>
    <cellStyle name="Heading 4 3" xfId="6589" hidden="1" xr:uid="{00000000-0005-0000-0000-0000B2240000}"/>
    <cellStyle name="Heading 4 3" xfId="6622" hidden="1" xr:uid="{00000000-0005-0000-0000-0000B3240000}"/>
    <cellStyle name="Heading 4 3" xfId="6655" hidden="1" xr:uid="{00000000-0005-0000-0000-0000B4240000}"/>
    <cellStyle name="Heading 4 3" xfId="6688" hidden="1" xr:uid="{00000000-0005-0000-0000-0000B5240000}"/>
    <cellStyle name="Heading 4 3" xfId="6721" hidden="1" xr:uid="{00000000-0005-0000-0000-0000B6240000}"/>
    <cellStyle name="Heading 4 3" xfId="6747" hidden="1" xr:uid="{00000000-0005-0000-0000-0000B7240000}"/>
    <cellStyle name="Heading 4 3" xfId="6811" hidden="1" xr:uid="{00000000-0005-0000-0000-0000B8240000}"/>
    <cellStyle name="Heading 4 3" xfId="6848" hidden="1" xr:uid="{00000000-0005-0000-0000-0000B9240000}"/>
    <cellStyle name="Heading 4 3" xfId="6881" hidden="1" xr:uid="{00000000-0005-0000-0000-0000BA240000}"/>
    <cellStyle name="Heading 4 3" xfId="6913" hidden="1" xr:uid="{00000000-0005-0000-0000-0000BB240000}"/>
    <cellStyle name="Heading 4 3" xfId="6945" hidden="1" xr:uid="{00000000-0005-0000-0000-0000BC240000}"/>
    <cellStyle name="Heading 4 3" xfId="6978" hidden="1" xr:uid="{00000000-0005-0000-0000-0000BD240000}"/>
    <cellStyle name="Heading 4 3" xfId="7010" hidden="1" xr:uid="{00000000-0005-0000-0000-0000BE240000}"/>
    <cellStyle name="Heading 4 3" xfId="7043" hidden="1" xr:uid="{00000000-0005-0000-0000-0000BF240000}"/>
    <cellStyle name="Heading 4 3" xfId="7075" hidden="1" xr:uid="{00000000-0005-0000-0000-0000C0240000}"/>
    <cellStyle name="Heading 4 3" xfId="7108" hidden="1" xr:uid="{00000000-0005-0000-0000-0000C1240000}"/>
    <cellStyle name="Heading 4 3" xfId="7141" hidden="1" xr:uid="{00000000-0005-0000-0000-0000C2240000}"/>
    <cellStyle name="Heading 4 3" xfId="7174" hidden="1" xr:uid="{00000000-0005-0000-0000-0000C3240000}"/>
    <cellStyle name="Heading 4 3" xfId="7207" hidden="1" xr:uid="{00000000-0005-0000-0000-0000C4240000}"/>
    <cellStyle name="Heading 4 3" xfId="7240" hidden="1" xr:uid="{00000000-0005-0000-0000-0000C5240000}"/>
    <cellStyle name="Heading 4 3" xfId="7273" hidden="1" xr:uid="{00000000-0005-0000-0000-0000C6240000}"/>
    <cellStyle name="Heading 4 3" xfId="7324" hidden="1" xr:uid="{00000000-0005-0000-0000-0000C7240000}"/>
    <cellStyle name="Heading 4 3" xfId="7361" hidden="1" xr:uid="{00000000-0005-0000-0000-0000C8240000}"/>
    <cellStyle name="Heading 4 3" xfId="7394" hidden="1" xr:uid="{00000000-0005-0000-0000-0000C9240000}"/>
    <cellStyle name="Heading 4 3" xfId="7426" hidden="1" xr:uid="{00000000-0005-0000-0000-0000CA240000}"/>
    <cellStyle name="Heading 4 3" xfId="7458" hidden="1" xr:uid="{00000000-0005-0000-0000-0000CB240000}"/>
    <cellStyle name="Heading 4 3" xfId="7491" hidden="1" xr:uid="{00000000-0005-0000-0000-0000CC240000}"/>
    <cellStyle name="Heading 4 3" xfId="7523" hidden="1" xr:uid="{00000000-0005-0000-0000-0000CD240000}"/>
    <cellStyle name="Heading 4 3" xfId="7556" hidden="1" xr:uid="{00000000-0005-0000-0000-0000CE240000}"/>
    <cellStyle name="Heading 4 3" xfId="7588" hidden="1" xr:uid="{00000000-0005-0000-0000-0000CF240000}"/>
    <cellStyle name="Heading 4 3" xfId="7621" hidden="1" xr:uid="{00000000-0005-0000-0000-0000D0240000}"/>
    <cellStyle name="Heading 4 3" xfId="7654" hidden="1" xr:uid="{00000000-0005-0000-0000-0000D1240000}"/>
    <cellStyle name="Heading 4 3" xfId="7687" hidden="1" xr:uid="{00000000-0005-0000-0000-0000D2240000}"/>
    <cellStyle name="Heading 4 3" xfId="7720" hidden="1" xr:uid="{00000000-0005-0000-0000-0000D3240000}"/>
    <cellStyle name="Heading 4 3" xfId="7753" hidden="1" xr:uid="{00000000-0005-0000-0000-0000D4240000}"/>
    <cellStyle name="Heading 4 3" xfId="7779" hidden="1" xr:uid="{00000000-0005-0000-0000-0000D5240000}"/>
    <cellStyle name="Heading 4 3" xfId="7801" hidden="1" xr:uid="{00000000-0005-0000-0000-0000D6240000}"/>
    <cellStyle name="Heading 4 3" xfId="7838" hidden="1" xr:uid="{00000000-0005-0000-0000-0000D7240000}"/>
    <cellStyle name="Heading 4 3" xfId="7871" hidden="1" xr:uid="{00000000-0005-0000-0000-0000D8240000}"/>
    <cellStyle name="Heading 4 3" xfId="7903" hidden="1" xr:uid="{00000000-0005-0000-0000-0000D9240000}"/>
    <cellStyle name="Heading 4 3" xfId="7935" hidden="1" xr:uid="{00000000-0005-0000-0000-0000DA240000}"/>
    <cellStyle name="Heading 4 3" xfId="7968" hidden="1" xr:uid="{00000000-0005-0000-0000-0000DB240000}"/>
    <cellStyle name="Heading 4 3" xfId="8000" hidden="1" xr:uid="{00000000-0005-0000-0000-0000DC240000}"/>
    <cellStyle name="Heading 4 3" xfId="8033" hidden="1" xr:uid="{00000000-0005-0000-0000-0000DD240000}"/>
    <cellStyle name="Heading 4 3" xfId="8065" hidden="1" xr:uid="{00000000-0005-0000-0000-0000DE240000}"/>
    <cellStyle name="Heading 4 3" xfId="8098" hidden="1" xr:uid="{00000000-0005-0000-0000-0000DF240000}"/>
    <cellStyle name="Heading 4 3" xfId="8131" hidden="1" xr:uid="{00000000-0005-0000-0000-0000E0240000}"/>
    <cellStyle name="Heading 4 3" xfId="8164" hidden="1" xr:uid="{00000000-0005-0000-0000-0000E1240000}"/>
    <cellStyle name="Heading 4 3" xfId="8197" hidden="1" xr:uid="{00000000-0005-0000-0000-0000E2240000}"/>
    <cellStyle name="Heading 4 3" xfId="8230" hidden="1" xr:uid="{00000000-0005-0000-0000-0000E3240000}"/>
    <cellStyle name="Heading 4 3" xfId="8256" hidden="1" xr:uid="{00000000-0005-0000-0000-0000E4240000}"/>
    <cellStyle name="Heading 4 3" xfId="5746" hidden="1" xr:uid="{00000000-0005-0000-0000-0000E5240000}"/>
    <cellStyle name="Heading 4 3" xfId="5738" hidden="1" xr:uid="{00000000-0005-0000-0000-0000E6240000}"/>
    <cellStyle name="Heading 4 3" xfId="6762" hidden="1" xr:uid="{00000000-0005-0000-0000-0000E7240000}"/>
    <cellStyle name="Heading 4 3" xfId="5725" hidden="1" xr:uid="{00000000-0005-0000-0000-0000E8240000}"/>
    <cellStyle name="Heading 4 3" xfId="4270" hidden="1" xr:uid="{00000000-0005-0000-0000-0000E9240000}"/>
    <cellStyle name="Heading 4 3" xfId="4256" hidden="1" xr:uid="{00000000-0005-0000-0000-0000EA240000}"/>
    <cellStyle name="Heading 4 3" xfId="8275" hidden="1" xr:uid="{00000000-0005-0000-0000-0000EB240000}"/>
    <cellStyle name="Heading 4 3" xfId="8308" hidden="1" xr:uid="{00000000-0005-0000-0000-0000EC240000}"/>
    <cellStyle name="Heading 4 3" xfId="8341" hidden="1" xr:uid="{00000000-0005-0000-0000-0000ED240000}"/>
    <cellStyle name="Heading 4 3" xfId="8374" hidden="1" xr:uid="{00000000-0005-0000-0000-0000EE240000}"/>
    <cellStyle name="Heading 4 3" xfId="8407" hidden="1" xr:uid="{00000000-0005-0000-0000-0000EF240000}"/>
    <cellStyle name="Heading 4 3" xfId="8444" hidden="1" xr:uid="{00000000-0005-0000-0000-0000F0240000}"/>
    <cellStyle name="Heading 4 3" xfId="8477" hidden="1" xr:uid="{00000000-0005-0000-0000-0000F1240000}"/>
    <cellStyle name="Heading 4 3" xfId="8509" hidden="1" xr:uid="{00000000-0005-0000-0000-0000F2240000}"/>
    <cellStyle name="Heading 4 3" xfId="8541" hidden="1" xr:uid="{00000000-0005-0000-0000-0000F3240000}"/>
    <cellStyle name="Heading 4 3" xfId="8574" hidden="1" xr:uid="{00000000-0005-0000-0000-0000F4240000}"/>
    <cellStyle name="Heading 4 3" xfId="8606" hidden="1" xr:uid="{00000000-0005-0000-0000-0000F5240000}"/>
    <cellStyle name="Heading 4 3" xfId="8639" hidden="1" xr:uid="{00000000-0005-0000-0000-0000F6240000}"/>
    <cellStyle name="Heading 4 3" xfId="8671" hidden="1" xr:uid="{00000000-0005-0000-0000-0000F7240000}"/>
    <cellStyle name="Heading 4 3" xfId="8704" hidden="1" xr:uid="{00000000-0005-0000-0000-0000F8240000}"/>
    <cellStyle name="Heading 4 3" xfId="8737" hidden="1" xr:uid="{00000000-0005-0000-0000-0000F9240000}"/>
    <cellStyle name="Heading 4 3" xfId="8770" hidden="1" xr:uid="{00000000-0005-0000-0000-0000FA240000}"/>
    <cellStyle name="Heading 4 3" xfId="8803" hidden="1" xr:uid="{00000000-0005-0000-0000-0000FB240000}"/>
    <cellStyle name="Heading 4 3" xfId="8836" hidden="1" xr:uid="{00000000-0005-0000-0000-0000FC240000}"/>
    <cellStyle name="Heading 4 3" xfId="8869" hidden="1" xr:uid="{00000000-0005-0000-0000-0000FD240000}"/>
    <cellStyle name="Heading 4 3" xfId="8909" hidden="1" xr:uid="{00000000-0005-0000-0000-0000FE240000}"/>
    <cellStyle name="Heading 4 3" xfId="8946" hidden="1" xr:uid="{00000000-0005-0000-0000-0000FF240000}"/>
    <cellStyle name="Heading 4 3" xfId="8979" hidden="1" xr:uid="{00000000-0005-0000-0000-000000250000}"/>
    <cellStyle name="Heading 4 3" xfId="9011" hidden="1" xr:uid="{00000000-0005-0000-0000-000001250000}"/>
    <cellStyle name="Heading 4 3" xfId="9043" hidden="1" xr:uid="{00000000-0005-0000-0000-000002250000}"/>
    <cellStyle name="Heading 4 3" xfId="9076" hidden="1" xr:uid="{00000000-0005-0000-0000-000003250000}"/>
    <cellStyle name="Heading 4 3" xfId="9108" hidden="1" xr:uid="{00000000-0005-0000-0000-000004250000}"/>
    <cellStyle name="Heading 4 3" xfId="9141" hidden="1" xr:uid="{00000000-0005-0000-0000-000005250000}"/>
    <cellStyle name="Heading 4 3" xfId="9173" hidden="1" xr:uid="{00000000-0005-0000-0000-000006250000}"/>
    <cellStyle name="Heading 4 3" xfId="9206" hidden="1" xr:uid="{00000000-0005-0000-0000-000007250000}"/>
    <cellStyle name="Heading 4 3" xfId="9239" hidden="1" xr:uid="{00000000-0005-0000-0000-000008250000}"/>
    <cellStyle name="Heading 4 3" xfId="9272" hidden="1" xr:uid="{00000000-0005-0000-0000-000009250000}"/>
    <cellStyle name="Heading 4 3" xfId="9305" hidden="1" xr:uid="{00000000-0005-0000-0000-00000A250000}"/>
    <cellStyle name="Heading 4 3" xfId="9338" hidden="1" xr:uid="{00000000-0005-0000-0000-00000B250000}"/>
    <cellStyle name="Heading 4 3" xfId="9371" hidden="1" xr:uid="{00000000-0005-0000-0000-00000C250000}"/>
    <cellStyle name="Heading 4 3" xfId="9422" hidden="1" xr:uid="{00000000-0005-0000-0000-00000D250000}"/>
    <cellStyle name="Heading 4 3" xfId="9459" hidden="1" xr:uid="{00000000-0005-0000-0000-00000E250000}"/>
    <cellStyle name="Heading 4 3" xfId="9492" hidden="1" xr:uid="{00000000-0005-0000-0000-00000F250000}"/>
    <cellStyle name="Heading 4 3" xfId="9524" hidden="1" xr:uid="{00000000-0005-0000-0000-000010250000}"/>
    <cellStyle name="Heading 4 3" xfId="9556" hidden="1" xr:uid="{00000000-0005-0000-0000-000011250000}"/>
    <cellStyle name="Heading 4 3" xfId="9589" hidden="1" xr:uid="{00000000-0005-0000-0000-000012250000}"/>
    <cellStyle name="Heading 4 3" xfId="9621" hidden="1" xr:uid="{00000000-0005-0000-0000-000013250000}"/>
    <cellStyle name="Heading 4 3" xfId="9654" hidden="1" xr:uid="{00000000-0005-0000-0000-000014250000}"/>
    <cellStyle name="Heading 4 3" xfId="9686" hidden="1" xr:uid="{00000000-0005-0000-0000-000015250000}"/>
    <cellStyle name="Heading 4 3" xfId="9719" hidden="1" xr:uid="{00000000-0005-0000-0000-000016250000}"/>
    <cellStyle name="Heading 4 3" xfId="9752" hidden="1" xr:uid="{00000000-0005-0000-0000-000017250000}"/>
    <cellStyle name="Heading 4 3" xfId="9785" hidden="1" xr:uid="{00000000-0005-0000-0000-000018250000}"/>
    <cellStyle name="Heading 4 3" xfId="9818" hidden="1" xr:uid="{00000000-0005-0000-0000-000019250000}"/>
    <cellStyle name="Heading 4 3" xfId="9851" hidden="1" xr:uid="{00000000-0005-0000-0000-00001A250000}"/>
    <cellStyle name="Heading 4 3" xfId="9877" hidden="1" xr:uid="{00000000-0005-0000-0000-00001B250000}"/>
    <cellStyle name="Heading 4 3" xfId="9899" hidden="1" xr:uid="{00000000-0005-0000-0000-00001C250000}"/>
    <cellStyle name="Heading 4 3" xfId="9936" hidden="1" xr:uid="{00000000-0005-0000-0000-00001D250000}"/>
    <cellStyle name="Heading 4 3" xfId="9969" hidden="1" xr:uid="{00000000-0005-0000-0000-00001E250000}"/>
    <cellStyle name="Heading 4 3" xfId="10001" hidden="1" xr:uid="{00000000-0005-0000-0000-00001F250000}"/>
    <cellStyle name="Heading 4 3" xfId="10033" hidden="1" xr:uid="{00000000-0005-0000-0000-000020250000}"/>
    <cellStyle name="Heading 4 3" xfId="10066" hidden="1" xr:uid="{00000000-0005-0000-0000-000021250000}"/>
    <cellStyle name="Heading 4 3" xfId="10098" hidden="1" xr:uid="{00000000-0005-0000-0000-000022250000}"/>
    <cellStyle name="Heading 4 3" xfId="10131" hidden="1" xr:uid="{00000000-0005-0000-0000-000023250000}"/>
    <cellStyle name="Heading 4 3" xfId="10163" hidden="1" xr:uid="{00000000-0005-0000-0000-000024250000}"/>
    <cellStyle name="Heading 4 3" xfId="10196" hidden="1" xr:uid="{00000000-0005-0000-0000-000025250000}"/>
    <cellStyle name="Heading 4 3" xfId="10229" hidden="1" xr:uid="{00000000-0005-0000-0000-000026250000}"/>
    <cellStyle name="Heading 4 3" xfId="10262" hidden="1" xr:uid="{00000000-0005-0000-0000-000027250000}"/>
    <cellStyle name="Heading 4 3" xfId="10295" hidden="1" xr:uid="{00000000-0005-0000-0000-000028250000}"/>
    <cellStyle name="Heading 4 3" xfId="10328" hidden="1" xr:uid="{00000000-0005-0000-0000-000029250000}"/>
    <cellStyle name="Heading 4 3" xfId="10354" hidden="1" xr:uid="{00000000-0005-0000-0000-00002A250000}"/>
    <cellStyle name="Heading 4 3" xfId="10387" hidden="1" xr:uid="{00000000-0005-0000-0000-00002B250000}"/>
    <cellStyle name="Heading 4 3" xfId="10424" hidden="1" xr:uid="{00000000-0005-0000-0000-00002C250000}"/>
    <cellStyle name="Heading 4 3" xfId="10457" hidden="1" xr:uid="{00000000-0005-0000-0000-00002D250000}"/>
    <cellStyle name="Heading 4 3" xfId="10489" hidden="1" xr:uid="{00000000-0005-0000-0000-00002E250000}"/>
    <cellStyle name="Heading 4 3" xfId="10521" hidden="1" xr:uid="{00000000-0005-0000-0000-00002F250000}"/>
    <cellStyle name="Heading 4 3" xfId="10554" hidden="1" xr:uid="{00000000-0005-0000-0000-000030250000}"/>
    <cellStyle name="Heading 4 3" xfId="10586" hidden="1" xr:uid="{00000000-0005-0000-0000-000031250000}"/>
    <cellStyle name="Heading 4 3" xfId="10619" hidden="1" xr:uid="{00000000-0005-0000-0000-000032250000}"/>
    <cellStyle name="Heading 4 3" xfId="10651" hidden="1" xr:uid="{00000000-0005-0000-0000-000033250000}"/>
    <cellStyle name="Heading 4 3" xfId="10684" hidden="1" xr:uid="{00000000-0005-0000-0000-000034250000}"/>
    <cellStyle name="Heading 4 3" xfId="10717" hidden="1" xr:uid="{00000000-0005-0000-0000-000035250000}"/>
    <cellStyle name="Heading 4 3" xfId="10750" hidden="1" xr:uid="{00000000-0005-0000-0000-000036250000}"/>
    <cellStyle name="Heading 4 3" xfId="10783" hidden="1" xr:uid="{00000000-0005-0000-0000-000037250000}"/>
    <cellStyle name="Heading 4 3" xfId="10816" hidden="1" xr:uid="{00000000-0005-0000-0000-000038250000}"/>
    <cellStyle name="Heading 4 3" xfId="10849" hidden="1" xr:uid="{00000000-0005-0000-0000-000039250000}"/>
    <cellStyle name="Heading 4 3" xfId="10900" hidden="1" xr:uid="{00000000-0005-0000-0000-00003A250000}"/>
    <cellStyle name="Heading 4 3" xfId="10937" hidden="1" xr:uid="{00000000-0005-0000-0000-00003B250000}"/>
    <cellStyle name="Heading 4 3" xfId="10970" hidden="1" xr:uid="{00000000-0005-0000-0000-00003C250000}"/>
    <cellStyle name="Heading 4 3" xfId="11002" hidden="1" xr:uid="{00000000-0005-0000-0000-00003D250000}"/>
    <cellStyle name="Heading 4 3" xfId="11034" hidden="1" xr:uid="{00000000-0005-0000-0000-00003E250000}"/>
    <cellStyle name="Heading 4 3" xfId="11067" hidden="1" xr:uid="{00000000-0005-0000-0000-00003F250000}"/>
    <cellStyle name="Heading 4 3" xfId="11099" hidden="1" xr:uid="{00000000-0005-0000-0000-000040250000}"/>
    <cellStyle name="Heading 4 3" xfId="11132" hidden="1" xr:uid="{00000000-0005-0000-0000-000041250000}"/>
    <cellStyle name="Heading 4 3" xfId="11164" hidden="1" xr:uid="{00000000-0005-0000-0000-000042250000}"/>
    <cellStyle name="Heading 4 3" xfId="11197" hidden="1" xr:uid="{00000000-0005-0000-0000-000043250000}"/>
    <cellStyle name="Heading 4 3" xfId="11230" hidden="1" xr:uid="{00000000-0005-0000-0000-000044250000}"/>
    <cellStyle name="Heading 4 3" xfId="11263" hidden="1" xr:uid="{00000000-0005-0000-0000-000045250000}"/>
    <cellStyle name="Heading 4 3" xfId="11296" hidden="1" xr:uid="{00000000-0005-0000-0000-000046250000}"/>
    <cellStyle name="Heading 4 3" xfId="11329" hidden="1" xr:uid="{00000000-0005-0000-0000-000047250000}"/>
    <cellStyle name="Heading 4 3" xfId="11355" hidden="1" xr:uid="{00000000-0005-0000-0000-000048250000}"/>
    <cellStyle name="Heading 4 3" xfId="11377" hidden="1" xr:uid="{00000000-0005-0000-0000-000049250000}"/>
    <cellStyle name="Heading 4 3" xfId="11414" hidden="1" xr:uid="{00000000-0005-0000-0000-00004A250000}"/>
    <cellStyle name="Heading 4 3" xfId="11447" hidden="1" xr:uid="{00000000-0005-0000-0000-00004B250000}"/>
    <cellStyle name="Heading 4 3" xfId="11479" hidden="1" xr:uid="{00000000-0005-0000-0000-00004C250000}"/>
    <cellStyle name="Heading 4 3" xfId="11511" hidden="1" xr:uid="{00000000-0005-0000-0000-00004D250000}"/>
    <cellStyle name="Heading 4 3" xfId="11544" hidden="1" xr:uid="{00000000-0005-0000-0000-00004E250000}"/>
    <cellStyle name="Heading 4 3" xfId="11576" hidden="1" xr:uid="{00000000-0005-0000-0000-00004F250000}"/>
    <cellStyle name="Heading 4 3" xfId="11609" hidden="1" xr:uid="{00000000-0005-0000-0000-000050250000}"/>
    <cellStyle name="Heading 4 3" xfId="11641" hidden="1" xr:uid="{00000000-0005-0000-0000-000051250000}"/>
    <cellStyle name="Heading 4 3" xfId="11674" hidden="1" xr:uid="{00000000-0005-0000-0000-000052250000}"/>
    <cellStyle name="Heading 4 3" xfId="11707" hidden="1" xr:uid="{00000000-0005-0000-0000-000053250000}"/>
    <cellStyle name="Heading 4 3" xfId="11740" hidden="1" xr:uid="{00000000-0005-0000-0000-000054250000}"/>
    <cellStyle name="Heading 4 3" xfId="11773" hidden="1" xr:uid="{00000000-0005-0000-0000-000055250000}"/>
    <cellStyle name="Heading 4 3" xfId="11806" hidden="1" xr:uid="{00000000-0005-0000-0000-000056250000}"/>
    <cellStyle name="Heading 4 3" xfId="11832" xr:uid="{00000000-0005-0000-0000-000057250000}"/>
    <cellStyle name="HeadingRbmTable" xfId="1634" xr:uid="{00000000-0005-0000-0000-000058250000}"/>
    <cellStyle name="HeadingRbmTable 2" xfId="1635" xr:uid="{00000000-0005-0000-0000-000059250000}"/>
    <cellStyle name="highlightExposure" xfId="117" xr:uid="{00000000-0005-0000-0000-00005A250000}"/>
    <cellStyle name="highlightText" xfId="118" xr:uid="{00000000-0005-0000-0000-00005B250000}"/>
    <cellStyle name="Hipervínculo 2" xfId="119" xr:uid="{00000000-0005-0000-0000-00005C250000}"/>
    <cellStyle name="Hivatkozott cella" xfId="120" xr:uid="{00000000-0005-0000-0000-00005D250000}"/>
    <cellStyle name="Hyperlink" xfId="364" builtinId="8" customBuiltin="1"/>
    <cellStyle name="Hyperlink 2" xfId="121" xr:uid="{00000000-0005-0000-0000-00005F250000}"/>
    <cellStyle name="Hyperlink 3" xfId="122" xr:uid="{00000000-0005-0000-0000-000060250000}"/>
    <cellStyle name="Hyperlink 3 2" xfId="123" xr:uid="{00000000-0005-0000-0000-000061250000}"/>
    <cellStyle name="Hyperlink 4" xfId="2744" xr:uid="{00000000-0005-0000-0000-000062250000}"/>
    <cellStyle name="Hyperlink 5" xfId="1101" xr:uid="{00000000-0005-0000-0000-000063250000}"/>
    <cellStyle name="Incorrecto" xfId="124" xr:uid="{00000000-0005-0000-0000-000064250000}"/>
    <cellStyle name="Input 2" xfId="126" xr:uid="{00000000-0005-0000-0000-000065250000}"/>
    <cellStyle name="Input 2 2" xfId="1637" xr:uid="{00000000-0005-0000-0000-000066250000}"/>
    <cellStyle name="Input 2 3" xfId="2745" xr:uid="{00000000-0005-0000-0000-000067250000}"/>
    <cellStyle name="Input 3" xfId="206" hidden="1" xr:uid="{00000000-0005-0000-0000-000068250000}"/>
    <cellStyle name="Input 3" xfId="253" hidden="1" xr:uid="{00000000-0005-0000-0000-000069250000}"/>
    <cellStyle name="Input 3" xfId="286" hidden="1" xr:uid="{00000000-0005-0000-0000-00006A250000}"/>
    <cellStyle name="Input 3" xfId="319" hidden="1" xr:uid="{00000000-0005-0000-0000-00006B250000}"/>
    <cellStyle name="Input 3" xfId="352" hidden="1" xr:uid="{00000000-0005-0000-0000-00006C250000}"/>
    <cellStyle name="Input 3" xfId="386" hidden="1" xr:uid="{00000000-0005-0000-0000-00006D250000}"/>
    <cellStyle name="Input 3" xfId="419" hidden="1" xr:uid="{00000000-0005-0000-0000-00006E250000}"/>
    <cellStyle name="Input 3" xfId="452" hidden="1" xr:uid="{00000000-0005-0000-0000-00006F250000}"/>
    <cellStyle name="Input 3" xfId="485" hidden="1" xr:uid="{00000000-0005-0000-0000-000070250000}"/>
    <cellStyle name="Input 3" xfId="518" hidden="1" xr:uid="{00000000-0005-0000-0000-000071250000}"/>
    <cellStyle name="Input 3" xfId="551" hidden="1" xr:uid="{00000000-0005-0000-0000-000072250000}"/>
    <cellStyle name="Input 3" xfId="584" hidden="1" xr:uid="{00000000-0005-0000-0000-000073250000}"/>
    <cellStyle name="Input 3" xfId="621" hidden="1" xr:uid="{00000000-0005-0000-0000-000074250000}"/>
    <cellStyle name="Input 3" xfId="654" hidden="1" xr:uid="{00000000-0005-0000-0000-000075250000}"/>
    <cellStyle name="Input 3" xfId="686" hidden="1" xr:uid="{00000000-0005-0000-0000-000076250000}"/>
    <cellStyle name="Input 3" xfId="718" hidden="1" xr:uid="{00000000-0005-0000-0000-000077250000}"/>
    <cellStyle name="Input 3" xfId="751" hidden="1" xr:uid="{00000000-0005-0000-0000-000078250000}"/>
    <cellStyle name="Input 3" xfId="783" hidden="1" xr:uid="{00000000-0005-0000-0000-000079250000}"/>
    <cellStyle name="Input 3" xfId="816" hidden="1" xr:uid="{00000000-0005-0000-0000-00007A250000}"/>
    <cellStyle name="Input 3" xfId="848" hidden="1" xr:uid="{00000000-0005-0000-0000-00007B250000}"/>
    <cellStyle name="Input 3" xfId="881" hidden="1" xr:uid="{00000000-0005-0000-0000-00007C250000}"/>
    <cellStyle name="Input 3" xfId="914" hidden="1" xr:uid="{00000000-0005-0000-0000-00007D250000}"/>
    <cellStyle name="Input 3" xfId="947" hidden="1" xr:uid="{00000000-0005-0000-0000-00007E250000}"/>
    <cellStyle name="Input 3" xfId="980" hidden="1" xr:uid="{00000000-0005-0000-0000-00007F250000}"/>
    <cellStyle name="Input 3" xfId="1013" hidden="1" xr:uid="{00000000-0005-0000-0000-000080250000}"/>
    <cellStyle name="Input 3" xfId="1046" hidden="1" xr:uid="{00000000-0005-0000-0000-000081250000}"/>
    <cellStyle name="Input 3" xfId="1089" hidden="1" xr:uid="{00000000-0005-0000-0000-000082250000}"/>
    <cellStyle name="Input 3" xfId="1127" hidden="1" xr:uid="{00000000-0005-0000-0000-000083250000}"/>
    <cellStyle name="Input 3" xfId="1160" hidden="1" xr:uid="{00000000-0005-0000-0000-000084250000}"/>
    <cellStyle name="Input 3" xfId="1192" hidden="1" xr:uid="{00000000-0005-0000-0000-000085250000}"/>
    <cellStyle name="Input 3" xfId="1224" hidden="1" xr:uid="{00000000-0005-0000-0000-000086250000}"/>
    <cellStyle name="Input 3" xfId="1257" hidden="1" xr:uid="{00000000-0005-0000-0000-000087250000}"/>
    <cellStyle name="Input 3" xfId="1289" hidden="1" xr:uid="{00000000-0005-0000-0000-000088250000}"/>
    <cellStyle name="Input 3" xfId="1322" hidden="1" xr:uid="{00000000-0005-0000-0000-000089250000}"/>
    <cellStyle name="Input 3" xfId="1354" hidden="1" xr:uid="{00000000-0005-0000-0000-00008A250000}"/>
    <cellStyle name="Input 3" xfId="1387" hidden="1" xr:uid="{00000000-0005-0000-0000-00008B250000}"/>
    <cellStyle name="Input 3" xfId="1420" hidden="1" xr:uid="{00000000-0005-0000-0000-00008C250000}"/>
    <cellStyle name="Input 3" xfId="1453" hidden="1" xr:uid="{00000000-0005-0000-0000-00008D250000}"/>
    <cellStyle name="Input 3" xfId="1486" hidden="1" xr:uid="{00000000-0005-0000-0000-00008E250000}"/>
    <cellStyle name="Input 3" xfId="1519" hidden="1" xr:uid="{00000000-0005-0000-0000-00008F250000}"/>
    <cellStyle name="Input 3" xfId="1552" hidden="1" xr:uid="{00000000-0005-0000-0000-000090250000}"/>
    <cellStyle name="Input 3" xfId="1766" hidden="1" xr:uid="{00000000-0005-0000-0000-000091250000}"/>
    <cellStyle name="Input 3" xfId="1803" hidden="1" xr:uid="{00000000-0005-0000-0000-000092250000}"/>
    <cellStyle name="Input 3" xfId="1836" hidden="1" xr:uid="{00000000-0005-0000-0000-000093250000}"/>
    <cellStyle name="Input 3" xfId="1868" hidden="1" xr:uid="{00000000-0005-0000-0000-000094250000}"/>
    <cellStyle name="Input 3" xfId="1900" hidden="1" xr:uid="{00000000-0005-0000-0000-000095250000}"/>
    <cellStyle name="Input 3" xfId="1933" hidden="1" xr:uid="{00000000-0005-0000-0000-000096250000}"/>
    <cellStyle name="Input 3" xfId="1965" hidden="1" xr:uid="{00000000-0005-0000-0000-000097250000}"/>
    <cellStyle name="Input 3" xfId="1998" hidden="1" xr:uid="{00000000-0005-0000-0000-000098250000}"/>
    <cellStyle name="Input 3" xfId="2030" hidden="1" xr:uid="{00000000-0005-0000-0000-000099250000}"/>
    <cellStyle name="Input 3" xfId="2063" hidden="1" xr:uid="{00000000-0005-0000-0000-00009A250000}"/>
    <cellStyle name="Input 3" xfId="2096" hidden="1" xr:uid="{00000000-0005-0000-0000-00009B250000}"/>
    <cellStyle name="Input 3" xfId="2129" hidden="1" xr:uid="{00000000-0005-0000-0000-00009C250000}"/>
    <cellStyle name="Input 3" xfId="2162" hidden="1" xr:uid="{00000000-0005-0000-0000-00009D250000}"/>
    <cellStyle name="Input 3" xfId="2195" hidden="1" xr:uid="{00000000-0005-0000-0000-00009E250000}"/>
    <cellStyle name="Input 3" xfId="2226" hidden="1" xr:uid="{00000000-0005-0000-0000-00009F250000}"/>
    <cellStyle name="Input 3" xfId="2243" hidden="1" xr:uid="{00000000-0005-0000-0000-0000A0250000}"/>
    <cellStyle name="Input 3" xfId="2280" hidden="1" xr:uid="{00000000-0005-0000-0000-0000A1250000}"/>
    <cellStyle name="Input 3" xfId="2313" hidden="1" xr:uid="{00000000-0005-0000-0000-0000A2250000}"/>
    <cellStyle name="Input 3" xfId="2345" hidden="1" xr:uid="{00000000-0005-0000-0000-0000A3250000}"/>
    <cellStyle name="Input 3" xfId="2377" hidden="1" xr:uid="{00000000-0005-0000-0000-0000A4250000}"/>
    <cellStyle name="Input 3" xfId="2410" hidden="1" xr:uid="{00000000-0005-0000-0000-0000A5250000}"/>
    <cellStyle name="Input 3" xfId="2442" hidden="1" xr:uid="{00000000-0005-0000-0000-0000A6250000}"/>
    <cellStyle name="Input 3" xfId="2475" hidden="1" xr:uid="{00000000-0005-0000-0000-0000A7250000}"/>
    <cellStyle name="Input 3" xfId="2507" hidden="1" xr:uid="{00000000-0005-0000-0000-0000A8250000}"/>
    <cellStyle name="Input 3" xfId="2540" hidden="1" xr:uid="{00000000-0005-0000-0000-0000A9250000}"/>
    <cellStyle name="Input 3" xfId="2573" hidden="1" xr:uid="{00000000-0005-0000-0000-0000AA250000}"/>
    <cellStyle name="Input 3" xfId="2606" hidden="1" xr:uid="{00000000-0005-0000-0000-0000AB250000}"/>
    <cellStyle name="Input 3" xfId="2639" hidden="1" xr:uid="{00000000-0005-0000-0000-0000AC250000}"/>
    <cellStyle name="Input 3" xfId="2672" hidden="1" xr:uid="{00000000-0005-0000-0000-0000AD250000}"/>
    <cellStyle name="Input 3" xfId="2703" hidden="1" xr:uid="{00000000-0005-0000-0000-0000AE250000}"/>
    <cellStyle name="Input 3" xfId="2786" hidden="1" xr:uid="{00000000-0005-0000-0000-0000AF250000}"/>
    <cellStyle name="Input 3" xfId="2823" hidden="1" xr:uid="{00000000-0005-0000-0000-0000B0250000}"/>
    <cellStyle name="Input 3" xfId="2856" hidden="1" xr:uid="{00000000-0005-0000-0000-0000B1250000}"/>
    <cellStyle name="Input 3" xfId="2888" hidden="1" xr:uid="{00000000-0005-0000-0000-0000B2250000}"/>
    <cellStyle name="Input 3" xfId="2920" hidden="1" xr:uid="{00000000-0005-0000-0000-0000B3250000}"/>
    <cellStyle name="Input 3" xfId="2953" hidden="1" xr:uid="{00000000-0005-0000-0000-0000B4250000}"/>
    <cellStyle name="Input 3" xfId="2985" hidden="1" xr:uid="{00000000-0005-0000-0000-0000B5250000}"/>
    <cellStyle name="Input 3" xfId="3018" hidden="1" xr:uid="{00000000-0005-0000-0000-0000B6250000}"/>
    <cellStyle name="Input 3" xfId="3050" hidden="1" xr:uid="{00000000-0005-0000-0000-0000B7250000}"/>
    <cellStyle name="Input 3" xfId="3083" hidden="1" xr:uid="{00000000-0005-0000-0000-0000B8250000}"/>
    <cellStyle name="Input 3" xfId="3116" hidden="1" xr:uid="{00000000-0005-0000-0000-0000B9250000}"/>
    <cellStyle name="Input 3" xfId="3149" hidden="1" xr:uid="{00000000-0005-0000-0000-0000BA250000}"/>
    <cellStyle name="Input 3" xfId="3182" hidden="1" xr:uid="{00000000-0005-0000-0000-0000BB250000}"/>
    <cellStyle name="Input 3" xfId="3215" hidden="1" xr:uid="{00000000-0005-0000-0000-0000BC250000}"/>
    <cellStyle name="Input 3" xfId="3248" hidden="1" xr:uid="{00000000-0005-0000-0000-0000BD250000}"/>
    <cellStyle name="Input 3" xfId="3299" hidden="1" xr:uid="{00000000-0005-0000-0000-0000BE250000}"/>
    <cellStyle name="Input 3" xfId="3336" hidden="1" xr:uid="{00000000-0005-0000-0000-0000BF250000}"/>
    <cellStyle name="Input 3" xfId="3369" hidden="1" xr:uid="{00000000-0005-0000-0000-0000C0250000}"/>
    <cellStyle name="Input 3" xfId="3401" hidden="1" xr:uid="{00000000-0005-0000-0000-0000C1250000}"/>
    <cellStyle name="Input 3" xfId="3433" hidden="1" xr:uid="{00000000-0005-0000-0000-0000C2250000}"/>
    <cellStyle name="Input 3" xfId="3466" hidden="1" xr:uid="{00000000-0005-0000-0000-0000C3250000}"/>
    <cellStyle name="Input 3" xfId="3498" hidden="1" xr:uid="{00000000-0005-0000-0000-0000C4250000}"/>
    <cellStyle name="Input 3" xfId="3531" hidden="1" xr:uid="{00000000-0005-0000-0000-0000C5250000}"/>
    <cellStyle name="Input 3" xfId="3563" hidden="1" xr:uid="{00000000-0005-0000-0000-0000C6250000}"/>
    <cellStyle name="Input 3" xfId="3596" hidden="1" xr:uid="{00000000-0005-0000-0000-0000C7250000}"/>
    <cellStyle name="Input 3" xfId="3629" hidden="1" xr:uid="{00000000-0005-0000-0000-0000C8250000}"/>
    <cellStyle name="Input 3" xfId="3662" hidden="1" xr:uid="{00000000-0005-0000-0000-0000C9250000}"/>
    <cellStyle name="Input 3" xfId="3695" hidden="1" xr:uid="{00000000-0005-0000-0000-0000CA250000}"/>
    <cellStyle name="Input 3" xfId="3728" hidden="1" xr:uid="{00000000-0005-0000-0000-0000CB250000}"/>
    <cellStyle name="Input 3" xfId="3759" hidden="1" xr:uid="{00000000-0005-0000-0000-0000CC250000}"/>
    <cellStyle name="Input 3" xfId="3776" hidden="1" xr:uid="{00000000-0005-0000-0000-0000CD250000}"/>
    <cellStyle name="Input 3" xfId="3813" hidden="1" xr:uid="{00000000-0005-0000-0000-0000CE250000}"/>
    <cellStyle name="Input 3" xfId="3846" hidden="1" xr:uid="{00000000-0005-0000-0000-0000CF250000}"/>
    <cellStyle name="Input 3" xfId="3878" hidden="1" xr:uid="{00000000-0005-0000-0000-0000D0250000}"/>
    <cellStyle name="Input 3" xfId="3910" hidden="1" xr:uid="{00000000-0005-0000-0000-0000D1250000}"/>
    <cellStyle name="Input 3" xfId="3943" hidden="1" xr:uid="{00000000-0005-0000-0000-0000D2250000}"/>
    <cellStyle name="Input 3" xfId="3975" hidden="1" xr:uid="{00000000-0005-0000-0000-0000D3250000}"/>
    <cellStyle name="Input 3" xfId="4008" hidden="1" xr:uid="{00000000-0005-0000-0000-0000D4250000}"/>
    <cellStyle name="Input 3" xfId="4040" hidden="1" xr:uid="{00000000-0005-0000-0000-0000D5250000}"/>
    <cellStyle name="Input 3" xfId="4073" hidden="1" xr:uid="{00000000-0005-0000-0000-0000D6250000}"/>
    <cellStyle name="Input 3" xfId="4106" hidden="1" xr:uid="{00000000-0005-0000-0000-0000D7250000}"/>
    <cellStyle name="Input 3" xfId="4139" hidden="1" xr:uid="{00000000-0005-0000-0000-0000D8250000}"/>
    <cellStyle name="Input 3" xfId="4172" hidden="1" xr:uid="{00000000-0005-0000-0000-0000D9250000}"/>
    <cellStyle name="Input 3" xfId="4205" hidden="1" xr:uid="{00000000-0005-0000-0000-0000DA250000}"/>
    <cellStyle name="Input 3" xfId="4236" hidden="1" xr:uid="{00000000-0005-0000-0000-0000DB250000}"/>
    <cellStyle name="Input 3" xfId="4405" hidden="1" xr:uid="{00000000-0005-0000-0000-0000DC250000}"/>
    <cellStyle name="Input 3" xfId="4438" hidden="1" xr:uid="{00000000-0005-0000-0000-0000DD250000}"/>
    <cellStyle name="Input 3" xfId="4471" hidden="1" xr:uid="{00000000-0005-0000-0000-0000DE250000}"/>
    <cellStyle name="Input 3" xfId="4504" hidden="1" xr:uid="{00000000-0005-0000-0000-0000DF250000}"/>
    <cellStyle name="Input 3" xfId="4537" hidden="1" xr:uid="{00000000-0005-0000-0000-0000E0250000}"/>
    <cellStyle name="Input 3" xfId="4570" hidden="1" xr:uid="{00000000-0005-0000-0000-0000E1250000}"/>
    <cellStyle name="Input 3" xfId="4603" hidden="1" xr:uid="{00000000-0005-0000-0000-0000E2250000}"/>
    <cellStyle name="Input 3" xfId="4636" hidden="1" xr:uid="{00000000-0005-0000-0000-0000E3250000}"/>
    <cellStyle name="Input 3" xfId="4669" hidden="1" xr:uid="{00000000-0005-0000-0000-0000E4250000}"/>
    <cellStyle name="Input 3" xfId="4702" hidden="1" xr:uid="{00000000-0005-0000-0000-0000E5250000}"/>
    <cellStyle name="Input 3" xfId="4735" hidden="1" xr:uid="{00000000-0005-0000-0000-0000E6250000}"/>
    <cellStyle name="Input 3" xfId="4772" hidden="1" xr:uid="{00000000-0005-0000-0000-0000E7250000}"/>
    <cellStyle name="Input 3" xfId="4805" hidden="1" xr:uid="{00000000-0005-0000-0000-0000E8250000}"/>
    <cellStyle name="Input 3" xfId="4837" hidden="1" xr:uid="{00000000-0005-0000-0000-0000E9250000}"/>
    <cellStyle name="Input 3" xfId="4869" hidden="1" xr:uid="{00000000-0005-0000-0000-0000EA250000}"/>
    <cellStyle name="Input 3" xfId="4902" hidden="1" xr:uid="{00000000-0005-0000-0000-0000EB250000}"/>
    <cellStyle name="Input 3" xfId="4934" hidden="1" xr:uid="{00000000-0005-0000-0000-0000EC250000}"/>
    <cellStyle name="Input 3" xfId="4967" hidden="1" xr:uid="{00000000-0005-0000-0000-0000ED250000}"/>
    <cellStyle name="Input 3" xfId="4999" hidden="1" xr:uid="{00000000-0005-0000-0000-0000EE250000}"/>
    <cellStyle name="Input 3" xfId="5032" hidden="1" xr:uid="{00000000-0005-0000-0000-0000EF250000}"/>
    <cellStyle name="Input 3" xfId="5065" hidden="1" xr:uid="{00000000-0005-0000-0000-0000F0250000}"/>
    <cellStyle name="Input 3" xfId="5098" hidden="1" xr:uid="{00000000-0005-0000-0000-0000F1250000}"/>
    <cellStyle name="Input 3" xfId="5131" hidden="1" xr:uid="{00000000-0005-0000-0000-0000F2250000}"/>
    <cellStyle name="Input 3" xfId="5164" hidden="1" xr:uid="{00000000-0005-0000-0000-0000F3250000}"/>
    <cellStyle name="Input 3" xfId="5197" hidden="1" xr:uid="{00000000-0005-0000-0000-0000F4250000}"/>
    <cellStyle name="Input 3" xfId="5238" hidden="1" xr:uid="{00000000-0005-0000-0000-0000F5250000}"/>
    <cellStyle name="Input 3" xfId="5275" hidden="1" xr:uid="{00000000-0005-0000-0000-0000F6250000}"/>
    <cellStyle name="Input 3" xfId="5308" hidden="1" xr:uid="{00000000-0005-0000-0000-0000F7250000}"/>
    <cellStyle name="Input 3" xfId="5340" hidden="1" xr:uid="{00000000-0005-0000-0000-0000F8250000}"/>
    <cellStyle name="Input 3" xfId="5372" hidden="1" xr:uid="{00000000-0005-0000-0000-0000F9250000}"/>
    <cellStyle name="Input 3" xfId="5405" hidden="1" xr:uid="{00000000-0005-0000-0000-0000FA250000}"/>
    <cellStyle name="Input 3" xfId="5437" hidden="1" xr:uid="{00000000-0005-0000-0000-0000FB250000}"/>
    <cellStyle name="Input 3" xfId="5470" hidden="1" xr:uid="{00000000-0005-0000-0000-0000FC250000}"/>
    <cellStyle name="Input 3" xfId="5502" hidden="1" xr:uid="{00000000-0005-0000-0000-0000FD250000}"/>
    <cellStyle name="Input 3" xfId="5535" hidden="1" xr:uid="{00000000-0005-0000-0000-0000FE250000}"/>
    <cellStyle name="Input 3" xfId="5568" hidden="1" xr:uid="{00000000-0005-0000-0000-0000FF250000}"/>
    <cellStyle name="Input 3" xfId="5601" hidden="1" xr:uid="{00000000-0005-0000-0000-000000260000}"/>
    <cellStyle name="Input 3" xfId="5634" hidden="1" xr:uid="{00000000-0005-0000-0000-000001260000}"/>
    <cellStyle name="Input 3" xfId="5667" hidden="1" xr:uid="{00000000-0005-0000-0000-000002260000}"/>
    <cellStyle name="Input 3" xfId="5700" hidden="1" xr:uid="{00000000-0005-0000-0000-000003260000}"/>
    <cellStyle name="Input 3" xfId="5804" hidden="1" xr:uid="{00000000-0005-0000-0000-000004260000}"/>
    <cellStyle name="Input 3" xfId="5841" hidden="1" xr:uid="{00000000-0005-0000-0000-000005260000}"/>
    <cellStyle name="Input 3" xfId="5874" hidden="1" xr:uid="{00000000-0005-0000-0000-000006260000}"/>
    <cellStyle name="Input 3" xfId="5906" hidden="1" xr:uid="{00000000-0005-0000-0000-000007260000}"/>
    <cellStyle name="Input 3" xfId="5938" hidden="1" xr:uid="{00000000-0005-0000-0000-000008260000}"/>
    <cellStyle name="Input 3" xfId="5971" hidden="1" xr:uid="{00000000-0005-0000-0000-000009260000}"/>
    <cellStyle name="Input 3" xfId="6003" hidden="1" xr:uid="{00000000-0005-0000-0000-00000A260000}"/>
    <cellStyle name="Input 3" xfId="6036" hidden="1" xr:uid="{00000000-0005-0000-0000-00000B260000}"/>
    <cellStyle name="Input 3" xfId="6068" hidden="1" xr:uid="{00000000-0005-0000-0000-00000C260000}"/>
    <cellStyle name="Input 3" xfId="6101" hidden="1" xr:uid="{00000000-0005-0000-0000-00000D260000}"/>
    <cellStyle name="Input 3" xfId="6134" hidden="1" xr:uid="{00000000-0005-0000-0000-00000E260000}"/>
    <cellStyle name="Input 3" xfId="6167" hidden="1" xr:uid="{00000000-0005-0000-0000-00000F260000}"/>
    <cellStyle name="Input 3" xfId="6200" hidden="1" xr:uid="{00000000-0005-0000-0000-000010260000}"/>
    <cellStyle name="Input 3" xfId="6233" hidden="1" xr:uid="{00000000-0005-0000-0000-000011260000}"/>
    <cellStyle name="Input 3" xfId="6264" hidden="1" xr:uid="{00000000-0005-0000-0000-000012260000}"/>
    <cellStyle name="Input 3" xfId="6281" hidden="1" xr:uid="{00000000-0005-0000-0000-000013260000}"/>
    <cellStyle name="Input 3" xfId="6318" hidden="1" xr:uid="{00000000-0005-0000-0000-000014260000}"/>
    <cellStyle name="Input 3" xfId="6351" hidden="1" xr:uid="{00000000-0005-0000-0000-000015260000}"/>
    <cellStyle name="Input 3" xfId="6383" hidden="1" xr:uid="{00000000-0005-0000-0000-000016260000}"/>
    <cellStyle name="Input 3" xfId="6415" hidden="1" xr:uid="{00000000-0005-0000-0000-000017260000}"/>
    <cellStyle name="Input 3" xfId="6448" hidden="1" xr:uid="{00000000-0005-0000-0000-000018260000}"/>
    <cellStyle name="Input 3" xfId="6480" hidden="1" xr:uid="{00000000-0005-0000-0000-000019260000}"/>
    <cellStyle name="Input 3" xfId="6513" hidden="1" xr:uid="{00000000-0005-0000-0000-00001A260000}"/>
    <cellStyle name="Input 3" xfId="6545" hidden="1" xr:uid="{00000000-0005-0000-0000-00001B260000}"/>
    <cellStyle name="Input 3" xfId="6578" hidden="1" xr:uid="{00000000-0005-0000-0000-00001C260000}"/>
    <cellStyle name="Input 3" xfId="6611" hidden="1" xr:uid="{00000000-0005-0000-0000-00001D260000}"/>
    <cellStyle name="Input 3" xfId="6644" hidden="1" xr:uid="{00000000-0005-0000-0000-00001E260000}"/>
    <cellStyle name="Input 3" xfId="6677" hidden="1" xr:uid="{00000000-0005-0000-0000-00001F260000}"/>
    <cellStyle name="Input 3" xfId="6710" hidden="1" xr:uid="{00000000-0005-0000-0000-000020260000}"/>
    <cellStyle name="Input 3" xfId="6741" hidden="1" xr:uid="{00000000-0005-0000-0000-000021260000}"/>
    <cellStyle name="Input 3" xfId="6800" hidden="1" xr:uid="{00000000-0005-0000-0000-000022260000}"/>
    <cellStyle name="Input 3" xfId="6837" hidden="1" xr:uid="{00000000-0005-0000-0000-000023260000}"/>
    <cellStyle name="Input 3" xfId="6870" hidden="1" xr:uid="{00000000-0005-0000-0000-000024260000}"/>
    <cellStyle name="Input 3" xfId="6902" hidden="1" xr:uid="{00000000-0005-0000-0000-000025260000}"/>
    <cellStyle name="Input 3" xfId="6934" hidden="1" xr:uid="{00000000-0005-0000-0000-000026260000}"/>
    <cellStyle name="Input 3" xfId="6967" hidden="1" xr:uid="{00000000-0005-0000-0000-000027260000}"/>
    <cellStyle name="Input 3" xfId="6999" hidden="1" xr:uid="{00000000-0005-0000-0000-000028260000}"/>
    <cellStyle name="Input 3" xfId="7032" hidden="1" xr:uid="{00000000-0005-0000-0000-000029260000}"/>
    <cellStyle name="Input 3" xfId="7064" hidden="1" xr:uid="{00000000-0005-0000-0000-00002A260000}"/>
    <cellStyle name="Input 3" xfId="7097" hidden="1" xr:uid="{00000000-0005-0000-0000-00002B260000}"/>
    <cellStyle name="Input 3" xfId="7130" hidden="1" xr:uid="{00000000-0005-0000-0000-00002C260000}"/>
    <cellStyle name="Input 3" xfId="7163" hidden="1" xr:uid="{00000000-0005-0000-0000-00002D260000}"/>
    <cellStyle name="Input 3" xfId="7196" hidden="1" xr:uid="{00000000-0005-0000-0000-00002E260000}"/>
    <cellStyle name="Input 3" xfId="7229" hidden="1" xr:uid="{00000000-0005-0000-0000-00002F260000}"/>
    <cellStyle name="Input 3" xfId="7262" hidden="1" xr:uid="{00000000-0005-0000-0000-000030260000}"/>
    <cellStyle name="Input 3" xfId="7313" hidden="1" xr:uid="{00000000-0005-0000-0000-000031260000}"/>
    <cellStyle name="Input 3" xfId="7350" hidden="1" xr:uid="{00000000-0005-0000-0000-000032260000}"/>
    <cellStyle name="Input 3" xfId="7383" hidden="1" xr:uid="{00000000-0005-0000-0000-000033260000}"/>
    <cellStyle name="Input 3" xfId="7415" hidden="1" xr:uid="{00000000-0005-0000-0000-000034260000}"/>
    <cellStyle name="Input 3" xfId="7447" hidden="1" xr:uid="{00000000-0005-0000-0000-000035260000}"/>
    <cellStyle name="Input 3" xfId="7480" hidden="1" xr:uid="{00000000-0005-0000-0000-000036260000}"/>
    <cellStyle name="Input 3" xfId="7512" hidden="1" xr:uid="{00000000-0005-0000-0000-000037260000}"/>
    <cellStyle name="Input 3" xfId="7545" hidden="1" xr:uid="{00000000-0005-0000-0000-000038260000}"/>
    <cellStyle name="Input 3" xfId="7577" hidden="1" xr:uid="{00000000-0005-0000-0000-000039260000}"/>
    <cellStyle name="Input 3" xfId="7610" hidden="1" xr:uid="{00000000-0005-0000-0000-00003A260000}"/>
    <cellStyle name="Input 3" xfId="7643" hidden="1" xr:uid="{00000000-0005-0000-0000-00003B260000}"/>
    <cellStyle name="Input 3" xfId="7676" hidden="1" xr:uid="{00000000-0005-0000-0000-00003C260000}"/>
    <cellStyle name="Input 3" xfId="7709" hidden="1" xr:uid="{00000000-0005-0000-0000-00003D260000}"/>
    <cellStyle name="Input 3" xfId="7742" hidden="1" xr:uid="{00000000-0005-0000-0000-00003E260000}"/>
    <cellStyle name="Input 3" xfId="7773" hidden="1" xr:uid="{00000000-0005-0000-0000-00003F260000}"/>
    <cellStyle name="Input 3" xfId="7790" hidden="1" xr:uid="{00000000-0005-0000-0000-000040260000}"/>
    <cellStyle name="Input 3" xfId="7827" hidden="1" xr:uid="{00000000-0005-0000-0000-000041260000}"/>
    <cellStyle name="Input 3" xfId="7860" hidden="1" xr:uid="{00000000-0005-0000-0000-000042260000}"/>
    <cellStyle name="Input 3" xfId="7892" hidden="1" xr:uid="{00000000-0005-0000-0000-000043260000}"/>
    <cellStyle name="Input 3" xfId="7924" hidden="1" xr:uid="{00000000-0005-0000-0000-000044260000}"/>
    <cellStyle name="Input 3" xfId="7957" hidden="1" xr:uid="{00000000-0005-0000-0000-000045260000}"/>
    <cellStyle name="Input 3" xfId="7989" hidden="1" xr:uid="{00000000-0005-0000-0000-000046260000}"/>
    <cellStyle name="Input 3" xfId="8022" hidden="1" xr:uid="{00000000-0005-0000-0000-000047260000}"/>
    <cellStyle name="Input 3" xfId="8054" hidden="1" xr:uid="{00000000-0005-0000-0000-000048260000}"/>
    <cellStyle name="Input 3" xfId="8087" hidden="1" xr:uid="{00000000-0005-0000-0000-000049260000}"/>
    <cellStyle name="Input 3" xfId="8120" hidden="1" xr:uid="{00000000-0005-0000-0000-00004A260000}"/>
    <cellStyle name="Input 3" xfId="8153" hidden="1" xr:uid="{00000000-0005-0000-0000-00004B260000}"/>
    <cellStyle name="Input 3" xfId="8186" hidden="1" xr:uid="{00000000-0005-0000-0000-00004C260000}"/>
    <cellStyle name="Input 3" xfId="8219" hidden="1" xr:uid="{00000000-0005-0000-0000-00004D260000}"/>
    <cellStyle name="Input 3" xfId="8250" hidden="1" xr:uid="{00000000-0005-0000-0000-00004E260000}"/>
    <cellStyle name="Input 3" xfId="4341" hidden="1" xr:uid="{00000000-0005-0000-0000-00004F260000}"/>
    <cellStyle name="Input 3" xfId="4330" hidden="1" xr:uid="{00000000-0005-0000-0000-000050260000}"/>
    <cellStyle name="Input 3" xfId="5733" hidden="1" xr:uid="{00000000-0005-0000-0000-000051260000}"/>
    <cellStyle name="Input 3" xfId="4296" hidden="1" xr:uid="{00000000-0005-0000-0000-000052260000}"/>
    <cellStyle name="Input 3" xfId="4281" hidden="1" xr:uid="{00000000-0005-0000-0000-000053260000}"/>
    <cellStyle name="Input 3" xfId="5717" hidden="1" xr:uid="{00000000-0005-0000-0000-000054260000}"/>
    <cellStyle name="Input 3" xfId="8264" hidden="1" xr:uid="{00000000-0005-0000-0000-000055260000}"/>
    <cellStyle name="Input 3" xfId="8297" hidden="1" xr:uid="{00000000-0005-0000-0000-000056260000}"/>
    <cellStyle name="Input 3" xfId="8330" hidden="1" xr:uid="{00000000-0005-0000-0000-000057260000}"/>
    <cellStyle name="Input 3" xfId="8363" hidden="1" xr:uid="{00000000-0005-0000-0000-000058260000}"/>
    <cellStyle name="Input 3" xfId="8396" hidden="1" xr:uid="{00000000-0005-0000-0000-000059260000}"/>
    <cellStyle name="Input 3" xfId="8433" hidden="1" xr:uid="{00000000-0005-0000-0000-00005A260000}"/>
    <cellStyle name="Input 3" xfId="8466" hidden="1" xr:uid="{00000000-0005-0000-0000-00005B260000}"/>
    <cellStyle name="Input 3" xfId="8498" hidden="1" xr:uid="{00000000-0005-0000-0000-00005C260000}"/>
    <cellStyle name="Input 3" xfId="8530" hidden="1" xr:uid="{00000000-0005-0000-0000-00005D260000}"/>
    <cellStyle name="Input 3" xfId="8563" hidden="1" xr:uid="{00000000-0005-0000-0000-00005E260000}"/>
    <cellStyle name="Input 3" xfId="8595" hidden="1" xr:uid="{00000000-0005-0000-0000-00005F260000}"/>
    <cellStyle name="Input 3" xfId="8628" hidden="1" xr:uid="{00000000-0005-0000-0000-000060260000}"/>
    <cellStyle name="Input 3" xfId="8660" hidden="1" xr:uid="{00000000-0005-0000-0000-000061260000}"/>
    <cellStyle name="Input 3" xfId="8693" hidden="1" xr:uid="{00000000-0005-0000-0000-000062260000}"/>
    <cellStyle name="Input 3" xfId="8726" hidden="1" xr:uid="{00000000-0005-0000-0000-000063260000}"/>
    <cellStyle name="Input 3" xfId="8759" hidden="1" xr:uid="{00000000-0005-0000-0000-000064260000}"/>
    <cellStyle name="Input 3" xfId="8792" hidden="1" xr:uid="{00000000-0005-0000-0000-000065260000}"/>
    <cellStyle name="Input 3" xfId="8825" hidden="1" xr:uid="{00000000-0005-0000-0000-000066260000}"/>
    <cellStyle name="Input 3" xfId="8858" hidden="1" xr:uid="{00000000-0005-0000-0000-000067260000}"/>
    <cellStyle name="Input 3" xfId="8898" hidden="1" xr:uid="{00000000-0005-0000-0000-000068260000}"/>
    <cellStyle name="Input 3" xfId="8935" hidden="1" xr:uid="{00000000-0005-0000-0000-000069260000}"/>
    <cellStyle name="Input 3" xfId="8968" hidden="1" xr:uid="{00000000-0005-0000-0000-00006A260000}"/>
    <cellStyle name="Input 3" xfId="9000" hidden="1" xr:uid="{00000000-0005-0000-0000-00006B260000}"/>
    <cellStyle name="Input 3" xfId="9032" hidden="1" xr:uid="{00000000-0005-0000-0000-00006C260000}"/>
    <cellStyle name="Input 3" xfId="9065" hidden="1" xr:uid="{00000000-0005-0000-0000-00006D260000}"/>
    <cellStyle name="Input 3" xfId="9097" hidden="1" xr:uid="{00000000-0005-0000-0000-00006E260000}"/>
    <cellStyle name="Input 3" xfId="9130" hidden="1" xr:uid="{00000000-0005-0000-0000-00006F260000}"/>
    <cellStyle name="Input 3" xfId="9162" hidden="1" xr:uid="{00000000-0005-0000-0000-000070260000}"/>
    <cellStyle name="Input 3" xfId="9195" hidden="1" xr:uid="{00000000-0005-0000-0000-000071260000}"/>
    <cellStyle name="Input 3" xfId="9228" hidden="1" xr:uid="{00000000-0005-0000-0000-000072260000}"/>
    <cellStyle name="Input 3" xfId="9261" hidden="1" xr:uid="{00000000-0005-0000-0000-000073260000}"/>
    <cellStyle name="Input 3" xfId="9294" hidden="1" xr:uid="{00000000-0005-0000-0000-000074260000}"/>
    <cellStyle name="Input 3" xfId="9327" hidden="1" xr:uid="{00000000-0005-0000-0000-000075260000}"/>
    <cellStyle name="Input 3" xfId="9360" hidden="1" xr:uid="{00000000-0005-0000-0000-000076260000}"/>
    <cellStyle name="Input 3" xfId="9411" hidden="1" xr:uid="{00000000-0005-0000-0000-000077260000}"/>
    <cellStyle name="Input 3" xfId="9448" hidden="1" xr:uid="{00000000-0005-0000-0000-000078260000}"/>
    <cellStyle name="Input 3" xfId="9481" hidden="1" xr:uid="{00000000-0005-0000-0000-000079260000}"/>
    <cellStyle name="Input 3" xfId="9513" hidden="1" xr:uid="{00000000-0005-0000-0000-00007A260000}"/>
    <cellStyle name="Input 3" xfId="9545" hidden="1" xr:uid="{00000000-0005-0000-0000-00007B260000}"/>
    <cellStyle name="Input 3" xfId="9578" hidden="1" xr:uid="{00000000-0005-0000-0000-00007C260000}"/>
    <cellStyle name="Input 3" xfId="9610" hidden="1" xr:uid="{00000000-0005-0000-0000-00007D260000}"/>
    <cellStyle name="Input 3" xfId="9643" hidden="1" xr:uid="{00000000-0005-0000-0000-00007E260000}"/>
    <cellStyle name="Input 3" xfId="9675" hidden="1" xr:uid="{00000000-0005-0000-0000-00007F260000}"/>
    <cellStyle name="Input 3" xfId="9708" hidden="1" xr:uid="{00000000-0005-0000-0000-000080260000}"/>
    <cellStyle name="Input 3" xfId="9741" hidden="1" xr:uid="{00000000-0005-0000-0000-000081260000}"/>
    <cellStyle name="Input 3" xfId="9774" hidden="1" xr:uid="{00000000-0005-0000-0000-000082260000}"/>
    <cellStyle name="Input 3" xfId="9807" hidden="1" xr:uid="{00000000-0005-0000-0000-000083260000}"/>
    <cellStyle name="Input 3" xfId="9840" hidden="1" xr:uid="{00000000-0005-0000-0000-000084260000}"/>
    <cellStyle name="Input 3" xfId="9871" hidden="1" xr:uid="{00000000-0005-0000-0000-000085260000}"/>
    <cellStyle name="Input 3" xfId="9888" hidden="1" xr:uid="{00000000-0005-0000-0000-000086260000}"/>
    <cellStyle name="Input 3" xfId="9925" hidden="1" xr:uid="{00000000-0005-0000-0000-000087260000}"/>
    <cellStyle name="Input 3" xfId="9958" hidden="1" xr:uid="{00000000-0005-0000-0000-000088260000}"/>
    <cellStyle name="Input 3" xfId="9990" hidden="1" xr:uid="{00000000-0005-0000-0000-000089260000}"/>
    <cellStyle name="Input 3" xfId="10022" hidden="1" xr:uid="{00000000-0005-0000-0000-00008A260000}"/>
    <cellStyle name="Input 3" xfId="10055" hidden="1" xr:uid="{00000000-0005-0000-0000-00008B260000}"/>
    <cellStyle name="Input 3" xfId="10087" hidden="1" xr:uid="{00000000-0005-0000-0000-00008C260000}"/>
    <cellStyle name="Input 3" xfId="10120" hidden="1" xr:uid="{00000000-0005-0000-0000-00008D260000}"/>
    <cellStyle name="Input 3" xfId="10152" hidden="1" xr:uid="{00000000-0005-0000-0000-00008E260000}"/>
    <cellStyle name="Input 3" xfId="10185" hidden="1" xr:uid="{00000000-0005-0000-0000-00008F260000}"/>
    <cellStyle name="Input 3" xfId="10218" hidden="1" xr:uid="{00000000-0005-0000-0000-000090260000}"/>
    <cellStyle name="Input 3" xfId="10251" hidden="1" xr:uid="{00000000-0005-0000-0000-000091260000}"/>
    <cellStyle name="Input 3" xfId="10284" hidden="1" xr:uid="{00000000-0005-0000-0000-000092260000}"/>
    <cellStyle name="Input 3" xfId="10317" hidden="1" xr:uid="{00000000-0005-0000-0000-000093260000}"/>
    <cellStyle name="Input 3" xfId="10348" hidden="1" xr:uid="{00000000-0005-0000-0000-000094260000}"/>
    <cellStyle name="Input 3" xfId="10376" hidden="1" xr:uid="{00000000-0005-0000-0000-000095260000}"/>
    <cellStyle name="Input 3" xfId="10413" hidden="1" xr:uid="{00000000-0005-0000-0000-000096260000}"/>
    <cellStyle name="Input 3" xfId="10446" hidden="1" xr:uid="{00000000-0005-0000-0000-000097260000}"/>
    <cellStyle name="Input 3" xfId="10478" hidden="1" xr:uid="{00000000-0005-0000-0000-000098260000}"/>
    <cellStyle name="Input 3" xfId="10510" hidden="1" xr:uid="{00000000-0005-0000-0000-000099260000}"/>
    <cellStyle name="Input 3" xfId="10543" hidden="1" xr:uid="{00000000-0005-0000-0000-00009A260000}"/>
    <cellStyle name="Input 3" xfId="10575" hidden="1" xr:uid="{00000000-0005-0000-0000-00009B260000}"/>
    <cellStyle name="Input 3" xfId="10608" hidden="1" xr:uid="{00000000-0005-0000-0000-00009C260000}"/>
    <cellStyle name="Input 3" xfId="10640" hidden="1" xr:uid="{00000000-0005-0000-0000-00009D260000}"/>
    <cellStyle name="Input 3" xfId="10673" hidden="1" xr:uid="{00000000-0005-0000-0000-00009E260000}"/>
    <cellStyle name="Input 3" xfId="10706" hidden="1" xr:uid="{00000000-0005-0000-0000-00009F260000}"/>
    <cellStyle name="Input 3" xfId="10739" hidden="1" xr:uid="{00000000-0005-0000-0000-0000A0260000}"/>
    <cellStyle name="Input 3" xfId="10772" hidden="1" xr:uid="{00000000-0005-0000-0000-0000A1260000}"/>
    <cellStyle name="Input 3" xfId="10805" hidden="1" xr:uid="{00000000-0005-0000-0000-0000A2260000}"/>
    <cellStyle name="Input 3" xfId="10838" hidden="1" xr:uid="{00000000-0005-0000-0000-0000A3260000}"/>
    <cellStyle name="Input 3" xfId="10889" hidden="1" xr:uid="{00000000-0005-0000-0000-0000A4260000}"/>
    <cellStyle name="Input 3" xfId="10926" hidden="1" xr:uid="{00000000-0005-0000-0000-0000A5260000}"/>
    <cellStyle name="Input 3" xfId="10959" hidden="1" xr:uid="{00000000-0005-0000-0000-0000A6260000}"/>
    <cellStyle name="Input 3" xfId="10991" hidden="1" xr:uid="{00000000-0005-0000-0000-0000A7260000}"/>
    <cellStyle name="Input 3" xfId="11023" hidden="1" xr:uid="{00000000-0005-0000-0000-0000A8260000}"/>
    <cellStyle name="Input 3" xfId="11056" hidden="1" xr:uid="{00000000-0005-0000-0000-0000A9260000}"/>
    <cellStyle name="Input 3" xfId="11088" hidden="1" xr:uid="{00000000-0005-0000-0000-0000AA260000}"/>
    <cellStyle name="Input 3" xfId="11121" hidden="1" xr:uid="{00000000-0005-0000-0000-0000AB260000}"/>
    <cellStyle name="Input 3" xfId="11153" hidden="1" xr:uid="{00000000-0005-0000-0000-0000AC260000}"/>
    <cellStyle name="Input 3" xfId="11186" hidden="1" xr:uid="{00000000-0005-0000-0000-0000AD260000}"/>
    <cellStyle name="Input 3" xfId="11219" hidden="1" xr:uid="{00000000-0005-0000-0000-0000AE260000}"/>
    <cellStyle name="Input 3" xfId="11252" hidden="1" xr:uid="{00000000-0005-0000-0000-0000AF260000}"/>
    <cellStyle name="Input 3" xfId="11285" hidden="1" xr:uid="{00000000-0005-0000-0000-0000B0260000}"/>
    <cellStyle name="Input 3" xfId="11318" hidden="1" xr:uid="{00000000-0005-0000-0000-0000B1260000}"/>
    <cellStyle name="Input 3" xfId="11349" hidden="1" xr:uid="{00000000-0005-0000-0000-0000B2260000}"/>
    <cellStyle name="Input 3" xfId="11366" hidden="1" xr:uid="{00000000-0005-0000-0000-0000B3260000}"/>
    <cellStyle name="Input 3" xfId="11403" hidden="1" xr:uid="{00000000-0005-0000-0000-0000B4260000}"/>
    <cellStyle name="Input 3" xfId="11436" hidden="1" xr:uid="{00000000-0005-0000-0000-0000B5260000}"/>
    <cellStyle name="Input 3" xfId="11468" hidden="1" xr:uid="{00000000-0005-0000-0000-0000B6260000}"/>
    <cellStyle name="Input 3" xfId="11500" hidden="1" xr:uid="{00000000-0005-0000-0000-0000B7260000}"/>
    <cellStyle name="Input 3" xfId="11533" hidden="1" xr:uid="{00000000-0005-0000-0000-0000B8260000}"/>
    <cellStyle name="Input 3" xfId="11565" hidden="1" xr:uid="{00000000-0005-0000-0000-0000B9260000}"/>
    <cellStyle name="Input 3" xfId="11598" hidden="1" xr:uid="{00000000-0005-0000-0000-0000BA260000}"/>
    <cellStyle name="Input 3" xfId="11630" hidden="1" xr:uid="{00000000-0005-0000-0000-0000BB260000}"/>
    <cellStyle name="Input 3" xfId="11663" hidden="1" xr:uid="{00000000-0005-0000-0000-0000BC260000}"/>
    <cellStyle name="Input 3" xfId="11696" hidden="1" xr:uid="{00000000-0005-0000-0000-0000BD260000}"/>
    <cellStyle name="Input 3" xfId="11729" hidden="1" xr:uid="{00000000-0005-0000-0000-0000BE260000}"/>
    <cellStyle name="Input 3" xfId="11762" hidden="1" xr:uid="{00000000-0005-0000-0000-0000BF260000}"/>
    <cellStyle name="Input 3" xfId="11795" hidden="1" xr:uid="{00000000-0005-0000-0000-0000C0260000}"/>
    <cellStyle name="Input 3" xfId="11826" xr:uid="{00000000-0005-0000-0000-0000C1260000}"/>
    <cellStyle name="Input 4" xfId="125" xr:uid="{00000000-0005-0000-0000-0000C2260000}"/>
    <cellStyle name="inputExposure" xfId="127" xr:uid="{00000000-0005-0000-0000-0000C3260000}"/>
    <cellStyle name="Jegyzet" xfId="128" xr:uid="{00000000-0005-0000-0000-0000C4260000}"/>
    <cellStyle name="Jelölőszín (1)" xfId="129" xr:uid="{00000000-0005-0000-0000-0000C5260000}"/>
    <cellStyle name="Jelölőszín (2)" xfId="130" xr:uid="{00000000-0005-0000-0000-0000C6260000}"/>
    <cellStyle name="Jelölőszín (3)" xfId="131" xr:uid="{00000000-0005-0000-0000-0000C7260000}"/>
    <cellStyle name="Jelölőszín (4)" xfId="132" xr:uid="{00000000-0005-0000-0000-0000C8260000}"/>
    <cellStyle name="Jelölőszín (5)" xfId="133" xr:uid="{00000000-0005-0000-0000-0000C9260000}"/>
    <cellStyle name="Jelölőszín (6)" xfId="134" xr:uid="{00000000-0005-0000-0000-0000CA260000}"/>
    <cellStyle name="Jó" xfId="135" xr:uid="{00000000-0005-0000-0000-0000CB260000}"/>
    <cellStyle name="Kimenet" xfId="136" xr:uid="{00000000-0005-0000-0000-0000CC260000}"/>
    <cellStyle name="Lien hypertexte 2" xfId="137" xr:uid="{00000000-0005-0000-0000-0000CD260000}"/>
    <cellStyle name="Lien hypertexte 3" xfId="138" xr:uid="{00000000-0005-0000-0000-0000CE260000}"/>
    <cellStyle name="Linked Cell 2" xfId="139" xr:uid="{00000000-0005-0000-0000-0000CF260000}"/>
    <cellStyle name="Linked Cell 2 2" xfId="1638" xr:uid="{00000000-0005-0000-0000-0000D0260000}"/>
    <cellStyle name="Linked Cell 2 3" xfId="2746" xr:uid="{00000000-0005-0000-0000-0000D1260000}"/>
    <cellStyle name="Linked Cell 3" xfId="209" hidden="1" xr:uid="{00000000-0005-0000-0000-0000D2260000}"/>
    <cellStyle name="Linked Cell 3" xfId="261" hidden="1" xr:uid="{00000000-0005-0000-0000-0000D3260000}"/>
    <cellStyle name="Linked Cell 3" xfId="294" hidden="1" xr:uid="{00000000-0005-0000-0000-0000D4260000}"/>
    <cellStyle name="Linked Cell 3" xfId="327" hidden="1" xr:uid="{00000000-0005-0000-0000-0000D5260000}"/>
    <cellStyle name="Linked Cell 3" xfId="360" hidden="1" xr:uid="{00000000-0005-0000-0000-0000D6260000}"/>
    <cellStyle name="Linked Cell 3" xfId="394" hidden="1" xr:uid="{00000000-0005-0000-0000-0000D7260000}"/>
    <cellStyle name="Linked Cell 3" xfId="427" hidden="1" xr:uid="{00000000-0005-0000-0000-0000D8260000}"/>
    <cellStyle name="Linked Cell 3" xfId="460" hidden="1" xr:uid="{00000000-0005-0000-0000-0000D9260000}"/>
    <cellStyle name="Linked Cell 3" xfId="493" hidden="1" xr:uid="{00000000-0005-0000-0000-0000DA260000}"/>
    <cellStyle name="Linked Cell 3" xfId="526" hidden="1" xr:uid="{00000000-0005-0000-0000-0000DB260000}"/>
    <cellStyle name="Linked Cell 3" xfId="559" hidden="1" xr:uid="{00000000-0005-0000-0000-0000DC260000}"/>
    <cellStyle name="Linked Cell 3" xfId="592" hidden="1" xr:uid="{00000000-0005-0000-0000-0000DD260000}"/>
    <cellStyle name="Linked Cell 3" xfId="629" hidden="1" xr:uid="{00000000-0005-0000-0000-0000DE260000}"/>
    <cellStyle name="Linked Cell 3" xfId="662" hidden="1" xr:uid="{00000000-0005-0000-0000-0000DF260000}"/>
    <cellStyle name="Linked Cell 3" xfId="694" hidden="1" xr:uid="{00000000-0005-0000-0000-0000E0260000}"/>
    <cellStyle name="Linked Cell 3" xfId="726" hidden="1" xr:uid="{00000000-0005-0000-0000-0000E1260000}"/>
    <cellStyle name="Linked Cell 3" xfId="759" hidden="1" xr:uid="{00000000-0005-0000-0000-0000E2260000}"/>
    <cellStyle name="Linked Cell 3" xfId="791" hidden="1" xr:uid="{00000000-0005-0000-0000-0000E3260000}"/>
    <cellStyle name="Linked Cell 3" xfId="824" hidden="1" xr:uid="{00000000-0005-0000-0000-0000E4260000}"/>
    <cellStyle name="Linked Cell 3" xfId="856" hidden="1" xr:uid="{00000000-0005-0000-0000-0000E5260000}"/>
    <cellStyle name="Linked Cell 3" xfId="889" hidden="1" xr:uid="{00000000-0005-0000-0000-0000E6260000}"/>
    <cellStyle name="Linked Cell 3" xfId="922" hidden="1" xr:uid="{00000000-0005-0000-0000-0000E7260000}"/>
    <cellStyle name="Linked Cell 3" xfId="955" hidden="1" xr:uid="{00000000-0005-0000-0000-0000E8260000}"/>
    <cellStyle name="Linked Cell 3" xfId="988" hidden="1" xr:uid="{00000000-0005-0000-0000-0000E9260000}"/>
    <cellStyle name="Linked Cell 3" xfId="1021" hidden="1" xr:uid="{00000000-0005-0000-0000-0000EA260000}"/>
    <cellStyle name="Linked Cell 3" xfId="1054" hidden="1" xr:uid="{00000000-0005-0000-0000-0000EB260000}"/>
    <cellStyle name="Linked Cell 3" xfId="1097" hidden="1" xr:uid="{00000000-0005-0000-0000-0000EC260000}"/>
    <cellStyle name="Linked Cell 3" xfId="1135" hidden="1" xr:uid="{00000000-0005-0000-0000-0000ED260000}"/>
    <cellStyle name="Linked Cell 3" xfId="1168" hidden="1" xr:uid="{00000000-0005-0000-0000-0000EE260000}"/>
    <cellStyle name="Linked Cell 3" xfId="1200" hidden="1" xr:uid="{00000000-0005-0000-0000-0000EF260000}"/>
    <cellStyle name="Linked Cell 3" xfId="1232" hidden="1" xr:uid="{00000000-0005-0000-0000-0000F0260000}"/>
    <cellStyle name="Linked Cell 3" xfId="1265" hidden="1" xr:uid="{00000000-0005-0000-0000-0000F1260000}"/>
    <cellStyle name="Linked Cell 3" xfId="1297" hidden="1" xr:uid="{00000000-0005-0000-0000-0000F2260000}"/>
    <cellStyle name="Linked Cell 3" xfId="1330" hidden="1" xr:uid="{00000000-0005-0000-0000-0000F3260000}"/>
    <cellStyle name="Linked Cell 3" xfId="1362" hidden="1" xr:uid="{00000000-0005-0000-0000-0000F4260000}"/>
    <cellStyle name="Linked Cell 3" xfId="1395" hidden="1" xr:uid="{00000000-0005-0000-0000-0000F5260000}"/>
    <cellStyle name="Linked Cell 3" xfId="1428" hidden="1" xr:uid="{00000000-0005-0000-0000-0000F6260000}"/>
    <cellStyle name="Linked Cell 3" xfId="1461" hidden="1" xr:uid="{00000000-0005-0000-0000-0000F7260000}"/>
    <cellStyle name="Linked Cell 3" xfId="1494" hidden="1" xr:uid="{00000000-0005-0000-0000-0000F8260000}"/>
    <cellStyle name="Linked Cell 3" xfId="1527" hidden="1" xr:uid="{00000000-0005-0000-0000-0000F9260000}"/>
    <cellStyle name="Linked Cell 3" xfId="1560" hidden="1" xr:uid="{00000000-0005-0000-0000-0000FA260000}"/>
    <cellStyle name="Linked Cell 3" xfId="1774" hidden="1" xr:uid="{00000000-0005-0000-0000-0000FB260000}"/>
    <cellStyle name="Linked Cell 3" xfId="1811" hidden="1" xr:uid="{00000000-0005-0000-0000-0000FC260000}"/>
    <cellStyle name="Linked Cell 3" xfId="1844" hidden="1" xr:uid="{00000000-0005-0000-0000-0000FD260000}"/>
    <cellStyle name="Linked Cell 3" xfId="1876" hidden="1" xr:uid="{00000000-0005-0000-0000-0000FE260000}"/>
    <cellStyle name="Linked Cell 3" xfId="1908" hidden="1" xr:uid="{00000000-0005-0000-0000-0000FF260000}"/>
    <cellStyle name="Linked Cell 3" xfId="1941" hidden="1" xr:uid="{00000000-0005-0000-0000-000000270000}"/>
    <cellStyle name="Linked Cell 3" xfId="1973" hidden="1" xr:uid="{00000000-0005-0000-0000-000001270000}"/>
    <cellStyle name="Linked Cell 3" xfId="2006" hidden="1" xr:uid="{00000000-0005-0000-0000-000002270000}"/>
    <cellStyle name="Linked Cell 3" xfId="2038" hidden="1" xr:uid="{00000000-0005-0000-0000-000003270000}"/>
    <cellStyle name="Linked Cell 3" xfId="2071" hidden="1" xr:uid="{00000000-0005-0000-0000-000004270000}"/>
    <cellStyle name="Linked Cell 3" xfId="2104" hidden="1" xr:uid="{00000000-0005-0000-0000-000005270000}"/>
    <cellStyle name="Linked Cell 3" xfId="2137" hidden="1" xr:uid="{00000000-0005-0000-0000-000006270000}"/>
    <cellStyle name="Linked Cell 3" xfId="2170" hidden="1" xr:uid="{00000000-0005-0000-0000-000007270000}"/>
    <cellStyle name="Linked Cell 3" xfId="2203" hidden="1" xr:uid="{00000000-0005-0000-0000-000008270000}"/>
    <cellStyle name="Linked Cell 3" xfId="2229" hidden="1" xr:uid="{00000000-0005-0000-0000-000009270000}"/>
    <cellStyle name="Linked Cell 3" xfId="2251" hidden="1" xr:uid="{00000000-0005-0000-0000-00000A270000}"/>
    <cellStyle name="Linked Cell 3" xfId="2288" hidden="1" xr:uid="{00000000-0005-0000-0000-00000B270000}"/>
    <cellStyle name="Linked Cell 3" xfId="2321" hidden="1" xr:uid="{00000000-0005-0000-0000-00000C270000}"/>
    <cellStyle name="Linked Cell 3" xfId="2353" hidden="1" xr:uid="{00000000-0005-0000-0000-00000D270000}"/>
    <cellStyle name="Linked Cell 3" xfId="2385" hidden="1" xr:uid="{00000000-0005-0000-0000-00000E270000}"/>
    <cellStyle name="Linked Cell 3" xfId="2418" hidden="1" xr:uid="{00000000-0005-0000-0000-00000F270000}"/>
    <cellStyle name="Linked Cell 3" xfId="2450" hidden="1" xr:uid="{00000000-0005-0000-0000-000010270000}"/>
    <cellStyle name="Linked Cell 3" xfId="2483" hidden="1" xr:uid="{00000000-0005-0000-0000-000011270000}"/>
    <cellStyle name="Linked Cell 3" xfId="2515" hidden="1" xr:uid="{00000000-0005-0000-0000-000012270000}"/>
    <cellStyle name="Linked Cell 3" xfId="2548" hidden="1" xr:uid="{00000000-0005-0000-0000-000013270000}"/>
    <cellStyle name="Linked Cell 3" xfId="2581" hidden="1" xr:uid="{00000000-0005-0000-0000-000014270000}"/>
    <cellStyle name="Linked Cell 3" xfId="2614" hidden="1" xr:uid="{00000000-0005-0000-0000-000015270000}"/>
    <cellStyle name="Linked Cell 3" xfId="2647" hidden="1" xr:uid="{00000000-0005-0000-0000-000016270000}"/>
    <cellStyle name="Linked Cell 3" xfId="2680" hidden="1" xr:uid="{00000000-0005-0000-0000-000017270000}"/>
    <cellStyle name="Linked Cell 3" xfId="2706" hidden="1" xr:uid="{00000000-0005-0000-0000-000018270000}"/>
    <cellStyle name="Linked Cell 3" xfId="2794" hidden="1" xr:uid="{00000000-0005-0000-0000-000019270000}"/>
    <cellStyle name="Linked Cell 3" xfId="2831" hidden="1" xr:uid="{00000000-0005-0000-0000-00001A270000}"/>
    <cellStyle name="Linked Cell 3" xfId="2864" hidden="1" xr:uid="{00000000-0005-0000-0000-00001B270000}"/>
    <cellStyle name="Linked Cell 3" xfId="2896" hidden="1" xr:uid="{00000000-0005-0000-0000-00001C270000}"/>
    <cellStyle name="Linked Cell 3" xfId="2928" hidden="1" xr:uid="{00000000-0005-0000-0000-00001D270000}"/>
    <cellStyle name="Linked Cell 3" xfId="2961" hidden="1" xr:uid="{00000000-0005-0000-0000-00001E270000}"/>
    <cellStyle name="Linked Cell 3" xfId="2993" hidden="1" xr:uid="{00000000-0005-0000-0000-00001F270000}"/>
    <cellStyle name="Linked Cell 3" xfId="3026" hidden="1" xr:uid="{00000000-0005-0000-0000-000020270000}"/>
    <cellStyle name="Linked Cell 3" xfId="3058" hidden="1" xr:uid="{00000000-0005-0000-0000-000021270000}"/>
    <cellStyle name="Linked Cell 3" xfId="3091" hidden="1" xr:uid="{00000000-0005-0000-0000-000022270000}"/>
    <cellStyle name="Linked Cell 3" xfId="3124" hidden="1" xr:uid="{00000000-0005-0000-0000-000023270000}"/>
    <cellStyle name="Linked Cell 3" xfId="3157" hidden="1" xr:uid="{00000000-0005-0000-0000-000024270000}"/>
    <cellStyle name="Linked Cell 3" xfId="3190" hidden="1" xr:uid="{00000000-0005-0000-0000-000025270000}"/>
    <cellStyle name="Linked Cell 3" xfId="3223" hidden="1" xr:uid="{00000000-0005-0000-0000-000026270000}"/>
    <cellStyle name="Linked Cell 3" xfId="3256" hidden="1" xr:uid="{00000000-0005-0000-0000-000027270000}"/>
    <cellStyle name="Linked Cell 3" xfId="3307" hidden="1" xr:uid="{00000000-0005-0000-0000-000028270000}"/>
    <cellStyle name="Linked Cell 3" xfId="3344" hidden="1" xr:uid="{00000000-0005-0000-0000-000029270000}"/>
    <cellStyle name="Linked Cell 3" xfId="3377" hidden="1" xr:uid="{00000000-0005-0000-0000-00002A270000}"/>
    <cellStyle name="Linked Cell 3" xfId="3409" hidden="1" xr:uid="{00000000-0005-0000-0000-00002B270000}"/>
    <cellStyle name="Linked Cell 3" xfId="3441" hidden="1" xr:uid="{00000000-0005-0000-0000-00002C270000}"/>
    <cellStyle name="Linked Cell 3" xfId="3474" hidden="1" xr:uid="{00000000-0005-0000-0000-00002D270000}"/>
    <cellStyle name="Linked Cell 3" xfId="3506" hidden="1" xr:uid="{00000000-0005-0000-0000-00002E270000}"/>
    <cellStyle name="Linked Cell 3" xfId="3539" hidden="1" xr:uid="{00000000-0005-0000-0000-00002F270000}"/>
    <cellStyle name="Linked Cell 3" xfId="3571" hidden="1" xr:uid="{00000000-0005-0000-0000-000030270000}"/>
    <cellStyle name="Linked Cell 3" xfId="3604" hidden="1" xr:uid="{00000000-0005-0000-0000-000031270000}"/>
    <cellStyle name="Linked Cell 3" xfId="3637" hidden="1" xr:uid="{00000000-0005-0000-0000-000032270000}"/>
    <cellStyle name="Linked Cell 3" xfId="3670" hidden="1" xr:uid="{00000000-0005-0000-0000-000033270000}"/>
    <cellStyle name="Linked Cell 3" xfId="3703" hidden="1" xr:uid="{00000000-0005-0000-0000-000034270000}"/>
    <cellStyle name="Linked Cell 3" xfId="3736" hidden="1" xr:uid="{00000000-0005-0000-0000-000035270000}"/>
    <cellStyle name="Linked Cell 3" xfId="3762" hidden="1" xr:uid="{00000000-0005-0000-0000-000036270000}"/>
    <cellStyle name="Linked Cell 3" xfId="3784" hidden="1" xr:uid="{00000000-0005-0000-0000-000037270000}"/>
    <cellStyle name="Linked Cell 3" xfId="3821" hidden="1" xr:uid="{00000000-0005-0000-0000-000038270000}"/>
    <cellStyle name="Linked Cell 3" xfId="3854" hidden="1" xr:uid="{00000000-0005-0000-0000-000039270000}"/>
    <cellStyle name="Linked Cell 3" xfId="3886" hidden="1" xr:uid="{00000000-0005-0000-0000-00003A270000}"/>
    <cellStyle name="Linked Cell 3" xfId="3918" hidden="1" xr:uid="{00000000-0005-0000-0000-00003B270000}"/>
    <cellStyle name="Linked Cell 3" xfId="3951" hidden="1" xr:uid="{00000000-0005-0000-0000-00003C270000}"/>
    <cellStyle name="Linked Cell 3" xfId="3983" hidden="1" xr:uid="{00000000-0005-0000-0000-00003D270000}"/>
    <cellStyle name="Linked Cell 3" xfId="4016" hidden="1" xr:uid="{00000000-0005-0000-0000-00003E270000}"/>
    <cellStyle name="Linked Cell 3" xfId="4048" hidden="1" xr:uid="{00000000-0005-0000-0000-00003F270000}"/>
    <cellStyle name="Linked Cell 3" xfId="4081" hidden="1" xr:uid="{00000000-0005-0000-0000-000040270000}"/>
    <cellStyle name="Linked Cell 3" xfId="4114" hidden="1" xr:uid="{00000000-0005-0000-0000-000041270000}"/>
    <cellStyle name="Linked Cell 3" xfId="4147" hidden="1" xr:uid="{00000000-0005-0000-0000-000042270000}"/>
    <cellStyle name="Linked Cell 3" xfId="4180" hidden="1" xr:uid="{00000000-0005-0000-0000-000043270000}"/>
    <cellStyle name="Linked Cell 3" xfId="4213" hidden="1" xr:uid="{00000000-0005-0000-0000-000044270000}"/>
    <cellStyle name="Linked Cell 3" xfId="4239" hidden="1" xr:uid="{00000000-0005-0000-0000-000045270000}"/>
    <cellStyle name="Linked Cell 3" xfId="4413" hidden="1" xr:uid="{00000000-0005-0000-0000-000046270000}"/>
    <cellStyle name="Linked Cell 3" xfId="4446" hidden="1" xr:uid="{00000000-0005-0000-0000-000047270000}"/>
    <cellStyle name="Linked Cell 3" xfId="4479" hidden="1" xr:uid="{00000000-0005-0000-0000-000048270000}"/>
    <cellStyle name="Linked Cell 3" xfId="4512" hidden="1" xr:uid="{00000000-0005-0000-0000-000049270000}"/>
    <cellStyle name="Linked Cell 3" xfId="4545" hidden="1" xr:uid="{00000000-0005-0000-0000-00004A270000}"/>
    <cellStyle name="Linked Cell 3" xfId="4578" hidden="1" xr:uid="{00000000-0005-0000-0000-00004B270000}"/>
    <cellStyle name="Linked Cell 3" xfId="4611" hidden="1" xr:uid="{00000000-0005-0000-0000-00004C270000}"/>
    <cellStyle name="Linked Cell 3" xfId="4644" hidden="1" xr:uid="{00000000-0005-0000-0000-00004D270000}"/>
    <cellStyle name="Linked Cell 3" xfId="4677" hidden="1" xr:uid="{00000000-0005-0000-0000-00004E270000}"/>
    <cellStyle name="Linked Cell 3" xfId="4710" hidden="1" xr:uid="{00000000-0005-0000-0000-00004F270000}"/>
    <cellStyle name="Linked Cell 3" xfId="4743" hidden="1" xr:uid="{00000000-0005-0000-0000-000050270000}"/>
    <cellStyle name="Linked Cell 3" xfId="4780" hidden="1" xr:uid="{00000000-0005-0000-0000-000051270000}"/>
    <cellStyle name="Linked Cell 3" xfId="4813" hidden="1" xr:uid="{00000000-0005-0000-0000-000052270000}"/>
    <cellStyle name="Linked Cell 3" xfId="4845" hidden="1" xr:uid="{00000000-0005-0000-0000-000053270000}"/>
    <cellStyle name="Linked Cell 3" xfId="4877" hidden="1" xr:uid="{00000000-0005-0000-0000-000054270000}"/>
    <cellStyle name="Linked Cell 3" xfId="4910" hidden="1" xr:uid="{00000000-0005-0000-0000-000055270000}"/>
    <cellStyle name="Linked Cell 3" xfId="4942" hidden="1" xr:uid="{00000000-0005-0000-0000-000056270000}"/>
    <cellStyle name="Linked Cell 3" xfId="4975" hidden="1" xr:uid="{00000000-0005-0000-0000-000057270000}"/>
    <cellStyle name="Linked Cell 3" xfId="5007" hidden="1" xr:uid="{00000000-0005-0000-0000-000058270000}"/>
    <cellStyle name="Linked Cell 3" xfId="5040" hidden="1" xr:uid="{00000000-0005-0000-0000-000059270000}"/>
    <cellStyle name="Linked Cell 3" xfId="5073" hidden="1" xr:uid="{00000000-0005-0000-0000-00005A270000}"/>
    <cellStyle name="Linked Cell 3" xfId="5106" hidden="1" xr:uid="{00000000-0005-0000-0000-00005B270000}"/>
    <cellStyle name="Linked Cell 3" xfId="5139" hidden="1" xr:uid="{00000000-0005-0000-0000-00005C270000}"/>
    <cellStyle name="Linked Cell 3" xfId="5172" hidden="1" xr:uid="{00000000-0005-0000-0000-00005D270000}"/>
    <cellStyle name="Linked Cell 3" xfId="5205" hidden="1" xr:uid="{00000000-0005-0000-0000-00005E270000}"/>
    <cellStyle name="Linked Cell 3" xfId="5246" hidden="1" xr:uid="{00000000-0005-0000-0000-00005F270000}"/>
    <cellStyle name="Linked Cell 3" xfId="5283" hidden="1" xr:uid="{00000000-0005-0000-0000-000060270000}"/>
    <cellStyle name="Linked Cell 3" xfId="5316" hidden="1" xr:uid="{00000000-0005-0000-0000-000061270000}"/>
    <cellStyle name="Linked Cell 3" xfId="5348" hidden="1" xr:uid="{00000000-0005-0000-0000-000062270000}"/>
    <cellStyle name="Linked Cell 3" xfId="5380" hidden="1" xr:uid="{00000000-0005-0000-0000-000063270000}"/>
    <cellStyle name="Linked Cell 3" xfId="5413" hidden="1" xr:uid="{00000000-0005-0000-0000-000064270000}"/>
    <cellStyle name="Linked Cell 3" xfId="5445" hidden="1" xr:uid="{00000000-0005-0000-0000-000065270000}"/>
    <cellStyle name="Linked Cell 3" xfId="5478" hidden="1" xr:uid="{00000000-0005-0000-0000-000066270000}"/>
    <cellStyle name="Linked Cell 3" xfId="5510" hidden="1" xr:uid="{00000000-0005-0000-0000-000067270000}"/>
    <cellStyle name="Linked Cell 3" xfId="5543" hidden="1" xr:uid="{00000000-0005-0000-0000-000068270000}"/>
    <cellStyle name="Linked Cell 3" xfId="5576" hidden="1" xr:uid="{00000000-0005-0000-0000-000069270000}"/>
    <cellStyle name="Linked Cell 3" xfId="5609" hidden="1" xr:uid="{00000000-0005-0000-0000-00006A270000}"/>
    <cellStyle name="Linked Cell 3" xfId="5642" hidden="1" xr:uid="{00000000-0005-0000-0000-00006B270000}"/>
    <cellStyle name="Linked Cell 3" xfId="5675" hidden="1" xr:uid="{00000000-0005-0000-0000-00006C270000}"/>
    <cellStyle name="Linked Cell 3" xfId="5708" hidden="1" xr:uid="{00000000-0005-0000-0000-00006D270000}"/>
    <cellStyle name="Linked Cell 3" xfId="5812" hidden="1" xr:uid="{00000000-0005-0000-0000-00006E270000}"/>
    <cellStyle name="Linked Cell 3" xfId="5849" hidden="1" xr:uid="{00000000-0005-0000-0000-00006F270000}"/>
    <cellStyle name="Linked Cell 3" xfId="5882" hidden="1" xr:uid="{00000000-0005-0000-0000-000070270000}"/>
    <cellStyle name="Linked Cell 3" xfId="5914" hidden="1" xr:uid="{00000000-0005-0000-0000-000071270000}"/>
    <cellStyle name="Linked Cell 3" xfId="5946" hidden="1" xr:uid="{00000000-0005-0000-0000-000072270000}"/>
    <cellStyle name="Linked Cell 3" xfId="5979" hidden="1" xr:uid="{00000000-0005-0000-0000-000073270000}"/>
    <cellStyle name="Linked Cell 3" xfId="6011" hidden="1" xr:uid="{00000000-0005-0000-0000-000074270000}"/>
    <cellStyle name="Linked Cell 3" xfId="6044" hidden="1" xr:uid="{00000000-0005-0000-0000-000075270000}"/>
    <cellStyle name="Linked Cell 3" xfId="6076" hidden="1" xr:uid="{00000000-0005-0000-0000-000076270000}"/>
    <cellStyle name="Linked Cell 3" xfId="6109" hidden="1" xr:uid="{00000000-0005-0000-0000-000077270000}"/>
    <cellStyle name="Linked Cell 3" xfId="6142" hidden="1" xr:uid="{00000000-0005-0000-0000-000078270000}"/>
    <cellStyle name="Linked Cell 3" xfId="6175" hidden="1" xr:uid="{00000000-0005-0000-0000-000079270000}"/>
    <cellStyle name="Linked Cell 3" xfId="6208" hidden="1" xr:uid="{00000000-0005-0000-0000-00007A270000}"/>
    <cellStyle name="Linked Cell 3" xfId="6241" hidden="1" xr:uid="{00000000-0005-0000-0000-00007B270000}"/>
    <cellStyle name="Linked Cell 3" xfId="6267" hidden="1" xr:uid="{00000000-0005-0000-0000-00007C270000}"/>
    <cellStyle name="Linked Cell 3" xfId="6289" hidden="1" xr:uid="{00000000-0005-0000-0000-00007D270000}"/>
    <cellStyle name="Linked Cell 3" xfId="6326" hidden="1" xr:uid="{00000000-0005-0000-0000-00007E270000}"/>
    <cellStyle name="Linked Cell 3" xfId="6359" hidden="1" xr:uid="{00000000-0005-0000-0000-00007F270000}"/>
    <cellStyle name="Linked Cell 3" xfId="6391" hidden="1" xr:uid="{00000000-0005-0000-0000-000080270000}"/>
    <cellStyle name="Linked Cell 3" xfId="6423" hidden="1" xr:uid="{00000000-0005-0000-0000-000081270000}"/>
    <cellStyle name="Linked Cell 3" xfId="6456" hidden="1" xr:uid="{00000000-0005-0000-0000-000082270000}"/>
    <cellStyle name="Linked Cell 3" xfId="6488" hidden="1" xr:uid="{00000000-0005-0000-0000-000083270000}"/>
    <cellStyle name="Linked Cell 3" xfId="6521" hidden="1" xr:uid="{00000000-0005-0000-0000-000084270000}"/>
    <cellStyle name="Linked Cell 3" xfId="6553" hidden="1" xr:uid="{00000000-0005-0000-0000-000085270000}"/>
    <cellStyle name="Linked Cell 3" xfId="6586" hidden="1" xr:uid="{00000000-0005-0000-0000-000086270000}"/>
    <cellStyle name="Linked Cell 3" xfId="6619" hidden="1" xr:uid="{00000000-0005-0000-0000-000087270000}"/>
    <cellStyle name="Linked Cell 3" xfId="6652" hidden="1" xr:uid="{00000000-0005-0000-0000-000088270000}"/>
    <cellStyle name="Linked Cell 3" xfId="6685" hidden="1" xr:uid="{00000000-0005-0000-0000-000089270000}"/>
    <cellStyle name="Linked Cell 3" xfId="6718" hidden="1" xr:uid="{00000000-0005-0000-0000-00008A270000}"/>
    <cellStyle name="Linked Cell 3" xfId="6744" hidden="1" xr:uid="{00000000-0005-0000-0000-00008B270000}"/>
    <cellStyle name="Linked Cell 3" xfId="6808" hidden="1" xr:uid="{00000000-0005-0000-0000-00008C270000}"/>
    <cellStyle name="Linked Cell 3" xfId="6845" hidden="1" xr:uid="{00000000-0005-0000-0000-00008D270000}"/>
    <cellStyle name="Linked Cell 3" xfId="6878" hidden="1" xr:uid="{00000000-0005-0000-0000-00008E270000}"/>
    <cellStyle name="Linked Cell 3" xfId="6910" hidden="1" xr:uid="{00000000-0005-0000-0000-00008F270000}"/>
    <cellStyle name="Linked Cell 3" xfId="6942" hidden="1" xr:uid="{00000000-0005-0000-0000-000090270000}"/>
    <cellStyle name="Linked Cell 3" xfId="6975" hidden="1" xr:uid="{00000000-0005-0000-0000-000091270000}"/>
    <cellStyle name="Linked Cell 3" xfId="7007" hidden="1" xr:uid="{00000000-0005-0000-0000-000092270000}"/>
    <cellStyle name="Linked Cell 3" xfId="7040" hidden="1" xr:uid="{00000000-0005-0000-0000-000093270000}"/>
    <cellStyle name="Linked Cell 3" xfId="7072" hidden="1" xr:uid="{00000000-0005-0000-0000-000094270000}"/>
    <cellStyle name="Linked Cell 3" xfId="7105" hidden="1" xr:uid="{00000000-0005-0000-0000-000095270000}"/>
    <cellStyle name="Linked Cell 3" xfId="7138" hidden="1" xr:uid="{00000000-0005-0000-0000-000096270000}"/>
    <cellStyle name="Linked Cell 3" xfId="7171" hidden="1" xr:uid="{00000000-0005-0000-0000-000097270000}"/>
    <cellStyle name="Linked Cell 3" xfId="7204" hidden="1" xr:uid="{00000000-0005-0000-0000-000098270000}"/>
    <cellStyle name="Linked Cell 3" xfId="7237" hidden="1" xr:uid="{00000000-0005-0000-0000-000099270000}"/>
    <cellStyle name="Linked Cell 3" xfId="7270" hidden="1" xr:uid="{00000000-0005-0000-0000-00009A270000}"/>
    <cellStyle name="Linked Cell 3" xfId="7321" hidden="1" xr:uid="{00000000-0005-0000-0000-00009B270000}"/>
    <cellStyle name="Linked Cell 3" xfId="7358" hidden="1" xr:uid="{00000000-0005-0000-0000-00009C270000}"/>
    <cellStyle name="Linked Cell 3" xfId="7391" hidden="1" xr:uid="{00000000-0005-0000-0000-00009D270000}"/>
    <cellStyle name="Linked Cell 3" xfId="7423" hidden="1" xr:uid="{00000000-0005-0000-0000-00009E270000}"/>
    <cellStyle name="Linked Cell 3" xfId="7455" hidden="1" xr:uid="{00000000-0005-0000-0000-00009F270000}"/>
    <cellStyle name="Linked Cell 3" xfId="7488" hidden="1" xr:uid="{00000000-0005-0000-0000-0000A0270000}"/>
    <cellStyle name="Linked Cell 3" xfId="7520" hidden="1" xr:uid="{00000000-0005-0000-0000-0000A1270000}"/>
    <cellStyle name="Linked Cell 3" xfId="7553" hidden="1" xr:uid="{00000000-0005-0000-0000-0000A2270000}"/>
    <cellStyle name="Linked Cell 3" xfId="7585" hidden="1" xr:uid="{00000000-0005-0000-0000-0000A3270000}"/>
    <cellStyle name="Linked Cell 3" xfId="7618" hidden="1" xr:uid="{00000000-0005-0000-0000-0000A4270000}"/>
    <cellStyle name="Linked Cell 3" xfId="7651" hidden="1" xr:uid="{00000000-0005-0000-0000-0000A5270000}"/>
    <cellStyle name="Linked Cell 3" xfId="7684" hidden="1" xr:uid="{00000000-0005-0000-0000-0000A6270000}"/>
    <cellStyle name="Linked Cell 3" xfId="7717" hidden="1" xr:uid="{00000000-0005-0000-0000-0000A7270000}"/>
    <cellStyle name="Linked Cell 3" xfId="7750" hidden="1" xr:uid="{00000000-0005-0000-0000-0000A8270000}"/>
    <cellStyle name="Linked Cell 3" xfId="7776" hidden="1" xr:uid="{00000000-0005-0000-0000-0000A9270000}"/>
    <cellStyle name="Linked Cell 3" xfId="7798" hidden="1" xr:uid="{00000000-0005-0000-0000-0000AA270000}"/>
    <cellStyle name="Linked Cell 3" xfId="7835" hidden="1" xr:uid="{00000000-0005-0000-0000-0000AB270000}"/>
    <cellStyle name="Linked Cell 3" xfId="7868" hidden="1" xr:uid="{00000000-0005-0000-0000-0000AC270000}"/>
    <cellStyle name="Linked Cell 3" xfId="7900" hidden="1" xr:uid="{00000000-0005-0000-0000-0000AD270000}"/>
    <cellStyle name="Linked Cell 3" xfId="7932" hidden="1" xr:uid="{00000000-0005-0000-0000-0000AE270000}"/>
    <cellStyle name="Linked Cell 3" xfId="7965" hidden="1" xr:uid="{00000000-0005-0000-0000-0000AF270000}"/>
    <cellStyle name="Linked Cell 3" xfId="7997" hidden="1" xr:uid="{00000000-0005-0000-0000-0000B0270000}"/>
    <cellStyle name="Linked Cell 3" xfId="8030" hidden="1" xr:uid="{00000000-0005-0000-0000-0000B1270000}"/>
    <cellStyle name="Linked Cell 3" xfId="8062" hidden="1" xr:uid="{00000000-0005-0000-0000-0000B2270000}"/>
    <cellStyle name="Linked Cell 3" xfId="8095" hidden="1" xr:uid="{00000000-0005-0000-0000-0000B3270000}"/>
    <cellStyle name="Linked Cell 3" xfId="8128" hidden="1" xr:uid="{00000000-0005-0000-0000-0000B4270000}"/>
    <cellStyle name="Linked Cell 3" xfId="8161" hidden="1" xr:uid="{00000000-0005-0000-0000-0000B5270000}"/>
    <cellStyle name="Linked Cell 3" xfId="8194" hidden="1" xr:uid="{00000000-0005-0000-0000-0000B6270000}"/>
    <cellStyle name="Linked Cell 3" xfId="8227" hidden="1" xr:uid="{00000000-0005-0000-0000-0000B7270000}"/>
    <cellStyle name="Linked Cell 3" xfId="8253" hidden="1" xr:uid="{00000000-0005-0000-0000-0000B8270000}"/>
    <cellStyle name="Linked Cell 3" xfId="5713" hidden="1" xr:uid="{00000000-0005-0000-0000-0000B9270000}"/>
    <cellStyle name="Linked Cell 3" xfId="5739" hidden="1" xr:uid="{00000000-0005-0000-0000-0000BA270000}"/>
    <cellStyle name="Linked Cell 3" xfId="5731" hidden="1" xr:uid="{00000000-0005-0000-0000-0000BB270000}"/>
    <cellStyle name="Linked Cell 3" xfId="4294" hidden="1" xr:uid="{00000000-0005-0000-0000-0000BC270000}"/>
    <cellStyle name="Linked Cell 3" xfId="4273" hidden="1" xr:uid="{00000000-0005-0000-0000-0000BD270000}"/>
    <cellStyle name="Linked Cell 3" xfId="4259" hidden="1" xr:uid="{00000000-0005-0000-0000-0000BE270000}"/>
    <cellStyle name="Linked Cell 3" xfId="8272" hidden="1" xr:uid="{00000000-0005-0000-0000-0000BF270000}"/>
    <cellStyle name="Linked Cell 3" xfId="8305" hidden="1" xr:uid="{00000000-0005-0000-0000-0000C0270000}"/>
    <cellStyle name="Linked Cell 3" xfId="8338" hidden="1" xr:uid="{00000000-0005-0000-0000-0000C1270000}"/>
    <cellStyle name="Linked Cell 3" xfId="8371" hidden="1" xr:uid="{00000000-0005-0000-0000-0000C2270000}"/>
    <cellStyle name="Linked Cell 3" xfId="8404" hidden="1" xr:uid="{00000000-0005-0000-0000-0000C3270000}"/>
    <cellStyle name="Linked Cell 3" xfId="8441" hidden="1" xr:uid="{00000000-0005-0000-0000-0000C4270000}"/>
    <cellStyle name="Linked Cell 3" xfId="8474" hidden="1" xr:uid="{00000000-0005-0000-0000-0000C5270000}"/>
    <cellStyle name="Linked Cell 3" xfId="8506" hidden="1" xr:uid="{00000000-0005-0000-0000-0000C6270000}"/>
    <cellStyle name="Linked Cell 3" xfId="8538" hidden="1" xr:uid="{00000000-0005-0000-0000-0000C7270000}"/>
    <cellStyle name="Linked Cell 3" xfId="8571" hidden="1" xr:uid="{00000000-0005-0000-0000-0000C8270000}"/>
    <cellStyle name="Linked Cell 3" xfId="8603" hidden="1" xr:uid="{00000000-0005-0000-0000-0000C9270000}"/>
    <cellStyle name="Linked Cell 3" xfId="8636" hidden="1" xr:uid="{00000000-0005-0000-0000-0000CA270000}"/>
    <cellStyle name="Linked Cell 3" xfId="8668" hidden="1" xr:uid="{00000000-0005-0000-0000-0000CB270000}"/>
    <cellStyle name="Linked Cell 3" xfId="8701" hidden="1" xr:uid="{00000000-0005-0000-0000-0000CC270000}"/>
    <cellStyle name="Linked Cell 3" xfId="8734" hidden="1" xr:uid="{00000000-0005-0000-0000-0000CD270000}"/>
    <cellStyle name="Linked Cell 3" xfId="8767" hidden="1" xr:uid="{00000000-0005-0000-0000-0000CE270000}"/>
    <cellStyle name="Linked Cell 3" xfId="8800" hidden="1" xr:uid="{00000000-0005-0000-0000-0000CF270000}"/>
    <cellStyle name="Linked Cell 3" xfId="8833" hidden="1" xr:uid="{00000000-0005-0000-0000-0000D0270000}"/>
    <cellStyle name="Linked Cell 3" xfId="8866" hidden="1" xr:uid="{00000000-0005-0000-0000-0000D1270000}"/>
    <cellStyle name="Linked Cell 3" xfId="8906" hidden="1" xr:uid="{00000000-0005-0000-0000-0000D2270000}"/>
    <cellStyle name="Linked Cell 3" xfId="8943" hidden="1" xr:uid="{00000000-0005-0000-0000-0000D3270000}"/>
    <cellStyle name="Linked Cell 3" xfId="8976" hidden="1" xr:uid="{00000000-0005-0000-0000-0000D4270000}"/>
    <cellStyle name="Linked Cell 3" xfId="9008" hidden="1" xr:uid="{00000000-0005-0000-0000-0000D5270000}"/>
    <cellStyle name="Linked Cell 3" xfId="9040" hidden="1" xr:uid="{00000000-0005-0000-0000-0000D6270000}"/>
    <cellStyle name="Linked Cell 3" xfId="9073" hidden="1" xr:uid="{00000000-0005-0000-0000-0000D7270000}"/>
    <cellStyle name="Linked Cell 3" xfId="9105" hidden="1" xr:uid="{00000000-0005-0000-0000-0000D8270000}"/>
    <cellStyle name="Linked Cell 3" xfId="9138" hidden="1" xr:uid="{00000000-0005-0000-0000-0000D9270000}"/>
    <cellStyle name="Linked Cell 3" xfId="9170" hidden="1" xr:uid="{00000000-0005-0000-0000-0000DA270000}"/>
    <cellStyle name="Linked Cell 3" xfId="9203" hidden="1" xr:uid="{00000000-0005-0000-0000-0000DB270000}"/>
    <cellStyle name="Linked Cell 3" xfId="9236" hidden="1" xr:uid="{00000000-0005-0000-0000-0000DC270000}"/>
    <cellStyle name="Linked Cell 3" xfId="9269" hidden="1" xr:uid="{00000000-0005-0000-0000-0000DD270000}"/>
    <cellStyle name="Linked Cell 3" xfId="9302" hidden="1" xr:uid="{00000000-0005-0000-0000-0000DE270000}"/>
    <cellStyle name="Linked Cell 3" xfId="9335" hidden="1" xr:uid="{00000000-0005-0000-0000-0000DF270000}"/>
    <cellStyle name="Linked Cell 3" xfId="9368" hidden="1" xr:uid="{00000000-0005-0000-0000-0000E0270000}"/>
    <cellStyle name="Linked Cell 3" xfId="9419" hidden="1" xr:uid="{00000000-0005-0000-0000-0000E1270000}"/>
    <cellStyle name="Linked Cell 3" xfId="9456" hidden="1" xr:uid="{00000000-0005-0000-0000-0000E2270000}"/>
    <cellStyle name="Linked Cell 3" xfId="9489" hidden="1" xr:uid="{00000000-0005-0000-0000-0000E3270000}"/>
    <cellStyle name="Linked Cell 3" xfId="9521" hidden="1" xr:uid="{00000000-0005-0000-0000-0000E4270000}"/>
    <cellStyle name="Linked Cell 3" xfId="9553" hidden="1" xr:uid="{00000000-0005-0000-0000-0000E5270000}"/>
    <cellStyle name="Linked Cell 3" xfId="9586" hidden="1" xr:uid="{00000000-0005-0000-0000-0000E6270000}"/>
    <cellStyle name="Linked Cell 3" xfId="9618" hidden="1" xr:uid="{00000000-0005-0000-0000-0000E7270000}"/>
    <cellStyle name="Linked Cell 3" xfId="9651" hidden="1" xr:uid="{00000000-0005-0000-0000-0000E8270000}"/>
    <cellStyle name="Linked Cell 3" xfId="9683" hidden="1" xr:uid="{00000000-0005-0000-0000-0000E9270000}"/>
    <cellStyle name="Linked Cell 3" xfId="9716" hidden="1" xr:uid="{00000000-0005-0000-0000-0000EA270000}"/>
    <cellStyle name="Linked Cell 3" xfId="9749" hidden="1" xr:uid="{00000000-0005-0000-0000-0000EB270000}"/>
    <cellStyle name="Linked Cell 3" xfId="9782" hidden="1" xr:uid="{00000000-0005-0000-0000-0000EC270000}"/>
    <cellStyle name="Linked Cell 3" xfId="9815" hidden="1" xr:uid="{00000000-0005-0000-0000-0000ED270000}"/>
    <cellStyle name="Linked Cell 3" xfId="9848" hidden="1" xr:uid="{00000000-0005-0000-0000-0000EE270000}"/>
    <cellStyle name="Linked Cell 3" xfId="9874" hidden="1" xr:uid="{00000000-0005-0000-0000-0000EF270000}"/>
    <cellStyle name="Linked Cell 3" xfId="9896" hidden="1" xr:uid="{00000000-0005-0000-0000-0000F0270000}"/>
    <cellStyle name="Linked Cell 3" xfId="9933" hidden="1" xr:uid="{00000000-0005-0000-0000-0000F1270000}"/>
    <cellStyle name="Linked Cell 3" xfId="9966" hidden="1" xr:uid="{00000000-0005-0000-0000-0000F2270000}"/>
    <cellStyle name="Linked Cell 3" xfId="9998" hidden="1" xr:uid="{00000000-0005-0000-0000-0000F3270000}"/>
    <cellStyle name="Linked Cell 3" xfId="10030" hidden="1" xr:uid="{00000000-0005-0000-0000-0000F4270000}"/>
    <cellStyle name="Linked Cell 3" xfId="10063" hidden="1" xr:uid="{00000000-0005-0000-0000-0000F5270000}"/>
    <cellStyle name="Linked Cell 3" xfId="10095" hidden="1" xr:uid="{00000000-0005-0000-0000-0000F6270000}"/>
    <cellStyle name="Linked Cell 3" xfId="10128" hidden="1" xr:uid="{00000000-0005-0000-0000-0000F7270000}"/>
    <cellStyle name="Linked Cell 3" xfId="10160" hidden="1" xr:uid="{00000000-0005-0000-0000-0000F8270000}"/>
    <cellStyle name="Linked Cell 3" xfId="10193" hidden="1" xr:uid="{00000000-0005-0000-0000-0000F9270000}"/>
    <cellStyle name="Linked Cell 3" xfId="10226" hidden="1" xr:uid="{00000000-0005-0000-0000-0000FA270000}"/>
    <cellStyle name="Linked Cell 3" xfId="10259" hidden="1" xr:uid="{00000000-0005-0000-0000-0000FB270000}"/>
    <cellStyle name="Linked Cell 3" xfId="10292" hidden="1" xr:uid="{00000000-0005-0000-0000-0000FC270000}"/>
    <cellStyle name="Linked Cell 3" xfId="10325" hidden="1" xr:uid="{00000000-0005-0000-0000-0000FD270000}"/>
    <cellStyle name="Linked Cell 3" xfId="10351" hidden="1" xr:uid="{00000000-0005-0000-0000-0000FE270000}"/>
    <cellStyle name="Linked Cell 3" xfId="10384" hidden="1" xr:uid="{00000000-0005-0000-0000-0000FF270000}"/>
    <cellStyle name="Linked Cell 3" xfId="10421" hidden="1" xr:uid="{00000000-0005-0000-0000-000000280000}"/>
    <cellStyle name="Linked Cell 3" xfId="10454" hidden="1" xr:uid="{00000000-0005-0000-0000-000001280000}"/>
    <cellStyle name="Linked Cell 3" xfId="10486" hidden="1" xr:uid="{00000000-0005-0000-0000-000002280000}"/>
    <cellStyle name="Linked Cell 3" xfId="10518" hidden="1" xr:uid="{00000000-0005-0000-0000-000003280000}"/>
    <cellStyle name="Linked Cell 3" xfId="10551" hidden="1" xr:uid="{00000000-0005-0000-0000-000004280000}"/>
    <cellStyle name="Linked Cell 3" xfId="10583" hidden="1" xr:uid="{00000000-0005-0000-0000-000005280000}"/>
    <cellStyle name="Linked Cell 3" xfId="10616" hidden="1" xr:uid="{00000000-0005-0000-0000-000006280000}"/>
    <cellStyle name="Linked Cell 3" xfId="10648" hidden="1" xr:uid="{00000000-0005-0000-0000-000007280000}"/>
    <cellStyle name="Linked Cell 3" xfId="10681" hidden="1" xr:uid="{00000000-0005-0000-0000-000008280000}"/>
    <cellStyle name="Linked Cell 3" xfId="10714" hidden="1" xr:uid="{00000000-0005-0000-0000-000009280000}"/>
    <cellStyle name="Linked Cell 3" xfId="10747" hidden="1" xr:uid="{00000000-0005-0000-0000-00000A280000}"/>
    <cellStyle name="Linked Cell 3" xfId="10780" hidden="1" xr:uid="{00000000-0005-0000-0000-00000B280000}"/>
    <cellStyle name="Linked Cell 3" xfId="10813" hidden="1" xr:uid="{00000000-0005-0000-0000-00000C280000}"/>
    <cellStyle name="Linked Cell 3" xfId="10846" hidden="1" xr:uid="{00000000-0005-0000-0000-00000D280000}"/>
    <cellStyle name="Linked Cell 3" xfId="10897" hidden="1" xr:uid="{00000000-0005-0000-0000-00000E280000}"/>
    <cellStyle name="Linked Cell 3" xfId="10934" hidden="1" xr:uid="{00000000-0005-0000-0000-00000F280000}"/>
    <cellStyle name="Linked Cell 3" xfId="10967" hidden="1" xr:uid="{00000000-0005-0000-0000-000010280000}"/>
    <cellStyle name="Linked Cell 3" xfId="10999" hidden="1" xr:uid="{00000000-0005-0000-0000-000011280000}"/>
    <cellStyle name="Linked Cell 3" xfId="11031" hidden="1" xr:uid="{00000000-0005-0000-0000-000012280000}"/>
    <cellStyle name="Linked Cell 3" xfId="11064" hidden="1" xr:uid="{00000000-0005-0000-0000-000013280000}"/>
    <cellStyle name="Linked Cell 3" xfId="11096" hidden="1" xr:uid="{00000000-0005-0000-0000-000014280000}"/>
    <cellStyle name="Linked Cell 3" xfId="11129" hidden="1" xr:uid="{00000000-0005-0000-0000-000015280000}"/>
    <cellStyle name="Linked Cell 3" xfId="11161" hidden="1" xr:uid="{00000000-0005-0000-0000-000016280000}"/>
    <cellStyle name="Linked Cell 3" xfId="11194" hidden="1" xr:uid="{00000000-0005-0000-0000-000017280000}"/>
    <cellStyle name="Linked Cell 3" xfId="11227" hidden="1" xr:uid="{00000000-0005-0000-0000-000018280000}"/>
    <cellStyle name="Linked Cell 3" xfId="11260" hidden="1" xr:uid="{00000000-0005-0000-0000-000019280000}"/>
    <cellStyle name="Linked Cell 3" xfId="11293" hidden="1" xr:uid="{00000000-0005-0000-0000-00001A280000}"/>
    <cellStyle name="Linked Cell 3" xfId="11326" hidden="1" xr:uid="{00000000-0005-0000-0000-00001B280000}"/>
    <cellStyle name="Linked Cell 3" xfId="11352" hidden="1" xr:uid="{00000000-0005-0000-0000-00001C280000}"/>
    <cellStyle name="Linked Cell 3" xfId="11374" hidden="1" xr:uid="{00000000-0005-0000-0000-00001D280000}"/>
    <cellStyle name="Linked Cell 3" xfId="11411" hidden="1" xr:uid="{00000000-0005-0000-0000-00001E280000}"/>
    <cellStyle name="Linked Cell 3" xfId="11444" hidden="1" xr:uid="{00000000-0005-0000-0000-00001F280000}"/>
    <cellStyle name="Linked Cell 3" xfId="11476" hidden="1" xr:uid="{00000000-0005-0000-0000-000020280000}"/>
    <cellStyle name="Linked Cell 3" xfId="11508" hidden="1" xr:uid="{00000000-0005-0000-0000-000021280000}"/>
    <cellStyle name="Linked Cell 3" xfId="11541" hidden="1" xr:uid="{00000000-0005-0000-0000-000022280000}"/>
    <cellStyle name="Linked Cell 3" xfId="11573" hidden="1" xr:uid="{00000000-0005-0000-0000-000023280000}"/>
    <cellStyle name="Linked Cell 3" xfId="11606" hidden="1" xr:uid="{00000000-0005-0000-0000-000024280000}"/>
    <cellStyle name="Linked Cell 3" xfId="11638" hidden="1" xr:uid="{00000000-0005-0000-0000-000025280000}"/>
    <cellStyle name="Linked Cell 3" xfId="11671" hidden="1" xr:uid="{00000000-0005-0000-0000-000026280000}"/>
    <cellStyle name="Linked Cell 3" xfId="11704" hidden="1" xr:uid="{00000000-0005-0000-0000-000027280000}"/>
    <cellStyle name="Linked Cell 3" xfId="11737" hidden="1" xr:uid="{00000000-0005-0000-0000-000028280000}"/>
    <cellStyle name="Linked Cell 3" xfId="11770" hidden="1" xr:uid="{00000000-0005-0000-0000-000029280000}"/>
    <cellStyle name="Linked Cell 3" xfId="11803" hidden="1" xr:uid="{00000000-0005-0000-0000-00002A280000}"/>
    <cellStyle name="Linked Cell 3" xfId="11829" xr:uid="{00000000-0005-0000-0000-00002B280000}"/>
    <cellStyle name="Magyarázó szöveg" xfId="140" xr:uid="{00000000-0005-0000-0000-00002C280000}"/>
    <cellStyle name="Menu_cell" xfId="1725" xr:uid="{00000000-0005-0000-0000-00002D280000}"/>
    <cellStyle name="Millares 2" xfId="141" xr:uid="{00000000-0005-0000-0000-00002E280000}"/>
    <cellStyle name="Millares 2 2" xfId="142" xr:uid="{00000000-0005-0000-0000-00002F280000}"/>
    <cellStyle name="Millares 3" xfId="143" xr:uid="{00000000-0005-0000-0000-000030280000}"/>
    <cellStyle name="Millares 3 2" xfId="144" xr:uid="{00000000-0005-0000-0000-000031280000}"/>
    <cellStyle name="Navadno_List1" xfId="145" xr:uid="{00000000-0005-0000-0000-000032280000}"/>
    <cellStyle name="Neutral" xfId="1060" builtinId="28"/>
    <cellStyle name="Neutral 2" xfId="146" xr:uid="{00000000-0005-0000-0000-000034280000}"/>
    <cellStyle name="Neutral 2 2" xfId="1639" xr:uid="{00000000-0005-0000-0000-000035280000}"/>
    <cellStyle name="Neutral 2 3" xfId="2747" xr:uid="{00000000-0005-0000-0000-000036280000}"/>
    <cellStyle name="Normal" xfId="0" builtinId="0"/>
    <cellStyle name="Normal 10" xfId="1640" xr:uid="{00000000-0005-0000-0000-000038280000}"/>
    <cellStyle name="Normal 11" xfId="1641" xr:uid="{00000000-0005-0000-0000-000039280000}"/>
    <cellStyle name="Normal 12" xfId="1642" xr:uid="{00000000-0005-0000-0000-00003A280000}"/>
    <cellStyle name="Normal 13" xfId="1643" xr:uid="{00000000-0005-0000-0000-00003B280000}"/>
    <cellStyle name="Normal 14" xfId="1644" xr:uid="{00000000-0005-0000-0000-00003C280000}"/>
    <cellStyle name="Normal 15" xfId="1645" xr:uid="{00000000-0005-0000-0000-00003D280000}"/>
    <cellStyle name="Normal 16" xfId="1646" xr:uid="{00000000-0005-0000-0000-00003E280000}"/>
    <cellStyle name="Normal 17" xfId="1647" xr:uid="{00000000-0005-0000-0000-00003F280000}"/>
    <cellStyle name="Normal 18" xfId="1648" xr:uid="{00000000-0005-0000-0000-000040280000}"/>
    <cellStyle name="Normal 18 2" xfId="1708" xr:uid="{00000000-0005-0000-0000-000041280000}"/>
    <cellStyle name="Normal 19" xfId="1569" xr:uid="{00000000-0005-0000-0000-000042280000}"/>
    <cellStyle name="Normal 2" xfId="147" xr:uid="{00000000-0005-0000-0000-000043280000}"/>
    <cellStyle name="Normal 2 2" xfId="148" xr:uid="{00000000-0005-0000-0000-000044280000}"/>
    <cellStyle name="Normal 2 2 2" xfId="149" xr:uid="{00000000-0005-0000-0000-000045280000}"/>
    <cellStyle name="Normal 2 2 3" xfId="150" xr:uid="{00000000-0005-0000-0000-000046280000}"/>
    <cellStyle name="Normal 2 2 3 2" xfId="151" xr:uid="{00000000-0005-0000-0000-000047280000}"/>
    <cellStyle name="Normal 2 2 4" xfId="1650" xr:uid="{00000000-0005-0000-0000-000048280000}"/>
    <cellStyle name="Normal 2 2 5" xfId="2748" xr:uid="{00000000-0005-0000-0000-000049280000}"/>
    <cellStyle name="Normal 2 2_COREP GL04rev3" xfId="152" xr:uid="{00000000-0005-0000-0000-00004A280000}"/>
    <cellStyle name="Normal 2 3" xfId="153" xr:uid="{00000000-0005-0000-0000-00004B280000}"/>
    <cellStyle name="Normal 2 3 2" xfId="1651" xr:uid="{00000000-0005-0000-0000-00004C280000}"/>
    <cellStyle name="Normal 2 3 3" xfId="2749" xr:uid="{00000000-0005-0000-0000-00004D280000}"/>
    <cellStyle name="Normal 2 4" xfId="1649" xr:uid="{00000000-0005-0000-0000-00004E280000}"/>
    <cellStyle name="Normal 2 5" xfId="154" xr:uid="{00000000-0005-0000-0000-00004F280000}"/>
    <cellStyle name="Normal 2 6" xfId="2750" xr:uid="{00000000-0005-0000-0000-000050280000}"/>
    <cellStyle name="Normal 2_~0149226" xfId="155" xr:uid="{00000000-0005-0000-0000-000051280000}"/>
    <cellStyle name="Normal 20" xfId="1710" xr:uid="{00000000-0005-0000-0000-000052280000}"/>
    <cellStyle name="Normal 21" xfId="1713" xr:uid="{00000000-0005-0000-0000-000053280000}"/>
    <cellStyle name="Normal 22" xfId="1714" xr:uid="{00000000-0005-0000-0000-000054280000}"/>
    <cellStyle name="Normal 23" xfId="1712" xr:uid="{00000000-0005-0000-0000-000055280000}"/>
    <cellStyle name="Normal 24" xfId="1570" xr:uid="{00000000-0005-0000-0000-000056280000}"/>
    <cellStyle name="Normal 25" xfId="1566" xr:uid="{00000000-0005-0000-0000-000057280000}"/>
    <cellStyle name="Normal 26" xfId="2751" xr:uid="{00000000-0005-0000-0000-000058280000}"/>
    <cellStyle name="Normal 3" xfId="156" xr:uid="{00000000-0005-0000-0000-000059280000}"/>
    <cellStyle name="Normal 3 2" xfId="157" xr:uid="{00000000-0005-0000-0000-00005A280000}"/>
    <cellStyle name="Normal 3 2 2" xfId="1716" xr:uid="{00000000-0005-0000-0000-00005B280000}"/>
    <cellStyle name="Normal 3 2 3" xfId="1653" xr:uid="{00000000-0005-0000-0000-00005C280000}"/>
    <cellStyle name="Normal 3 2 4" xfId="2752" xr:uid="{00000000-0005-0000-0000-00005D280000}"/>
    <cellStyle name="Normal 3 3" xfId="158" xr:uid="{00000000-0005-0000-0000-00005E280000}"/>
    <cellStyle name="Normal 3 4" xfId="159" xr:uid="{00000000-0005-0000-0000-00005F280000}"/>
    <cellStyle name="Normal 3 5" xfId="1652" xr:uid="{00000000-0005-0000-0000-000060280000}"/>
    <cellStyle name="Normal 3 6" xfId="2753" xr:uid="{00000000-0005-0000-0000-000061280000}"/>
    <cellStyle name="Normal 3_~1520012" xfId="160" xr:uid="{00000000-0005-0000-0000-000062280000}"/>
    <cellStyle name="Normal 4" xfId="161" xr:uid="{00000000-0005-0000-0000-000063280000}"/>
    <cellStyle name="Normal 4 2" xfId="1655" xr:uid="{00000000-0005-0000-0000-000064280000}"/>
    <cellStyle name="Normal 4 2 2" xfId="1717" xr:uid="{00000000-0005-0000-0000-000065280000}"/>
    <cellStyle name="Normal 4 3" xfId="1654" xr:uid="{00000000-0005-0000-0000-000066280000}"/>
    <cellStyle name="Normal 4 4" xfId="2754" xr:uid="{00000000-0005-0000-0000-000067280000}"/>
    <cellStyle name="Normal 4_Population Stability - PD" xfId="1656" xr:uid="{00000000-0005-0000-0000-000068280000}"/>
    <cellStyle name="Normal 5" xfId="162" xr:uid="{00000000-0005-0000-0000-000069280000}"/>
    <cellStyle name="Normal 5 2" xfId="163" xr:uid="{00000000-0005-0000-0000-00006A280000}"/>
    <cellStyle name="Normal 5 3" xfId="1657" xr:uid="{00000000-0005-0000-0000-00006B280000}"/>
    <cellStyle name="Normal 5 4" xfId="2755" xr:uid="{00000000-0005-0000-0000-00006C280000}"/>
    <cellStyle name="Normal 5_20130128_ITS on reporting_Annex I_CA" xfId="164" xr:uid="{00000000-0005-0000-0000-00006D280000}"/>
    <cellStyle name="Normal 6" xfId="165" xr:uid="{00000000-0005-0000-0000-00006E280000}"/>
    <cellStyle name="Normal 6 2" xfId="1718" xr:uid="{00000000-0005-0000-0000-00006F280000}"/>
    <cellStyle name="Normal 6 3" xfId="1658" xr:uid="{00000000-0005-0000-0000-000070280000}"/>
    <cellStyle name="Normal 6 4" xfId="2756" xr:uid="{00000000-0005-0000-0000-000071280000}"/>
    <cellStyle name="Normal 7" xfId="166" xr:uid="{00000000-0005-0000-0000-000072280000}"/>
    <cellStyle name="Normal 7 2" xfId="167" xr:uid="{00000000-0005-0000-0000-000073280000}"/>
    <cellStyle name="Normal 7 3" xfId="1659" xr:uid="{00000000-0005-0000-0000-000074280000}"/>
    <cellStyle name="Normal 7 4" xfId="2757" xr:uid="{00000000-0005-0000-0000-000075280000}"/>
    <cellStyle name="Normal 8" xfId="168" xr:uid="{00000000-0005-0000-0000-000076280000}"/>
    <cellStyle name="Normal 8 2" xfId="1660" xr:uid="{00000000-0005-0000-0000-000077280000}"/>
    <cellStyle name="Normal 8 3" xfId="2758" xr:uid="{00000000-0005-0000-0000-000078280000}"/>
    <cellStyle name="Normal 9" xfId="1661" xr:uid="{00000000-0005-0000-0000-000079280000}"/>
    <cellStyle name="Normale_2011 04 14 Templates for stress test_bcl" xfId="169" xr:uid="{00000000-0005-0000-0000-00007A280000}"/>
    <cellStyle name="normální 2" xfId="1662" xr:uid="{00000000-0005-0000-0000-00007B280000}"/>
    <cellStyle name="normální 2 2" xfId="1663" xr:uid="{00000000-0005-0000-0000-00007C280000}"/>
    <cellStyle name="normální 2_Population Stability - PD" xfId="1664" xr:uid="{00000000-0005-0000-0000-00007D280000}"/>
    <cellStyle name="Notas" xfId="170" xr:uid="{00000000-0005-0000-0000-00007E280000}"/>
    <cellStyle name="Note 2" xfId="171" xr:uid="{00000000-0005-0000-0000-00007F280000}"/>
    <cellStyle name="Note 2 2" xfId="1665" xr:uid="{00000000-0005-0000-0000-000080280000}"/>
    <cellStyle name="Note 2 3" xfId="2759" xr:uid="{00000000-0005-0000-0000-000081280000}"/>
    <cellStyle name="Note 3" xfId="212" hidden="1" xr:uid="{00000000-0005-0000-0000-000082280000}"/>
    <cellStyle name="Note 3" xfId="250" hidden="1" xr:uid="{00000000-0005-0000-0000-000083280000}"/>
    <cellStyle name="Note 3" xfId="283" hidden="1" xr:uid="{00000000-0005-0000-0000-000084280000}"/>
    <cellStyle name="Note 3" xfId="316" hidden="1" xr:uid="{00000000-0005-0000-0000-000085280000}"/>
    <cellStyle name="Note 3" xfId="349" hidden="1" xr:uid="{00000000-0005-0000-0000-000086280000}"/>
    <cellStyle name="Note 3" xfId="383" hidden="1" xr:uid="{00000000-0005-0000-0000-000087280000}"/>
    <cellStyle name="Note 3" xfId="416" hidden="1" xr:uid="{00000000-0005-0000-0000-000088280000}"/>
    <cellStyle name="Note 3" xfId="449" hidden="1" xr:uid="{00000000-0005-0000-0000-000089280000}"/>
    <cellStyle name="Note 3" xfId="482" hidden="1" xr:uid="{00000000-0005-0000-0000-00008A280000}"/>
    <cellStyle name="Note 3" xfId="515" hidden="1" xr:uid="{00000000-0005-0000-0000-00008B280000}"/>
    <cellStyle name="Note 3" xfId="548" hidden="1" xr:uid="{00000000-0005-0000-0000-00008C280000}"/>
    <cellStyle name="Note 3" xfId="581" hidden="1" xr:uid="{00000000-0005-0000-0000-00008D280000}"/>
    <cellStyle name="Note 3" xfId="618" hidden="1" xr:uid="{00000000-0005-0000-0000-00008E280000}"/>
    <cellStyle name="Note 3" xfId="651" hidden="1" xr:uid="{00000000-0005-0000-0000-00008F280000}"/>
    <cellStyle name="Note 3" xfId="683" hidden="1" xr:uid="{00000000-0005-0000-0000-000090280000}"/>
    <cellStyle name="Note 3" xfId="715" hidden="1" xr:uid="{00000000-0005-0000-0000-000091280000}"/>
    <cellStyle name="Note 3" xfId="748" hidden="1" xr:uid="{00000000-0005-0000-0000-000092280000}"/>
    <cellStyle name="Note 3" xfId="780" hidden="1" xr:uid="{00000000-0005-0000-0000-000093280000}"/>
    <cellStyle name="Note 3" xfId="813" hidden="1" xr:uid="{00000000-0005-0000-0000-000094280000}"/>
    <cellStyle name="Note 3" xfId="845" hidden="1" xr:uid="{00000000-0005-0000-0000-000095280000}"/>
    <cellStyle name="Note 3" xfId="878" hidden="1" xr:uid="{00000000-0005-0000-0000-000096280000}"/>
    <cellStyle name="Note 3" xfId="911" hidden="1" xr:uid="{00000000-0005-0000-0000-000097280000}"/>
    <cellStyle name="Note 3" xfId="944" hidden="1" xr:uid="{00000000-0005-0000-0000-000098280000}"/>
    <cellStyle name="Note 3" xfId="977" hidden="1" xr:uid="{00000000-0005-0000-0000-000099280000}"/>
    <cellStyle name="Note 3" xfId="1010" hidden="1" xr:uid="{00000000-0005-0000-0000-00009A280000}"/>
    <cellStyle name="Note 3" xfId="1043" hidden="1" xr:uid="{00000000-0005-0000-0000-00009B280000}"/>
    <cellStyle name="Note 3" xfId="1086" hidden="1" xr:uid="{00000000-0005-0000-0000-00009C280000}"/>
    <cellStyle name="Note 3" xfId="1124" hidden="1" xr:uid="{00000000-0005-0000-0000-00009D280000}"/>
    <cellStyle name="Note 3" xfId="1157" hidden="1" xr:uid="{00000000-0005-0000-0000-00009E280000}"/>
    <cellStyle name="Note 3" xfId="1189" hidden="1" xr:uid="{00000000-0005-0000-0000-00009F280000}"/>
    <cellStyle name="Note 3" xfId="1221" hidden="1" xr:uid="{00000000-0005-0000-0000-0000A0280000}"/>
    <cellStyle name="Note 3" xfId="1254" hidden="1" xr:uid="{00000000-0005-0000-0000-0000A1280000}"/>
    <cellStyle name="Note 3" xfId="1286" hidden="1" xr:uid="{00000000-0005-0000-0000-0000A2280000}"/>
    <cellStyle name="Note 3" xfId="1319" hidden="1" xr:uid="{00000000-0005-0000-0000-0000A3280000}"/>
    <cellStyle name="Note 3" xfId="1351" hidden="1" xr:uid="{00000000-0005-0000-0000-0000A4280000}"/>
    <cellStyle name="Note 3" xfId="1384" hidden="1" xr:uid="{00000000-0005-0000-0000-0000A5280000}"/>
    <cellStyle name="Note 3" xfId="1417" hidden="1" xr:uid="{00000000-0005-0000-0000-0000A6280000}"/>
    <cellStyle name="Note 3" xfId="1450" hidden="1" xr:uid="{00000000-0005-0000-0000-0000A7280000}"/>
    <cellStyle name="Note 3" xfId="1483" hidden="1" xr:uid="{00000000-0005-0000-0000-0000A8280000}"/>
    <cellStyle name="Note 3" xfId="1516" hidden="1" xr:uid="{00000000-0005-0000-0000-0000A9280000}"/>
    <cellStyle name="Note 3" xfId="1549" hidden="1" xr:uid="{00000000-0005-0000-0000-0000AA280000}"/>
    <cellStyle name="Note 3" xfId="1763" hidden="1" xr:uid="{00000000-0005-0000-0000-0000AB280000}"/>
    <cellStyle name="Note 3" xfId="1800" hidden="1" xr:uid="{00000000-0005-0000-0000-0000AC280000}"/>
    <cellStyle name="Note 3" xfId="1833" hidden="1" xr:uid="{00000000-0005-0000-0000-0000AD280000}"/>
    <cellStyle name="Note 3" xfId="1865" hidden="1" xr:uid="{00000000-0005-0000-0000-0000AE280000}"/>
    <cellStyle name="Note 3" xfId="1897" hidden="1" xr:uid="{00000000-0005-0000-0000-0000AF280000}"/>
    <cellStyle name="Note 3" xfId="1930" hidden="1" xr:uid="{00000000-0005-0000-0000-0000B0280000}"/>
    <cellStyle name="Note 3" xfId="1962" hidden="1" xr:uid="{00000000-0005-0000-0000-0000B1280000}"/>
    <cellStyle name="Note 3" xfId="1995" hidden="1" xr:uid="{00000000-0005-0000-0000-0000B2280000}"/>
    <cellStyle name="Note 3" xfId="2027" hidden="1" xr:uid="{00000000-0005-0000-0000-0000B3280000}"/>
    <cellStyle name="Note 3" xfId="2060" hidden="1" xr:uid="{00000000-0005-0000-0000-0000B4280000}"/>
    <cellStyle name="Note 3" xfId="2093" hidden="1" xr:uid="{00000000-0005-0000-0000-0000B5280000}"/>
    <cellStyle name="Note 3" xfId="2126" hidden="1" xr:uid="{00000000-0005-0000-0000-0000B6280000}"/>
    <cellStyle name="Note 3" xfId="2159" hidden="1" xr:uid="{00000000-0005-0000-0000-0000B7280000}"/>
    <cellStyle name="Note 3" xfId="2192" hidden="1" xr:uid="{00000000-0005-0000-0000-0000B8280000}"/>
    <cellStyle name="Note 3" xfId="1740" hidden="1" xr:uid="{00000000-0005-0000-0000-0000B9280000}"/>
    <cellStyle name="Note 3" xfId="2240" hidden="1" xr:uid="{00000000-0005-0000-0000-0000BA280000}"/>
    <cellStyle name="Note 3" xfId="2277" hidden="1" xr:uid="{00000000-0005-0000-0000-0000BB280000}"/>
    <cellStyle name="Note 3" xfId="2310" hidden="1" xr:uid="{00000000-0005-0000-0000-0000BC280000}"/>
    <cellStyle name="Note 3" xfId="2342" hidden="1" xr:uid="{00000000-0005-0000-0000-0000BD280000}"/>
    <cellStyle name="Note 3" xfId="2374" hidden="1" xr:uid="{00000000-0005-0000-0000-0000BE280000}"/>
    <cellStyle name="Note 3" xfId="2407" hidden="1" xr:uid="{00000000-0005-0000-0000-0000BF280000}"/>
    <cellStyle name="Note 3" xfId="2439" hidden="1" xr:uid="{00000000-0005-0000-0000-0000C0280000}"/>
    <cellStyle name="Note 3" xfId="2472" hidden="1" xr:uid="{00000000-0005-0000-0000-0000C1280000}"/>
    <cellStyle name="Note 3" xfId="2504" hidden="1" xr:uid="{00000000-0005-0000-0000-0000C2280000}"/>
    <cellStyle name="Note 3" xfId="2537" hidden="1" xr:uid="{00000000-0005-0000-0000-0000C3280000}"/>
    <cellStyle name="Note 3" xfId="2570" hidden="1" xr:uid="{00000000-0005-0000-0000-0000C4280000}"/>
    <cellStyle name="Note 3" xfId="2603" hidden="1" xr:uid="{00000000-0005-0000-0000-0000C5280000}"/>
    <cellStyle name="Note 3" xfId="2636" hidden="1" xr:uid="{00000000-0005-0000-0000-0000C6280000}"/>
    <cellStyle name="Note 3" xfId="2669" hidden="1" xr:uid="{00000000-0005-0000-0000-0000C7280000}"/>
    <cellStyle name="Note 3" xfId="1063" hidden="1" xr:uid="{00000000-0005-0000-0000-0000C8280000}"/>
    <cellStyle name="Note 3" xfId="2783" hidden="1" xr:uid="{00000000-0005-0000-0000-0000C9280000}"/>
    <cellStyle name="Note 3" xfId="2820" hidden="1" xr:uid="{00000000-0005-0000-0000-0000CA280000}"/>
    <cellStyle name="Note 3" xfId="2853" hidden="1" xr:uid="{00000000-0005-0000-0000-0000CB280000}"/>
    <cellStyle name="Note 3" xfId="2885" hidden="1" xr:uid="{00000000-0005-0000-0000-0000CC280000}"/>
    <cellStyle name="Note 3" xfId="2917" hidden="1" xr:uid="{00000000-0005-0000-0000-0000CD280000}"/>
    <cellStyle name="Note 3" xfId="2950" hidden="1" xr:uid="{00000000-0005-0000-0000-0000CE280000}"/>
    <cellStyle name="Note 3" xfId="2982" hidden="1" xr:uid="{00000000-0005-0000-0000-0000CF280000}"/>
    <cellStyle name="Note 3" xfId="3015" hidden="1" xr:uid="{00000000-0005-0000-0000-0000D0280000}"/>
    <cellStyle name="Note 3" xfId="3047" hidden="1" xr:uid="{00000000-0005-0000-0000-0000D1280000}"/>
    <cellStyle name="Note 3" xfId="3080" hidden="1" xr:uid="{00000000-0005-0000-0000-0000D2280000}"/>
    <cellStyle name="Note 3" xfId="3113" hidden="1" xr:uid="{00000000-0005-0000-0000-0000D3280000}"/>
    <cellStyle name="Note 3" xfId="3146" hidden="1" xr:uid="{00000000-0005-0000-0000-0000D4280000}"/>
    <cellStyle name="Note 3" xfId="3179" hidden="1" xr:uid="{00000000-0005-0000-0000-0000D5280000}"/>
    <cellStyle name="Note 3" xfId="3212" hidden="1" xr:uid="{00000000-0005-0000-0000-0000D6280000}"/>
    <cellStyle name="Note 3" xfId="3245" hidden="1" xr:uid="{00000000-0005-0000-0000-0000D7280000}"/>
    <cellStyle name="Note 3" xfId="3296" hidden="1" xr:uid="{00000000-0005-0000-0000-0000D8280000}"/>
    <cellStyle name="Note 3" xfId="3333" hidden="1" xr:uid="{00000000-0005-0000-0000-0000D9280000}"/>
    <cellStyle name="Note 3" xfId="3366" hidden="1" xr:uid="{00000000-0005-0000-0000-0000DA280000}"/>
    <cellStyle name="Note 3" xfId="3398" hidden="1" xr:uid="{00000000-0005-0000-0000-0000DB280000}"/>
    <cellStyle name="Note 3" xfId="3430" hidden="1" xr:uid="{00000000-0005-0000-0000-0000DC280000}"/>
    <cellStyle name="Note 3" xfId="3463" hidden="1" xr:uid="{00000000-0005-0000-0000-0000DD280000}"/>
    <cellStyle name="Note 3" xfId="3495" hidden="1" xr:uid="{00000000-0005-0000-0000-0000DE280000}"/>
    <cellStyle name="Note 3" xfId="3528" hidden="1" xr:uid="{00000000-0005-0000-0000-0000DF280000}"/>
    <cellStyle name="Note 3" xfId="3560" hidden="1" xr:uid="{00000000-0005-0000-0000-0000E0280000}"/>
    <cellStyle name="Note 3" xfId="3593" hidden="1" xr:uid="{00000000-0005-0000-0000-0000E1280000}"/>
    <cellStyle name="Note 3" xfId="3626" hidden="1" xr:uid="{00000000-0005-0000-0000-0000E2280000}"/>
    <cellStyle name="Note 3" xfId="3659" hidden="1" xr:uid="{00000000-0005-0000-0000-0000E3280000}"/>
    <cellStyle name="Note 3" xfId="3692" hidden="1" xr:uid="{00000000-0005-0000-0000-0000E4280000}"/>
    <cellStyle name="Note 3" xfId="3725" hidden="1" xr:uid="{00000000-0005-0000-0000-0000E5280000}"/>
    <cellStyle name="Note 3" xfId="3273" hidden="1" xr:uid="{00000000-0005-0000-0000-0000E6280000}"/>
    <cellStyle name="Note 3" xfId="3773" hidden="1" xr:uid="{00000000-0005-0000-0000-0000E7280000}"/>
    <cellStyle name="Note 3" xfId="3810" hidden="1" xr:uid="{00000000-0005-0000-0000-0000E8280000}"/>
    <cellStyle name="Note 3" xfId="3843" hidden="1" xr:uid="{00000000-0005-0000-0000-0000E9280000}"/>
    <cellStyle name="Note 3" xfId="3875" hidden="1" xr:uid="{00000000-0005-0000-0000-0000EA280000}"/>
    <cellStyle name="Note 3" xfId="3907" hidden="1" xr:uid="{00000000-0005-0000-0000-0000EB280000}"/>
    <cellStyle name="Note 3" xfId="3940" hidden="1" xr:uid="{00000000-0005-0000-0000-0000EC280000}"/>
    <cellStyle name="Note 3" xfId="3972" hidden="1" xr:uid="{00000000-0005-0000-0000-0000ED280000}"/>
    <cellStyle name="Note 3" xfId="4005" hidden="1" xr:uid="{00000000-0005-0000-0000-0000EE280000}"/>
    <cellStyle name="Note 3" xfId="4037" hidden="1" xr:uid="{00000000-0005-0000-0000-0000EF280000}"/>
    <cellStyle name="Note 3" xfId="4070" hidden="1" xr:uid="{00000000-0005-0000-0000-0000F0280000}"/>
    <cellStyle name="Note 3" xfId="4103" hidden="1" xr:uid="{00000000-0005-0000-0000-0000F1280000}"/>
    <cellStyle name="Note 3" xfId="4136" hidden="1" xr:uid="{00000000-0005-0000-0000-0000F2280000}"/>
    <cellStyle name="Note 3" xfId="4169" hidden="1" xr:uid="{00000000-0005-0000-0000-0000F3280000}"/>
    <cellStyle name="Note 3" xfId="4202" hidden="1" xr:uid="{00000000-0005-0000-0000-0000F4280000}"/>
    <cellStyle name="Note 3" xfId="4364" hidden="1" xr:uid="{00000000-0005-0000-0000-0000F5280000}"/>
    <cellStyle name="Note 3" xfId="4402" hidden="1" xr:uid="{00000000-0005-0000-0000-0000F6280000}"/>
    <cellStyle name="Note 3" xfId="4435" hidden="1" xr:uid="{00000000-0005-0000-0000-0000F7280000}"/>
    <cellStyle name="Note 3" xfId="4468" hidden="1" xr:uid="{00000000-0005-0000-0000-0000F8280000}"/>
    <cellStyle name="Note 3" xfId="4501" hidden="1" xr:uid="{00000000-0005-0000-0000-0000F9280000}"/>
    <cellStyle name="Note 3" xfId="4534" hidden="1" xr:uid="{00000000-0005-0000-0000-0000FA280000}"/>
    <cellStyle name="Note 3" xfId="4567" hidden="1" xr:uid="{00000000-0005-0000-0000-0000FB280000}"/>
    <cellStyle name="Note 3" xfId="4600" hidden="1" xr:uid="{00000000-0005-0000-0000-0000FC280000}"/>
    <cellStyle name="Note 3" xfId="4633" hidden="1" xr:uid="{00000000-0005-0000-0000-0000FD280000}"/>
    <cellStyle name="Note 3" xfId="4666" hidden="1" xr:uid="{00000000-0005-0000-0000-0000FE280000}"/>
    <cellStyle name="Note 3" xfId="4699" hidden="1" xr:uid="{00000000-0005-0000-0000-0000FF280000}"/>
    <cellStyle name="Note 3" xfId="4732" hidden="1" xr:uid="{00000000-0005-0000-0000-000000290000}"/>
    <cellStyle name="Note 3" xfId="4769" hidden="1" xr:uid="{00000000-0005-0000-0000-000001290000}"/>
    <cellStyle name="Note 3" xfId="4802" hidden="1" xr:uid="{00000000-0005-0000-0000-000002290000}"/>
    <cellStyle name="Note 3" xfId="4834" hidden="1" xr:uid="{00000000-0005-0000-0000-000003290000}"/>
    <cellStyle name="Note 3" xfId="4866" hidden="1" xr:uid="{00000000-0005-0000-0000-000004290000}"/>
    <cellStyle name="Note 3" xfId="4899" hidden="1" xr:uid="{00000000-0005-0000-0000-000005290000}"/>
    <cellStyle name="Note 3" xfId="4931" hidden="1" xr:uid="{00000000-0005-0000-0000-000006290000}"/>
    <cellStyle name="Note 3" xfId="4964" hidden="1" xr:uid="{00000000-0005-0000-0000-000007290000}"/>
    <cellStyle name="Note 3" xfId="4996" hidden="1" xr:uid="{00000000-0005-0000-0000-000008290000}"/>
    <cellStyle name="Note 3" xfId="5029" hidden="1" xr:uid="{00000000-0005-0000-0000-000009290000}"/>
    <cellStyle name="Note 3" xfId="5062" hidden="1" xr:uid="{00000000-0005-0000-0000-00000A290000}"/>
    <cellStyle name="Note 3" xfId="5095" hidden="1" xr:uid="{00000000-0005-0000-0000-00000B290000}"/>
    <cellStyle name="Note 3" xfId="5128" hidden="1" xr:uid="{00000000-0005-0000-0000-00000C290000}"/>
    <cellStyle name="Note 3" xfId="5161" hidden="1" xr:uid="{00000000-0005-0000-0000-00000D290000}"/>
    <cellStyle name="Note 3" xfId="5194" hidden="1" xr:uid="{00000000-0005-0000-0000-00000E290000}"/>
    <cellStyle name="Note 3" xfId="5235" hidden="1" xr:uid="{00000000-0005-0000-0000-00000F290000}"/>
    <cellStyle name="Note 3" xfId="5272" hidden="1" xr:uid="{00000000-0005-0000-0000-000010290000}"/>
    <cellStyle name="Note 3" xfId="5305" hidden="1" xr:uid="{00000000-0005-0000-0000-000011290000}"/>
    <cellStyle name="Note 3" xfId="5337" hidden="1" xr:uid="{00000000-0005-0000-0000-000012290000}"/>
    <cellStyle name="Note 3" xfId="5369" hidden="1" xr:uid="{00000000-0005-0000-0000-000013290000}"/>
    <cellStyle name="Note 3" xfId="5402" hidden="1" xr:uid="{00000000-0005-0000-0000-000014290000}"/>
    <cellStyle name="Note 3" xfId="5434" hidden="1" xr:uid="{00000000-0005-0000-0000-000015290000}"/>
    <cellStyle name="Note 3" xfId="5467" hidden="1" xr:uid="{00000000-0005-0000-0000-000016290000}"/>
    <cellStyle name="Note 3" xfId="5499" hidden="1" xr:uid="{00000000-0005-0000-0000-000017290000}"/>
    <cellStyle name="Note 3" xfId="5532" hidden="1" xr:uid="{00000000-0005-0000-0000-000018290000}"/>
    <cellStyle name="Note 3" xfId="5565" hidden="1" xr:uid="{00000000-0005-0000-0000-000019290000}"/>
    <cellStyle name="Note 3" xfId="5598" hidden="1" xr:uid="{00000000-0005-0000-0000-00001A290000}"/>
    <cellStyle name="Note 3" xfId="5631" hidden="1" xr:uid="{00000000-0005-0000-0000-00001B290000}"/>
    <cellStyle name="Note 3" xfId="5664" hidden="1" xr:uid="{00000000-0005-0000-0000-00001C290000}"/>
    <cellStyle name="Note 3" xfId="5697" hidden="1" xr:uid="{00000000-0005-0000-0000-00001D290000}"/>
    <cellStyle name="Note 3" xfId="5801" hidden="1" xr:uid="{00000000-0005-0000-0000-00001E290000}"/>
    <cellStyle name="Note 3" xfId="5838" hidden="1" xr:uid="{00000000-0005-0000-0000-00001F290000}"/>
    <cellStyle name="Note 3" xfId="5871" hidden="1" xr:uid="{00000000-0005-0000-0000-000020290000}"/>
    <cellStyle name="Note 3" xfId="5903" hidden="1" xr:uid="{00000000-0005-0000-0000-000021290000}"/>
    <cellStyle name="Note 3" xfId="5935" hidden="1" xr:uid="{00000000-0005-0000-0000-000022290000}"/>
    <cellStyle name="Note 3" xfId="5968" hidden="1" xr:uid="{00000000-0005-0000-0000-000023290000}"/>
    <cellStyle name="Note 3" xfId="6000" hidden="1" xr:uid="{00000000-0005-0000-0000-000024290000}"/>
    <cellStyle name="Note 3" xfId="6033" hidden="1" xr:uid="{00000000-0005-0000-0000-000025290000}"/>
    <cellStyle name="Note 3" xfId="6065" hidden="1" xr:uid="{00000000-0005-0000-0000-000026290000}"/>
    <cellStyle name="Note 3" xfId="6098" hidden="1" xr:uid="{00000000-0005-0000-0000-000027290000}"/>
    <cellStyle name="Note 3" xfId="6131" hidden="1" xr:uid="{00000000-0005-0000-0000-000028290000}"/>
    <cellStyle name="Note 3" xfId="6164" hidden="1" xr:uid="{00000000-0005-0000-0000-000029290000}"/>
    <cellStyle name="Note 3" xfId="6197" hidden="1" xr:uid="{00000000-0005-0000-0000-00002A290000}"/>
    <cellStyle name="Note 3" xfId="6230" hidden="1" xr:uid="{00000000-0005-0000-0000-00002B290000}"/>
    <cellStyle name="Note 3" xfId="5778" hidden="1" xr:uid="{00000000-0005-0000-0000-00002C290000}"/>
    <cellStyle name="Note 3" xfId="6278" hidden="1" xr:uid="{00000000-0005-0000-0000-00002D290000}"/>
    <cellStyle name="Note 3" xfId="6315" hidden="1" xr:uid="{00000000-0005-0000-0000-00002E290000}"/>
    <cellStyle name="Note 3" xfId="6348" hidden="1" xr:uid="{00000000-0005-0000-0000-00002F290000}"/>
    <cellStyle name="Note 3" xfId="6380" hidden="1" xr:uid="{00000000-0005-0000-0000-000030290000}"/>
    <cellStyle name="Note 3" xfId="6412" hidden="1" xr:uid="{00000000-0005-0000-0000-000031290000}"/>
    <cellStyle name="Note 3" xfId="6445" hidden="1" xr:uid="{00000000-0005-0000-0000-000032290000}"/>
    <cellStyle name="Note 3" xfId="6477" hidden="1" xr:uid="{00000000-0005-0000-0000-000033290000}"/>
    <cellStyle name="Note 3" xfId="6510" hidden="1" xr:uid="{00000000-0005-0000-0000-000034290000}"/>
    <cellStyle name="Note 3" xfId="6542" hidden="1" xr:uid="{00000000-0005-0000-0000-000035290000}"/>
    <cellStyle name="Note 3" xfId="6575" hidden="1" xr:uid="{00000000-0005-0000-0000-000036290000}"/>
    <cellStyle name="Note 3" xfId="6608" hidden="1" xr:uid="{00000000-0005-0000-0000-000037290000}"/>
    <cellStyle name="Note 3" xfId="6641" hidden="1" xr:uid="{00000000-0005-0000-0000-000038290000}"/>
    <cellStyle name="Note 3" xfId="6674" hidden="1" xr:uid="{00000000-0005-0000-0000-000039290000}"/>
    <cellStyle name="Note 3" xfId="6707" hidden="1" xr:uid="{00000000-0005-0000-0000-00003A290000}"/>
    <cellStyle name="Note 3" xfId="5212" hidden="1" xr:uid="{00000000-0005-0000-0000-00003B290000}"/>
    <cellStyle name="Note 3" xfId="6797" hidden="1" xr:uid="{00000000-0005-0000-0000-00003C290000}"/>
    <cellStyle name="Note 3" xfId="6834" hidden="1" xr:uid="{00000000-0005-0000-0000-00003D290000}"/>
    <cellStyle name="Note 3" xfId="6867" hidden="1" xr:uid="{00000000-0005-0000-0000-00003E290000}"/>
    <cellStyle name="Note 3" xfId="6899" hidden="1" xr:uid="{00000000-0005-0000-0000-00003F290000}"/>
    <cellStyle name="Note 3" xfId="6931" hidden="1" xr:uid="{00000000-0005-0000-0000-000040290000}"/>
    <cellStyle name="Note 3" xfId="6964" hidden="1" xr:uid="{00000000-0005-0000-0000-000041290000}"/>
    <cellStyle name="Note 3" xfId="6996" hidden="1" xr:uid="{00000000-0005-0000-0000-000042290000}"/>
    <cellStyle name="Note 3" xfId="7029" hidden="1" xr:uid="{00000000-0005-0000-0000-000043290000}"/>
    <cellStyle name="Note 3" xfId="7061" hidden="1" xr:uid="{00000000-0005-0000-0000-000044290000}"/>
    <cellStyle name="Note 3" xfId="7094" hidden="1" xr:uid="{00000000-0005-0000-0000-000045290000}"/>
    <cellStyle name="Note 3" xfId="7127" hidden="1" xr:uid="{00000000-0005-0000-0000-000046290000}"/>
    <cellStyle name="Note 3" xfId="7160" hidden="1" xr:uid="{00000000-0005-0000-0000-000047290000}"/>
    <cellStyle name="Note 3" xfId="7193" hidden="1" xr:uid="{00000000-0005-0000-0000-000048290000}"/>
    <cellStyle name="Note 3" xfId="7226" hidden="1" xr:uid="{00000000-0005-0000-0000-000049290000}"/>
    <cellStyle name="Note 3" xfId="7259" hidden="1" xr:uid="{00000000-0005-0000-0000-00004A290000}"/>
    <cellStyle name="Note 3" xfId="7310" hidden="1" xr:uid="{00000000-0005-0000-0000-00004B290000}"/>
    <cellStyle name="Note 3" xfId="7347" hidden="1" xr:uid="{00000000-0005-0000-0000-00004C290000}"/>
    <cellStyle name="Note 3" xfId="7380" hidden="1" xr:uid="{00000000-0005-0000-0000-00004D290000}"/>
    <cellStyle name="Note 3" xfId="7412" hidden="1" xr:uid="{00000000-0005-0000-0000-00004E290000}"/>
    <cellStyle name="Note 3" xfId="7444" hidden="1" xr:uid="{00000000-0005-0000-0000-00004F290000}"/>
    <cellStyle name="Note 3" xfId="7477" hidden="1" xr:uid="{00000000-0005-0000-0000-000050290000}"/>
    <cellStyle name="Note 3" xfId="7509" hidden="1" xr:uid="{00000000-0005-0000-0000-000051290000}"/>
    <cellStyle name="Note 3" xfId="7542" hidden="1" xr:uid="{00000000-0005-0000-0000-000052290000}"/>
    <cellStyle name="Note 3" xfId="7574" hidden="1" xr:uid="{00000000-0005-0000-0000-000053290000}"/>
    <cellStyle name="Note 3" xfId="7607" hidden="1" xr:uid="{00000000-0005-0000-0000-000054290000}"/>
    <cellStyle name="Note 3" xfId="7640" hidden="1" xr:uid="{00000000-0005-0000-0000-000055290000}"/>
    <cellStyle name="Note 3" xfId="7673" hidden="1" xr:uid="{00000000-0005-0000-0000-000056290000}"/>
    <cellStyle name="Note 3" xfId="7706" hidden="1" xr:uid="{00000000-0005-0000-0000-000057290000}"/>
    <cellStyle name="Note 3" xfId="7739" hidden="1" xr:uid="{00000000-0005-0000-0000-000058290000}"/>
    <cellStyle name="Note 3" xfId="7287" hidden="1" xr:uid="{00000000-0005-0000-0000-000059290000}"/>
    <cellStyle name="Note 3" xfId="7787" hidden="1" xr:uid="{00000000-0005-0000-0000-00005A290000}"/>
    <cellStyle name="Note 3" xfId="7824" hidden="1" xr:uid="{00000000-0005-0000-0000-00005B290000}"/>
    <cellStyle name="Note 3" xfId="7857" hidden="1" xr:uid="{00000000-0005-0000-0000-00005C290000}"/>
    <cellStyle name="Note 3" xfId="7889" hidden="1" xr:uid="{00000000-0005-0000-0000-00005D290000}"/>
    <cellStyle name="Note 3" xfId="7921" hidden="1" xr:uid="{00000000-0005-0000-0000-00005E290000}"/>
    <cellStyle name="Note 3" xfId="7954" hidden="1" xr:uid="{00000000-0005-0000-0000-00005F290000}"/>
    <cellStyle name="Note 3" xfId="7986" hidden="1" xr:uid="{00000000-0005-0000-0000-000060290000}"/>
    <cellStyle name="Note 3" xfId="8019" hidden="1" xr:uid="{00000000-0005-0000-0000-000061290000}"/>
    <cellStyle name="Note 3" xfId="8051" hidden="1" xr:uid="{00000000-0005-0000-0000-000062290000}"/>
    <cellStyle name="Note 3" xfId="8084" hidden="1" xr:uid="{00000000-0005-0000-0000-000063290000}"/>
    <cellStyle name="Note 3" xfId="8117" hidden="1" xr:uid="{00000000-0005-0000-0000-000064290000}"/>
    <cellStyle name="Note 3" xfId="8150" hidden="1" xr:uid="{00000000-0005-0000-0000-000065290000}"/>
    <cellStyle name="Note 3" xfId="8183" hidden="1" xr:uid="{00000000-0005-0000-0000-000066290000}"/>
    <cellStyle name="Note 3" xfId="8216" hidden="1" xr:uid="{00000000-0005-0000-0000-000067290000}"/>
    <cellStyle name="Note 3" xfId="5759" hidden="1" xr:uid="{00000000-0005-0000-0000-000068290000}"/>
    <cellStyle name="Note 3" xfId="4344" hidden="1" xr:uid="{00000000-0005-0000-0000-000069290000}"/>
    <cellStyle name="Note 3" xfId="4362" hidden="1" xr:uid="{00000000-0005-0000-0000-00006A290000}"/>
    <cellStyle name="Note 3" xfId="4314" hidden="1" xr:uid="{00000000-0005-0000-0000-00006B290000}"/>
    <cellStyle name="Note 3" xfId="4299" hidden="1" xr:uid="{00000000-0005-0000-0000-00006C290000}"/>
    <cellStyle name="Note 3" xfId="4284" hidden="1" xr:uid="{00000000-0005-0000-0000-00006D290000}"/>
    <cellStyle name="Note 3" xfId="4263" hidden="1" xr:uid="{00000000-0005-0000-0000-00006E290000}"/>
    <cellStyle name="Note 3" xfId="8261" hidden="1" xr:uid="{00000000-0005-0000-0000-00006F290000}"/>
    <cellStyle name="Note 3" xfId="8294" hidden="1" xr:uid="{00000000-0005-0000-0000-000070290000}"/>
    <cellStyle name="Note 3" xfId="8327" hidden="1" xr:uid="{00000000-0005-0000-0000-000071290000}"/>
    <cellStyle name="Note 3" xfId="8360" hidden="1" xr:uid="{00000000-0005-0000-0000-000072290000}"/>
    <cellStyle name="Note 3" xfId="8393" hidden="1" xr:uid="{00000000-0005-0000-0000-000073290000}"/>
    <cellStyle name="Note 3" xfId="8430" hidden="1" xr:uid="{00000000-0005-0000-0000-000074290000}"/>
    <cellStyle name="Note 3" xfId="8463" hidden="1" xr:uid="{00000000-0005-0000-0000-000075290000}"/>
    <cellStyle name="Note 3" xfId="8495" hidden="1" xr:uid="{00000000-0005-0000-0000-000076290000}"/>
    <cellStyle name="Note 3" xfId="8527" hidden="1" xr:uid="{00000000-0005-0000-0000-000077290000}"/>
    <cellStyle name="Note 3" xfId="8560" hidden="1" xr:uid="{00000000-0005-0000-0000-000078290000}"/>
    <cellStyle name="Note 3" xfId="8592" hidden="1" xr:uid="{00000000-0005-0000-0000-000079290000}"/>
    <cellStyle name="Note 3" xfId="8625" hidden="1" xr:uid="{00000000-0005-0000-0000-00007A290000}"/>
    <cellStyle name="Note 3" xfId="8657" hidden="1" xr:uid="{00000000-0005-0000-0000-00007B290000}"/>
    <cellStyle name="Note 3" xfId="8690" hidden="1" xr:uid="{00000000-0005-0000-0000-00007C290000}"/>
    <cellStyle name="Note 3" xfId="8723" hidden="1" xr:uid="{00000000-0005-0000-0000-00007D290000}"/>
    <cellStyle name="Note 3" xfId="8756" hidden="1" xr:uid="{00000000-0005-0000-0000-00007E290000}"/>
    <cellStyle name="Note 3" xfId="8789" hidden="1" xr:uid="{00000000-0005-0000-0000-00007F290000}"/>
    <cellStyle name="Note 3" xfId="8822" hidden="1" xr:uid="{00000000-0005-0000-0000-000080290000}"/>
    <cellStyle name="Note 3" xfId="8855" hidden="1" xr:uid="{00000000-0005-0000-0000-000081290000}"/>
    <cellStyle name="Note 3" xfId="8895" hidden="1" xr:uid="{00000000-0005-0000-0000-000082290000}"/>
    <cellStyle name="Note 3" xfId="8932" hidden="1" xr:uid="{00000000-0005-0000-0000-000083290000}"/>
    <cellStyle name="Note 3" xfId="8965" hidden="1" xr:uid="{00000000-0005-0000-0000-000084290000}"/>
    <cellStyle name="Note 3" xfId="8997" hidden="1" xr:uid="{00000000-0005-0000-0000-000085290000}"/>
    <cellStyle name="Note 3" xfId="9029" hidden="1" xr:uid="{00000000-0005-0000-0000-000086290000}"/>
    <cellStyle name="Note 3" xfId="9062" hidden="1" xr:uid="{00000000-0005-0000-0000-000087290000}"/>
    <cellStyle name="Note 3" xfId="9094" hidden="1" xr:uid="{00000000-0005-0000-0000-000088290000}"/>
    <cellStyle name="Note 3" xfId="9127" hidden="1" xr:uid="{00000000-0005-0000-0000-000089290000}"/>
    <cellStyle name="Note 3" xfId="9159" hidden="1" xr:uid="{00000000-0005-0000-0000-00008A290000}"/>
    <cellStyle name="Note 3" xfId="9192" hidden="1" xr:uid="{00000000-0005-0000-0000-00008B290000}"/>
    <cellStyle name="Note 3" xfId="9225" hidden="1" xr:uid="{00000000-0005-0000-0000-00008C290000}"/>
    <cellStyle name="Note 3" xfId="9258" hidden="1" xr:uid="{00000000-0005-0000-0000-00008D290000}"/>
    <cellStyle name="Note 3" xfId="9291" hidden="1" xr:uid="{00000000-0005-0000-0000-00008E290000}"/>
    <cellStyle name="Note 3" xfId="9324" hidden="1" xr:uid="{00000000-0005-0000-0000-00008F290000}"/>
    <cellStyle name="Note 3" xfId="9357" hidden="1" xr:uid="{00000000-0005-0000-0000-000090290000}"/>
    <cellStyle name="Note 3" xfId="9408" hidden="1" xr:uid="{00000000-0005-0000-0000-000091290000}"/>
    <cellStyle name="Note 3" xfId="9445" hidden="1" xr:uid="{00000000-0005-0000-0000-000092290000}"/>
    <cellStyle name="Note 3" xfId="9478" hidden="1" xr:uid="{00000000-0005-0000-0000-000093290000}"/>
    <cellStyle name="Note 3" xfId="9510" hidden="1" xr:uid="{00000000-0005-0000-0000-000094290000}"/>
    <cellStyle name="Note 3" xfId="9542" hidden="1" xr:uid="{00000000-0005-0000-0000-000095290000}"/>
    <cellStyle name="Note 3" xfId="9575" hidden="1" xr:uid="{00000000-0005-0000-0000-000096290000}"/>
    <cellStyle name="Note 3" xfId="9607" hidden="1" xr:uid="{00000000-0005-0000-0000-000097290000}"/>
    <cellStyle name="Note 3" xfId="9640" hidden="1" xr:uid="{00000000-0005-0000-0000-000098290000}"/>
    <cellStyle name="Note 3" xfId="9672" hidden="1" xr:uid="{00000000-0005-0000-0000-000099290000}"/>
    <cellStyle name="Note 3" xfId="9705" hidden="1" xr:uid="{00000000-0005-0000-0000-00009A290000}"/>
    <cellStyle name="Note 3" xfId="9738" hidden="1" xr:uid="{00000000-0005-0000-0000-00009B290000}"/>
    <cellStyle name="Note 3" xfId="9771" hidden="1" xr:uid="{00000000-0005-0000-0000-00009C290000}"/>
    <cellStyle name="Note 3" xfId="9804" hidden="1" xr:uid="{00000000-0005-0000-0000-00009D290000}"/>
    <cellStyle name="Note 3" xfId="9837" hidden="1" xr:uid="{00000000-0005-0000-0000-00009E290000}"/>
    <cellStyle name="Note 3" xfId="9385" hidden="1" xr:uid="{00000000-0005-0000-0000-00009F290000}"/>
    <cellStyle name="Note 3" xfId="9885" hidden="1" xr:uid="{00000000-0005-0000-0000-0000A0290000}"/>
    <cellStyle name="Note 3" xfId="9922" hidden="1" xr:uid="{00000000-0005-0000-0000-0000A1290000}"/>
    <cellStyle name="Note 3" xfId="9955" hidden="1" xr:uid="{00000000-0005-0000-0000-0000A2290000}"/>
    <cellStyle name="Note 3" xfId="9987" hidden="1" xr:uid="{00000000-0005-0000-0000-0000A3290000}"/>
    <cellStyle name="Note 3" xfId="10019" hidden="1" xr:uid="{00000000-0005-0000-0000-0000A4290000}"/>
    <cellStyle name="Note 3" xfId="10052" hidden="1" xr:uid="{00000000-0005-0000-0000-0000A5290000}"/>
    <cellStyle name="Note 3" xfId="10084" hidden="1" xr:uid="{00000000-0005-0000-0000-0000A6290000}"/>
    <cellStyle name="Note 3" xfId="10117" hidden="1" xr:uid="{00000000-0005-0000-0000-0000A7290000}"/>
    <cellStyle name="Note 3" xfId="10149" hidden="1" xr:uid="{00000000-0005-0000-0000-0000A8290000}"/>
    <cellStyle name="Note 3" xfId="10182" hidden="1" xr:uid="{00000000-0005-0000-0000-0000A9290000}"/>
    <cellStyle name="Note 3" xfId="10215" hidden="1" xr:uid="{00000000-0005-0000-0000-0000AA290000}"/>
    <cellStyle name="Note 3" xfId="10248" hidden="1" xr:uid="{00000000-0005-0000-0000-0000AB290000}"/>
    <cellStyle name="Note 3" xfId="10281" hidden="1" xr:uid="{00000000-0005-0000-0000-0000AC290000}"/>
    <cellStyle name="Note 3" xfId="10314" hidden="1" xr:uid="{00000000-0005-0000-0000-0000AD290000}"/>
    <cellStyle name="Note 3" xfId="8872" hidden="1" xr:uid="{00000000-0005-0000-0000-0000AE290000}"/>
    <cellStyle name="Note 3" xfId="10373" hidden="1" xr:uid="{00000000-0005-0000-0000-0000AF290000}"/>
    <cellStyle name="Note 3" xfId="10410" hidden="1" xr:uid="{00000000-0005-0000-0000-0000B0290000}"/>
    <cellStyle name="Note 3" xfId="10443" hidden="1" xr:uid="{00000000-0005-0000-0000-0000B1290000}"/>
    <cellStyle name="Note 3" xfId="10475" hidden="1" xr:uid="{00000000-0005-0000-0000-0000B2290000}"/>
    <cellStyle name="Note 3" xfId="10507" hidden="1" xr:uid="{00000000-0005-0000-0000-0000B3290000}"/>
    <cellStyle name="Note 3" xfId="10540" hidden="1" xr:uid="{00000000-0005-0000-0000-0000B4290000}"/>
    <cellStyle name="Note 3" xfId="10572" hidden="1" xr:uid="{00000000-0005-0000-0000-0000B5290000}"/>
    <cellStyle name="Note 3" xfId="10605" hidden="1" xr:uid="{00000000-0005-0000-0000-0000B6290000}"/>
    <cellStyle name="Note 3" xfId="10637" hidden="1" xr:uid="{00000000-0005-0000-0000-0000B7290000}"/>
    <cellStyle name="Note 3" xfId="10670" hidden="1" xr:uid="{00000000-0005-0000-0000-0000B8290000}"/>
    <cellStyle name="Note 3" xfId="10703" hidden="1" xr:uid="{00000000-0005-0000-0000-0000B9290000}"/>
    <cellStyle name="Note 3" xfId="10736" hidden="1" xr:uid="{00000000-0005-0000-0000-0000BA290000}"/>
    <cellStyle name="Note 3" xfId="10769" hidden="1" xr:uid="{00000000-0005-0000-0000-0000BB290000}"/>
    <cellStyle name="Note 3" xfId="10802" hidden="1" xr:uid="{00000000-0005-0000-0000-0000BC290000}"/>
    <cellStyle name="Note 3" xfId="10835" hidden="1" xr:uid="{00000000-0005-0000-0000-0000BD290000}"/>
    <cellStyle name="Note 3" xfId="10886" hidden="1" xr:uid="{00000000-0005-0000-0000-0000BE290000}"/>
    <cellStyle name="Note 3" xfId="10923" hidden="1" xr:uid="{00000000-0005-0000-0000-0000BF290000}"/>
    <cellStyle name="Note 3" xfId="10956" hidden="1" xr:uid="{00000000-0005-0000-0000-0000C0290000}"/>
    <cellStyle name="Note 3" xfId="10988" hidden="1" xr:uid="{00000000-0005-0000-0000-0000C1290000}"/>
    <cellStyle name="Note 3" xfId="11020" hidden="1" xr:uid="{00000000-0005-0000-0000-0000C2290000}"/>
    <cellStyle name="Note 3" xfId="11053" hidden="1" xr:uid="{00000000-0005-0000-0000-0000C3290000}"/>
    <cellStyle name="Note 3" xfId="11085" hidden="1" xr:uid="{00000000-0005-0000-0000-0000C4290000}"/>
    <cellStyle name="Note 3" xfId="11118" hidden="1" xr:uid="{00000000-0005-0000-0000-0000C5290000}"/>
    <cellStyle name="Note 3" xfId="11150" hidden="1" xr:uid="{00000000-0005-0000-0000-0000C6290000}"/>
    <cellStyle name="Note 3" xfId="11183" hidden="1" xr:uid="{00000000-0005-0000-0000-0000C7290000}"/>
    <cellStyle name="Note 3" xfId="11216" hidden="1" xr:uid="{00000000-0005-0000-0000-0000C8290000}"/>
    <cellStyle name="Note 3" xfId="11249" hidden="1" xr:uid="{00000000-0005-0000-0000-0000C9290000}"/>
    <cellStyle name="Note 3" xfId="11282" hidden="1" xr:uid="{00000000-0005-0000-0000-0000CA290000}"/>
    <cellStyle name="Note 3" xfId="11315" hidden="1" xr:uid="{00000000-0005-0000-0000-0000CB290000}"/>
    <cellStyle name="Note 3" xfId="10863" hidden="1" xr:uid="{00000000-0005-0000-0000-0000CC290000}"/>
    <cellStyle name="Note 3" xfId="11363" hidden="1" xr:uid="{00000000-0005-0000-0000-0000CD290000}"/>
    <cellStyle name="Note 3" xfId="11400" hidden="1" xr:uid="{00000000-0005-0000-0000-0000CE290000}"/>
    <cellStyle name="Note 3" xfId="11433" hidden="1" xr:uid="{00000000-0005-0000-0000-0000CF290000}"/>
    <cellStyle name="Note 3" xfId="11465" hidden="1" xr:uid="{00000000-0005-0000-0000-0000D0290000}"/>
    <cellStyle name="Note 3" xfId="11497" hidden="1" xr:uid="{00000000-0005-0000-0000-0000D1290000}"/>
    <cellStyle name="Note 3" xfId="11530" hidden="1" xr:uid="{00000000-0005-0000-0000-0000D2290000}"/>
    <cellStyle name="Note 3" xfId="11562" hidden="1" xr:uid="{00000000-0005-0000-0000-0000D3290000}"/>
    <cellStyle name="Note 3" xfId="11595" hidden="1" xr:uid="{00000000-0005-0000-0000-0000D4290000}"/>
    <cellStyle name="Note 3" xfId="11627" hidden="1" xr:uid="{00000000-0005-0000-0000-0000D5290000}"/>
    <cellStyle name="Note 3" xfId="11660" hidden="1" xr:uid="{00000000-0005-0000-0000-0000D6290000}"/>
    <cellStyle name="Note 3" xfId="11693" hidden="1" xr:uid="{00000000-0005-0000-0000-0000D7290000}"/>
    <cellStyle name="Note 3" xfId="11726" hidden="1" xr:uid="{00000000-0005-0000-0000-0000D8290000}"/>
    <cellStyle name="Note 3" xfId="11759" hidden="1" xr:uid="{00000000-0005-0000-0000-0000D9290000}"/>
    <cellStyle name="Note 3" xfId="11792" hidden="1" xr:uid="{00000000-0005-0000-0000-0000DA290000}"/>
    <cellStyle name="Note 3" xfId="1726" xr:uid="{00000000-0005-0000-0000-0000DB290000}"/>
    <cellStyle name="Note 3 2" xfId="1666" xr:uid="{00000000-0005-0000-0000-0000DC290000}"/>
    <cellStyle name="Összesen" xfId="172" xr:uid="{00000000-0005-0000-0000-0000DD290000}"/>
    <cellStyle name="Output 2" xfId="174" xr:uid="{00000000-0005-0000-0000-0000DE290000}"/>
    <cellStyle name="Output 2 2" xfId="1667" xr:uid="{00000000-0005-0000-0000-0000DF290000}"/>
    <cellStyle name="Output 2 3" xfId="2760" xr:uid="{00000000-0005-0000-0000-0000E0290000}"/>
    <cellStyle name="Output 3" xfId="207" hidden="1" xr:uid="{00000000-0005-0000-0000-0000E1290000}"/>
    <cellStyle name="Output 3" xfId="262" hidden="1" xr:uid="{00000000-0005-0000-0000-0000E2290000}"/>
    <cellStyle name="Output 3" xfId="295" hidden="1" xr:uid="{00000000-0005-0000-0000-0000E3290000}"/>
    <cellStyle name="Output 3" xfId="328" hidden="1" xr:uid="{00000000-0005-0000-0000-0000E4290000}"/>
    <cellStyle name="Output 3" xfId="361" hidden="1" xr:uid="{00000000-0005-0000-0000-0000E5290000}"/>
    <cellStyle name="Output 3" xfId="395" hidden="1" xr:uid="{00000000-0005-0000-0000-0000E6290000}"/>
    <cellStyle name="Output 3" xfId="428" hidden="1" xr:uid="{00000000-0005-0000-0000-0000E7290000}"/>
    <cellStyle name="Output 3" xfId="461" hidden="1" xr:uid="{00000000-0005-0000-0000-0000E8290000}"/>
    <cellStyle name="Output 3" xfId="494" hidden="1" xr:uid="{00000000-0005-0000-0000-0000E9290000}"/>
    <cellStyle name="Output 3" xfId="527" hidden="1" xr:uid="{00000000-0005-0000-0000-0000EA290000}"/>
    <cellStyle name="Output 3" xfId="560" hidden="1" xr:uid="{00000000-0005-0000-0000-0000EB290000}"/>
    <cellStyle name="Output 3" xfId="593" hidden="1" xr:uid="{00000000-0005-0000-0000-0000EC290000}"/>
    <cellStyle name="Output 3" xfId="630" hidden="1" xr:uid="{00000000-0005-0000-0000-0000ED290000}"/>
    <cellStyle name="Output 3" xfId="663" hidden="1" xr:uid="{00000000-0005-0000-0000-0000EE290000}"/>
    <cellStyle name="Output 3" xfId="695" hidden="1" xr:uid="{00000000-0005-0000-0000-0000EF290000}"/>
    <cellStyle name="Output 3" xfId="727" hidden="1" xr:uid="{00000000-0005-0000-0000-0000F0290000}"/>
    <cellStyle name="Output 3" xfId="760" hidden="1" xr:uid="{00000000-0005-0000-0000-0000F1290000}"/>
    <cellStyle name="Output 3" xfId="792" hidden="1" xr:uid="{00000000-0005-0000-0000-0000F2290000}"/>
    <cellStyle name="Output 3" xfId="825" hidden="1" xr:uid="{00000000-0005-0000-0000-0000F3290000}"/>
    <cellStyle name="Output 3" xfId="857" hidden="1" xr:uid="{00000000-0005-0000-0000-0000F4290000}"/>
    <cellStyle name="Output 3" xfId="890" hidden="1" xr:uid="{00000000-0005-0000-0000-0000F5290000}"/>
    <cellStyle name="Output 3" xfId="923" hidden="1" xr:uid="{00000000-0005-0000-0000-0000F6290000}"/>
    <cellStyle name="Output 3" xfId="956" hidden="1" xr:uid="{00000000-0005-0000-0000-0000F7290000}"/>
    <cellStyle name="Output 3" xfId="989" hidden="1" xr:uid="{00000000-0005-0000-0000-0000F8290000}"/>
    <cellStyle name="Output 3" xfId="1022" hidden="1" xr:uid="{00000000-0005-0000-0000-0000F9290000}"/>
    <cellStyle name="Output 3" xfId="1055" hidden="1" xr:uid="{00000000-0005-0000-0000-0000FA290000}"/>
    <cellStyle name="Output 3" xfId="1098" hidden="1" xr:uid="{00000000-0005-0000-0000-0000FB290000}"/>
    <cellStyle name="Output 3" xfId="1136" hidden="1" xr:uid="{00000000-0005-0000-0000-0000FC290000}"/>
    <cellStyle name="Output 3" xfId="1169" hidden="1" xr:uid="{00000000-0005-0000-0000-0000FD290000}"/>
    <cellStyle name="Output 3" xfId="1201" hidden="1" xr:uid="{00000000-0005-0000-0000-0000FE290000}"/>
    <cellStyle name="Output 3" xfId="1233" hidden="1" xr:uid="{00000000-0005-0000-0000-0000FF290000}"/>
    <cellStyle name="Output 3" xfId="1266" hidden="1" xr:uid="{00000000-0005-0000-0000-0000002A0000}"/>
    <cellStyle name="Output 3" xfId="1298" hidden="1" xr:uid="{00000000-0005-0000-0000-0000012A0000}"/>
    <cellStyle name="Output 3" xfId="1331" hidden="1" xr:uid="{00000000-0005-0000-0000-0000022A0000}"/>
    <cellStyle name="Output 3" xfId="1363" hidden="1" xr:uid="{00000000-0005-0000-0000-0000032A0000}"/>
    <cellStyle name="Output 3" xfId="1396" hidden="1" xr:uid="{00000000-0005-0000-0000-0000042A0000}"/>
    <cellStyle name="Output 3" xfId="1429" hidden="1" xr:uid="{00000000-0005-0000-0000-0000052A0000}"/>
    <cellStyle name="Output 3" xfId="1462" hidden="1" xr:uid="{00000000-0005-0000-0000-0000062A0000}"/>
    <cellStyle name="Output 3" xfId="1495" hidden="1" xr:uid="{00000000-0005-0000-0000-0000072A0000}"/>
    <cellStyle name="Output 3" xfId="1528" hidden="1" xr:uid="{00000000-0005-0000-0000-0000082A0000}"/>
    <cellStyle name="Output 3" xfId="1561" hidden="1" xr:uid="{00000000-0005-0000-0000-0000092A0000}"/>
    <cellStyle name="Output 3" xfId="1775" hidden="1" xr:uid="{00000000-0005-0000-0000-00000A2A0000}"/>
    <cellStyle name="Output 3" xfId="1812" hidden="1" xr:uid="{00000000-0005-0000-0000-00000B2A0000}"/>
    <cellStyle name="Output 3" xfId="1845" hidden="1" xr:uid="{00000000-0005-0000-0000-00000C2A0000}"/>
    <cellStyle name="Output 3" xfId="1877" hidden="1" xr:uid="{00000000-0005-0000-0000-00000D2A0000}"/>
    <cellStyle name="Output 3" xfId="1909" hidden="1" xr:uid="{00000000-0005-0000-0000-00000E2A0000}"/>
    <cellStyle name="Output 3" xfId="1942" hidden="1" xr:uid="{00000000-0005-0000-0000-00000F2A0000}"/>
    <cellStyle name="Output 3" xfId="1974" hidden="1" xr:uid="{00000000-0005-0000-0000-0000102A0000}"/>
    <cellStyle name="Output 3" xfId="2007" hidden="1" xr:uid="{00000000-0005-0000-0000-0000112A0000}"/>
    <cellStyle name="Output 3" xfId="2039" hidden="1" xr:uid="{00000000-0005-0000-0000-0000122A0000}"/>
    <cellStyle name="Output 3" xfId="2072" hidden="1" xr:uid="{00000000-0005-0000-0000-0000132A0000}"/>
    <cellStyle name="Output 3" xfId="2105" hidden="1" xr:uid="{00000000-0005-0000-0000-0000142A0000}"/>
    <cellStyle name="Output 3" xfId="2138" hidden="1" xr:uid="{00000000-0005-0000-0000-0000152A0000}"/>
    <cellStyle name="Output 3" xfId="2171" hidden="1" xr:uid="{00000000-0005-0000-0000-0000162A0000}"/>
    <cellStyle name="Output 3" xfId="2204" hidden="1" xr:uid="{00000000-0005-0000-0000-0000172A0000}"/>
    <cellStyle name="Output 3" xfId="2230" hidden="1" xr:uid="{00000000-0005-0000-0000-0000182A0000}"/>
    <cellStyle name="Output 3" xfId="2252" hidden="1" xr:uid="{00000000-0005-0000-0000-0000192A0000}"/>
    <cellStyle name="Output 3" xfId="2289" hidden="1" xr:uid="{00000000-0005-0000-0000-00001A2A0000}"/>
    <cellStyle name="Output 3" xfId="2322" hidden="1" xr:uid="{00000000-0005-0000-0000-00001B2A0000}"/>
    <cellStyle name="Output 3" xfId="2354" hidden="1" xr:uid="{00000000-0005-0000-0000-00001C2A0000}"/>
    <cellStyle name="Output 3" xfId="2386" hidden="1" xr:uid="{00000000-0005-0000-0000-00001D2A0000}"/>
    <cellStyle name="Output 3" xfId="2419" hidden="1" xr:uid="{00000000-0005-0000-0000-00001E2A0000}"/>
    <cellStyle name="Output 3" xfId="2451" hidden="1" xr:uid="{00000000-0005-0000-0000-00001F2A0000}"/>
    <cellStyle name="Output 3" xfId="2484" hidden="1" xr:uid="{00000000-0005-0000-0000-0000202A0000}"/>
    <cellStyle name="Output 3" xfId="2516" hidden="1" xr:uid="{00000000-0005-0000-0000-0000212A0000}"/>
    <cellStyle name="Output 3" xfId="2549" hidden="1" xr:uid="{00000000-0005-0000-0000-0000222A0000}"/>
    <cellStyle name="Output 3" xfId="2582" hidden="1" xr:uid="{00000000-0005-0000-0000-0000232A0000}"/>
    <cellStyle name="Output 3" xfId="2615" hidden="1" xr:uid="{00000000-0005-0000-0000-0000242A0000}"/>
    <cellStyle name="Output 3" xfId="2648" hidden="1" xr:uid="{00000000-0005-0000-0000-0000252A0000}"/>
    <cellStyle name="Output 3" xfId="2681" hidden="1" xr:uid="{00000000-0005-0000-0000-0000262A0000}"/>
    <cellStyle name="Output 3" xfId="2707" hidden="1" xr:uid="{00000000-0005-0000-0000-0000272A0000}"/>
    <cellStyle name="Output 3" xfId="2795" hidden="1" xr:uid="{00000000-0005-0000-0000-0000282A0000}"/>
    <cellStyle name="Output 3" xfId="2832" hidden="1" xr:uid="{00000000-0005-0000-0000-0000292A0000}"/>
    <cellStyle name="Output 3" xfId="2865" hidden="1" xr:uid="{00000000-0005-0000-0000-00002A2A0000}"/>
    <cellStyle name="Output 3" xfId="2897" hidden="1" xr:uid="{00000000-0005-0000-0000-00002B2A0000}"/>
    <cellStyle name="Output 3" xfId="2929" hidden="1" xr:uid="{00000000-0005-0000-0000-00002C2A0000}"/>
    <cellStyle name="Output 3" xfId="2962" hidden="1" xr:uid="{00000000-0005-0000-0000-00002D2A0000}"/>
    <cellStyle name="Output 3" xfId="2994" hidden="1" xr:uid="{00000000-0005-0000-0000-00002E2A0000}"/>
    <cellStyle name="Output 3" xfId="3027" hidden="1" xr:uid="{00000000-0005-0000-0000-00002F2A0000}"/>
    <cellStyle name="Output 3" xfId="3059" hidden="1" xr:uid="{00000000-0005-0000-0000-0000302A0000}"/>
    <cellStyle name="Output 3" xfId="3092" hidden="1" xr:uid="{00000000-0005-0000-0000-0000312A0000}"/>
    <cellStyle name="Output 3" xfId="3125" hidden="1" xr:uid="{00000000-0005-0000-0000-0000322A0000}"/>
    <cellStyle name="Output 3" xfId="3158" hidden="1" xr:uid="{00000000-0005-0000-0000-0000332A0000}"/>
    <cellStyle name="Output 3" xfId="3191" hidden="1" xr:uid="{00000000-0005-0000-0000-0000342A0000}"/>
    <cellStyle name="Output 3" xfId="3224" hidden="1" xr:uid="{00000000-0005-0000-0000-0000352A0000}"/>
    <cellStyle name="Output 3" xfId="3257" hidden="1" xr:uid="{00000000-0005-0000-0000-0000362A0000}"/>
    <cellStyle name="Output 3" xfId="3308" hidden="1" xr:uid="{00000000-0005-0000-0000-0000372A0000}"/>
    <cellStyle name="Output 3" xfId="3345" hidden="1" xr:uid="{00000000-0005-0000-0000-0000382A0000}"/>
    <cellStyle name="Output 3" xfId="3378" hidden="1" xr:uid="{00000000-0005-0000-0000-0000392A0000}"/>
    <cellStyle name="Output 3" xfId="3410" hidden="1" xr:uid="{00000000-0005-0000-0000-00003A2A0000}"/>
    <cellStyle name="Output 3" xfId="3442" hidden="1" xr:uid="{00000000-0005-0000-0000-00003B2A0000}"/>
    <cellStyle name="Output 3" xfId="3475" hidden="1" xr:uid="{00000000-0005-0000-0000-00003C2A0000}"/>
    <cellStyle name="Output 3" xfId="3507" hidden="1" xr:uid="{00000000-0005-0000-0000-00003D2A0000}"/>
    <cellStyle name="Output 3" xfId="3540" hidden="1" xr:uid="{00000000-0005-0000-0000-00003E2A0000}"/>
    <cellStyle name="Output 3" xfId="3572" hidden="1" xr:uid="{00000000-0005-0000-0000-00003F2A0000}"/>
    <cellStyle name="Output 3" xfId="3605" hidden="1" xr:uid="{00000000-0005-0000-0000-0000402A0000}"/>
    <cellStyle name="Output 3" xfId="3638" hidden="1" xr:uid="{00000000-0005-0000-0000-0000412A0000}"/>
    <cellStyle name="Output 3" xfId="3671" hidden="1" xr:uid="{00000000-0005-0000-0000-0000422A0000}"/>
    <cellStyle name="Output 3" xfId="3704" hidden="1" xr:uid="{00000000-0005-0000-0000-0000432A0000}"/>
    <cellStyle name="Output 3" xfId="3737" hidden="1" xr:uid="{00000000-0005-0000-0000-0000442A0000}"/>
    <cellStyle name="Output 3" xfId="3763" hidden="1" xr:uid="{00000000-0005-0000-0000-0000452A0000}"/>
    <cellStyle name="Output 3" xfId="3785" hidden="1" xr:uid="{00000000-0005-0000-0000-0000462A0000}"/>
    <cellStyle name="Output 3" xfId="3822" hidden="1" xr:uid="{00000000-0005-0000-0000-0000472A0000}"/>
    <cellStyle name="Output 3" xfId="3855" hidden="1" xr:uid="{00000000-0005-0000-0000-0000482A0000}"/>
    <cellStyle name="Output 3" xfId="3887" hidden="1" xr:uid="{00000000-0005-0000-0000-0000492A0000}"/>
    <cellStyle name="Output 3" xfId="3919" hidden="1" xr:uid="{00000000-0005-0000-0000-00004A2A0000}"/>
    <cellStyle name="Output 3" xfId="3952" hidden="1" xr:uid="{00000000-0005-0000-0000-00004B2A0000}"/>
    <cellStyle name="Output 3" xfId="3984" hidden="1" xr:uid="{00000000-0005-0000-0000-00004C2A0000}"/>
    <cellStyle name="Output 3" xfId="4017" hidden="1" xr:uid="{00000000-0005-0000-0000-00004D2A0000}"/>
    <cellStyle name="Output 3" xfId="4049" hidden="1" xr:uid="{00000000-0005-0000-0000-00004E2A0000}"/>
    <cellStyle name="Output 3" xfId="4082" hidden="1" xr:uid="{00000000-0005-0000-0000-00004F2A0000}"/>
    <cellStyle name="Output 3" xfId="4115" hidden="1" xr:uid="{00000000-0005-0000-0000-0000502A0000}"/>
    <cellStyle name="Output 3" xfId="4148" hidden="1" xr:uid="{00000000-0005-0000-0000-0000512A0000}"/>
    <cellStyle name="Output 3" xfId="4181" hidden="1" xr:uid="{00000000-0005-0000-0000-0000522A0000}"/>
    <cellStyle name="Output 3" xfId="4214" hidden="1" xr:uid="{00000000-0005-0000-0000-0000532A0000}"/>
    <cellStyle name="Output 3" xfId="4240" hidden="1" xr:uid="{00000000-0005-0000-0000-0000542A0000}"/>
    <cellStyle name="Output 3" xfId="4414" hidden="1" xr:uid="{00000000-0005-0000-0000-0000552A0000}"/>
    <cellStyle name="Output 3" xfId="4447" hidden="1" xr:uid="{00000000-0005-0000-0000-0000562A0000}"/>
    <cellStyle name="Output 3" xfId="4480" hidden="1" xr:uid="{00000000-0005-0000-0000-0000572A0000}"/>
    <cellStyle name="Output 3" xfId="4513" hidden="1" xr:uid="{00000000-0005-0000-0000-0000582A0000}"/>
    <cellStyle name="Output 3" xfId="4546" hidden="1" xr:uid="{00000000-0005-0000-0000-0000592A0000}"/>
    <cellStyle name="Output 3" xfId="4579" hidden="1" xr:uid="{00000000-0005-0000-0000-00005A2A0000}"/>
    <cellStyle name="Output 3" xfId="4612" hidden="1" xr:uid="{00000000-0005-0000-0000-00005B2A0000}"/>
    <cellStyle name="Output 3" xfId="4645" hidden="1" xr:uid="{00000000-0005-0000-0000-00005C2A0000}"/>
    <cellStyle name="Output 3" xfId="4678" hidden="1" xr:uid="{00000000-0005-0000-0000-00005D2A0000}"/>
    <cellStyle name="Output 3" xfId="4711" hidden="1" xr:uid="{00000000-0005-0000-0000-00005E2A0000}"/>
    <cellStyle name="Output 3" xfId="4744" hidden="1" xr:uid="{00000000-0005-0000-0000-00005F2A0000}"/>
    <cellStyle name="Output 3" xfId="4781" hidden="1" xr:uid="{00000000-0005-0000-0000-0000602A0000}"/>
    <cellStyle name="Output 3" xfId="4814" hidden="1" xr:uid="{00000000-0005-0000-0000-0000612A0000}"/>
    <cellStyle name="Output 3" xfId="4846" hidden="1" xr:uid="{00000000-0005-0000-0000-0000622A0000}"/>
    <cellStyle name="Output 3" xfId="4878" hidden="1" xr:uid="{00000000-0005-0000-0000-0000632A0000}"/>
    <cellStyle name="Output 3" xfId="4911" hidden="1" xr:uid="{00000000-0005-0000-0000-0000642A0000}"/>
    <cellStyle name="Output 3" xfId="4943" hidden="1" xr:uid="{00000000-0005-0000-0000-0000652A0000}"/>
    <cellStyle name="Output 3" xfId="4976" hidden="1" xr:uid="{00000000-0005-0000-0000-0000662A0000}"/>
    <cellStyle name="Output 3" xfId="5008" hidden="1" xr:uid="{00000000-0005-0000-0000-0000672A0000}"/>
    <cellStyle name="Output 3" xfId="5041" hidden="1" xr:uid="{00000000-0005-0000-0000-0000682A0000}"/>
    <cellStyle name="Output 3" xfId="5074" hidden="1" xr:uid="{00000000-0005-0000-0000-0000692A0000}"/>
    <cellStyle name="Output 3" xfId="5107" hidden="1" xr:uid="{00000000-0005-0000-0000-00006A2A0000}"/>
    <cellStyle name="Output 3" xfId="5140" hidden="1" xr:uid="{00000000-0005-0000-0000-00006B2A0000}"/>
    <cellStyle name="Output 3" xfId="5173" hidden="1" xr:uid="{00000000-0005-0000-0000-00006C2A0000}"/>
    <cellStyle name="Output 3" xfId="5206" hidden="1" xr:uid="{00000000-0005-0000-0000-00006D2A0000}"/>
    <cellStyle name="Output 3" xfId="5247" hidden="1" xr:uid="{00000000-0005-0000-0000-00006E2A0000}"/>
    <cellStyle name="Output 3" xfId="5284" hidden="1" xr:uid="{00000000-0005-0000-0000-00006F2A0000}"/>
    <cellStyle name="Output 3" xfId="5317" hidden="1" xr:uid="{00000000-0005-0000-0000-0000702A0000}"/>
    <cellStyle name="Output 3" xfId="5349" hidden="1" xr:uid="{00000000-0005-0000-0000-0000712A0000}"/>
    <cellStyle name="Output 3" xfId="5381" hidden="1" xr:uid="{00000000-0005-0000-0000-0000722A0000}"/>
    <cellStyle name="Output 3" xfId="5414" hidden="1" xr:uid="{00000000-0005-0000-0000-0000732A0000}"/>
    <cellStyle name="Output 3" xfId="5446" hidden="1" xr:uid="{00000000-0005-0000-0000-0000742A0000}"/>
    <cellStyle name="Output 3" xfId="5479" hidden="1" xr:uid="{00000000-0005-0000-0000-0000752A0000}"/>
    <cellStyle name="Output 3" xfId="5511" hidden="1" xr:uid="{00000000-0005-0000-0000-0000762A0000}"/>
    <cellStyle name="Output 3" xfId="5544" hidden="1" xr:uid="{00000000-0005-0000-0000-0000772A0000}"/>
    <cellStyle name="Output 3" xfId="5577" hidden="1" xr:uid="{00000000-0005-0000-0000-0000782A0000}"/>
    <cellStyle name="Output 3" xfId="5610" hidden="1" xr:uid="{00000000-0005-0000-0000-0000792A0000}"/>
    <cellStyle name="Output 3" xfId="5643" hidden="1" xr:uid="{00000000-0005-0000-0000-00007A2A0000}"/>
    <cellStyle name="Output 3" xfId="5676" hidden="1" xr:uid="{00000000-0005-0000-0000-00007B2A0000}"/>
    <cellStyle name="Output 3" xfId="5709" hidden="1" xr:uid="{00000000-0005-0000-0000-00007C2A0000}"/>
    <cellStyle name="Output 3" xfId="5813" hidden="1" xr:uid="{00000000-0005-0000-0000-00007D2A0000}"/>
    <cellStyle name="Output 3" xfId="5850" hidden="1" xr:uid="{00000000-0005-0000-0000-00007E2A0000}"/>
    <cellStyle name="Output 3" xfId="5883" hidden="1" xr:uid="{00000000-0005-0000-0000-00007F2A0000}"/>
    <cellStyle name="Output 3" xfId="5915" hidden="1" xr:uid="{00000000-0005-0000-0000-0000802A0000}"/>
    <cellStyle name="Output 3" xfId="5947" hidden="1" xr:uid="{00000000-0005-0000-0000-0000812A0000}"/>
    <cellStyle name="Output 3" xfId="5980" hidden="1" xr:uid="{00000000-0005-0000-0000-0000822A0000}"/>
    <cellStyle name="Output 3" xfId="6012" hidden="1" xr:uid="{00000000-0005-0000-0000-0000832A0000}"/>
    <cellStyle name="Output 3" xfId="6045" hidden="1" xr:uid="{00000000-0005-0000-0000-0000842A0000}"/>
    <cellStyle name="Output 3" xfId="6077" hidden="1" xr:uid="{00000000-0005-0000-0000-0000852A0000}"/>
    <cellStyle name="Output 3" xfId="6110" hidden="1" xr:uid="{00000000-0005-0000-0000-0000862A0000}"/>
    <cellStyle name="Output 3" xfId="6143" hidden="1" xr:uid="{00000000-0005-0000-0000-0000872A0000}"/>
    <cellStyle name="Output 3" xfId="6176" hidden="1" xr:uid="{00000000-0005-0000-0000-0000882A0000}"/>
    <cellStyle name="Output 3" xfId="6209" hidden="1" xr:uid="{00000000-0005-0000-0000-0000892A0000}"/>
    <cellStyle name="Output 3" xfId="6242" hidden="1" xr:uid="{00000000-0005-0000-0000-00008A2A0000}"/>
    <cellStyle name="Output 3" xfId="6268" hidden="1" xr:uid="{00000000-0005-0000-0000-00008B2A0000}"/>
    <cellStyle name="Output 3" xfId="6290" hidden="1" xr:uid="{00000000-0005-0000-0000-00008C2A0000}"/>
    <cellStyle name="Output 3" xfId="6327" hidden="1" xr:uid="{00000000-0005-0000-0000-00008D2A0000}"/>
    <cellStyle name="Output 3" xfId="6360" hidden="1" xr:uid="{00000000-0005-0000-0000-00008E2A0000}"/>
    <cellStyle name="Output 3" xfId="6392" hidden="1" xr:uid="{00000000-0005-0000-0000-00008F2A0000}"/>
    <cellStyle name="Output 3" xfId="6424" hidden="1" xr:uid="{00000000-0005-0000-0000-0000902A0000}"/>
    <cellStyle name="Output 3" xfId="6457" hidden="1" xr:uid="{00000000-0005-0000-0000-0000912A0000}"/>
    <cellStyle name="Output 3" xfId="6489" hidden="1" xr:uid="{00000000-0005-0000-0000-0000922A0000}"/>
    <cellStyle name="Output 3" xfId="6522" hidden="1" xr:uid="{00000000-0005-0000-0000-0000932A0000}"/>
    <cellStyle name="Output 3" xfId="6554" hidden="1" xr:uid="{00000000-0005-0000-0000-0000942A0000}"/>
    <cellStyle name="Output 3" xfId="6587" hidden="1" xr:uid="{00000000-0005-0000-0000-0000952A0000}"/>
    <cellStyle name="Output 3" xfId="6620" hidden="1" xr:uid="{00000000-0005-0000-0000-0000962A0000}"/>
    <cellStyle name="Output 3" xfId="6653" hidden="1" xr:uid="{00000000-0005-0000-0000-0000972A0000}"/>
    <cellStyle name="Output 3" xfId="6686" hidden="1" xr:uid="{00000000-0005-0000-0000-0000982A0000}"/>
    <cellStyle name="Output 3" xfId="6719" hidden="1" xr:uid="{00000000-0005-0000-0000-0000992A0000}"/>
    <cellStyle name="Output 3" xfId="6745" hidden="1" xr:uid="{00000000-0005-0000-0000-00009A2A0000}"/>
    <cellStyle name="Output 3" xfId="6809" hidden="1" xr:uid="{00000000-0005-0000-0000-00009B2A0000}"/>
    <cellStyle name="Output 3" xfId="6846" hidden="1" xr:uid="{00000000-0005-0000-0000-00009C2A0000}"/>
    <cellStyle name="Output 3" xfId="6879" hidden="1" xr:uid="{00000000-0005-0000-0000-00009D2A0000}"/>
    <cellStyle name="Output 3" xfId="6911" hidden="1" xr:uid="{00000000-0005-0000-0000-00009E2A0000}"/>
    <cellStyle name="Output 3" xfId="6943" hidden="1" xr:uid="{00000000-0005-0000-0000-00009F2A0000}"/>
    <cellStyle name="Output 3" xfId="6976" hidden="1" xr:uid="{00000000-0005-0000-0000-0000A02A0000}"/>
    <cellStyle name="Output 3" xfId="7008" hidden="1" xr:uid="{00000000-0005-0000-0000-0000A12A0000}"/>
    <cellStyle name="Output 3" xfId="7041" hidden="1" xr:uid="{00000000-0005-0000-0000-0000A22A0000}"/>
    <cellStyle name="Output 3" xfId="7073" hidden="1" xr:uid="{00000000-0005-0000-0000-0000A32A0000}"/>
    <cellStyle name="Output 3" xfId="7106" hidden="1" xr:uid="{00000000-0005-0000-0000-0000A42A0000}"/>
    <cellStyle name="Output 3" xfId="7139" hidden="1" xr:uid="{00000000-0005-0000-0000-0000A52A0000}"/>
    <cellStyle name="Output 3" xfId="7172" hidden="1" xr:uid="{00000000-0005-0000-0000-0000A62A0000}"/>
    <cellStyle name="Output 3" xfId="7205" hidden="1" xr:uid="{00000000-0005-0000-0000-0000A72A0000}"/>
    <cellStyle name="Output 3" xfId="7238" hidden="1" xr:uid="{00000000-0005-0000-0000-0000A82A0000}"/>
    <cellStyle name="Output 3" xfId="7271" hidden="1" xr:uid="{00000000-0005-0000-0000-0000A92A0000}"/>
    <cellStyle name="Output 3" xfId="7322" hidden="1" xr:uid="{00000000-0005-0000-0000-0000AA2A0000}"/>
    <cellStyle name="Output 3" xfId="7359" hidden="1" xr:uid="{00000000-0005-0000-0000-0000AB2A0000}"/>
    <cellStyle name="Output 3" xfId="7392" hidden="1" xr:uid="{00000000-0005-0000-0000-0000AC2A0000}"/>
    <cellStyle name="Output 3" xfId="7424" hidden="1" xr:uid="{00000000-0005-0000-0000-0000AD2A0000}"/>
    <cellStyle name="Output 3" xfId="7456" hidden="1" xr:uid="{00000000-0005-0000-0000-0000AE2A0000}"/>
    <cellStyle name="Output 3" xfId="7489" hidden="1" xr:uid="{00000000-0005-0000-0000-0000AF2A0000}"/>
    <cellStyle name="Output 3" xfId="7521" hidden="1" xr:uid="{00000000-0005-0000-0000-0000B02A0000}"/>
    <cellStyle name="Output 3" xfId="7554" hidden="1" xr:uid="{00000000-0005-0000-0000-0000B12A0000}"/>
    <cellStyle name="Output 3" xfId="7586" hidden="1" xr:uid="{00000000-0005-0000-0000-0000B22A0000}"/>
    <cellStyle name="Output 3" xfId="7619" hidden="1" xr:uid="{00000000-0005-0000-0000-0000B32A0000}"/>
    <cellStyle name="Output 3" xfId="7652" hidden="1" xr:uid="{00000000-0005-0000-0000-0000B42A0000}"/>
    <cellStyle name="Output 3" xfId="7685" hidden="1" xr:uid="{00000000-0005-0000-0000-0000B52A0000}"/>
    <cellStyle name="Output 3" xfId="7718" hidden="1" xr:uid="{00000000-0005-0000-0000-0000B62A0000}"/>
    <cellStyle name="Output 3" xfId="7751" hidden="1" xr:uid="{00000000-0005-0000-0000-0000B72A0000}"/>
    <cellStyle name="Output 3" xfId="7777" hidden="1" xr:uid="{00000000-0005-0000-0000-0000B82A0000}"/>
    <cellStyle name="Output 3" xfId="7799" hidden="1" xr:uid="{00000000-0005-0000-0000-0000B92A0000}"/>
    <cellStyle name="Output 3" xfId="7836" hidden="1" xr:uid="{00000000-0005-0000-0000-0000BA2A0000}"/>
    <cellStyle name="Output 3" xfId="7869" hidden="1" xr:uid="{00000000-0005-0000-0000-0000BB2A0000}"/>
    <cellStyle name="Output 3" xfId="7901" hidden="1" xr:uid="{00000000-0005-0000-0000-0000BC2A0000}"/>
    <cellStyle name="Output 3" xfId="7933" hidden="1" xr:uid="{00000000-0005-0000-0000-0000BD2A0000}"/>
    <cellStyle name="Output 3" xfId="7966" hidden="1" xr:uid="{00000000-0005-0000-0000-0000BE2A0000}"/>
    <cellStyle name="Output 3" xfId="7998" hidden="1" xr:uid="{00000000-0005-0000-0000-0000BF2A0000}"/>
    <cellStyle name="Output 3" xfId="8031" hidden="1" xr:uid="{00000000-0005-0000-0000-0000C02A0000}"/>
    <cellStyle name="Output 3" xfId="8063" hidden="1" xr:uid="{00000000-0005-0000-0000-0000C12A0000}"/>
    <cellStyle name="Output 3" xfId="8096" hidden="1" xr:uid="{00000000-0005-0000-0000-0000C22A0000}"/>
    <cellStyle name="Output 3" xfId="8129" hidden="1" xr:uid="{00000000-0005-0000-0000-0000C32A0000}"/>
    <cellStyle name="Output 3" xfId="8162" hidden="1" xr:uid="{00000000-0005-0000-0000-0000C42A0000}"/>
    <cellStyle name="Output 3" xfId="8195" hidden="1" xr:uid="{00000000-0005-0000-0000-0000C52A0000}"/>
    <cellStyle name="Output 3" xfId="8228" hidden="1" xr:uid="{00000000-0005-0000-0000-0000C62A0000}"/>
    <cellStyle name="Output 3" xfId="8254" hidden="1" xr:uid="{00000000-0005-0000-0000-0000C72A0000}"/>
    <cellStyle name="Output 3" xfId="5748" hidden="1" xr:uid="{00000000-0005-0000-0000-0000C82A0000}"/>
    <cellStyle name="Output 3" xfId="4325" hidden="1" xr:uid="{00000000-0005-0000-0000-0000C92A0000}"/>
    <cellStyle name="Output 3" xfId="4311" hidden="1" xr:uid="{00000000-0005-0000-0000-0000CA2A0000}"/>
    <cellStyle name="Output 3" xfId="4376" hidden="1" xr:uid="{00000000-0005-0000-0000-0000CB2A0000}"/>
    <cellStyle name="Output 3" xfId="4272" hidden="1" xr:uid="{00000000-0005-0000-0000-0000CC2A0000}"/>
    <cellStyle name="Output 3" xfId="4258" hidden="1" xr:uid="{00000000-0005-0000-0000-0000CD2A0000}"/>
    <cellStyle name="Output 3" xfId="8273" hidden="1" xr:uid="{00000000-0005-0000-0000-0000CE2A0000}"/>
    <cellStyle name="Output 3" xfId="8306" hidden="1" xr:uid="{00000000-0005-0000-0000-0000CF2A0000}"/>
    <cellStyle name="Output 3" xfId="8339" hidden="1" xr:uid="{00000000-0005-0000-0000-0000D02A0000}"/>
    <cellStyle name="Output 3" xfId="8372" hidden="1" xr:uid="{00000000-0005-0000-0000-0000D12A0000}"/>
    <cellStyle name="Output 3" xfId="8405" hidden="1" xr:uid="{00000000-0005-0000-0000-0000D22A0000}"/>
    <cellStyle name="Output 3" xfId="8442" hidden="1" xr:uid="{00000000-0005-0000-0000-0000D32A0000}"/>
    <cellStyle name="Output 3" xfId="8475" hidden="1" xr:uid="{00000000-0005-0000-0000-0000D42A0000}"/>
    <cellStyle name="Output 3" xfId="8507" hidden="1" xr:uid="{00000000-0005-0000-0000-0000D52A0000}"/>
    <cellStyle name="Output 3" xfId="8539" hidden="1" xr:uid="{00000000-0005-0000-0000-0000D62A0000}"/>
    <cellStyle name="Output 3" xfId="8572" hidden="1" xr:uid="{00000000-0005-0000-0000-0000D72A0000}"/>
    <cellStyle name="Output 3" xfId="8604" hidden="1" xr:uid="{00000000-0005-0000-0000-0000D82A0000}"/>
    <cellStyle name="Output 3" xfId="8637" hidden="1" xr:uid="{00000000-0005-0000-0000-0000D92A0000}"/>
    <cellStyle name="Output 3" xfId="8669" hidden="1" xr:uid="{00000000-0005-0000-0000-0000DA2A0000}"/>
    <cellStyle name="Output 3" xfId="8702" hidden="1" xr:uid="{00000000-0005-0000-0000-0000DB2A0000}"/>
    <cellStyle name="Output 3" xfId="8735" hidden="1" xr:uid="{00000000-0005-0000-0000-0000DC2A0000}"/>
    <cellStyle name="Output 3" xfId="8768" hidden="1" xr:uid="{00000000-0005-0000-0000-0000DD2A0000}"/>
    <cellStyle name="Output 3" xfId="8801" hidden="1" xr:uid="{00000000-0005-0000-0000-0000DE2A0000}"/>
    <cellStyle name="Output 3" xfId="8834" hidden="1" xr:uid="{00000000-0005-0000-0000-0000DF2A0000}"/>
    <cellStyle name="Output 3" xfId="8867" hidden="1" xr:uid="{00000000-0005-0000-0000-0000E02A0000}"/>
    <cellStyle name="Output 3" xfId="8907" hidden="1" xr:uid="{00000000-0005-0000-0000-0000E12A0000}"/>
    <cellStyle name="Output 3" xfId="8944" hidden="1" xr:uid="{00000000-0005-0000-0000-0000E22A0000}"/>
    <cellStyle name="Output 3" xfId="8977" hidden="1" xr:uid="{00000000-0005-0000-0000-0000E32A0000}"/>
    <cellStyle name="Output 3" xfId="9009" hidden="1" xr:uid="{00000000-0005-0000-0000-0000E42A0000}"/>
    <cellStyle name="Output 3" xfId="9041" hidden="1" xr:uid="{00000000-0005-0000-0000-0000E52A0000}"/>
    <cellStyle name="Output 3" xfId="9074" hidden="1" xr:uid="{00000000-0005-0000-0000-0000E62A0000}"/>
    <cellStyle name="Output 3" xfId="9106" hidden="1" xr:uid="{00000000-0005-0000-0000-0000E72A0000}"/>
    <cellStyle name="Output 3" xfId="9139" hidden="1" xr:uid="{00000000-0005-0000-0000-0000E82A0000}"/>
    <cellStyle name="Output 3" xfId="9171" hidden="1" xr:uid="{00000000-0005-0000-0000-0000E92A0000}"/>
    <cellStyle name="Output 3" xfId="9204" hidden="1" xr:uid="{00000000-0005-0000-0000-0000EA2A0000}"/>
    <cellStyle name="Output 3" xfId="9237" hidden="1" xr:uid="{00000000-0005-0000-0000-0000EB2A0000}"/>
    <cellStyle name="Output 3" xfId="9270" hidden="1" xr:uid="{00000000-0005-0000-0000-0000EC2A0000}"/>
    <cellStyle name="Output 3" xfId="9303" hidden="1" xr:uid="{00000000-0005-0000-0000-0000ED2A0000}"/>
    <cellStyle name="Output 3" xfId="9336" hidden="1" xr:uid="{00000000-0005-0000-0000-0000EE2A0000}"/>
    <cellStyle name="Output 3" xfId="9369" hidden="1" xr:uid="{00000000-0005-0000-0000-0000EF2A0000}"/>
    <cellStyle name="Output 3" xfId="9420" hidden="1" xr:uid="{00000000-0005-0000-0000-0000F02A0000}"/>
    <cellStyle name="Output 3" xfId="9457" hidden="1" xr:uid="{00000000-0005-0000-0000-0000F12A0000}"/>
    <cellStyle name="Output 3" xfId="9490" hidden="1" xr:uid="{00000000-0005-0000-0000-0000F22A0000}"/>
    <cellStyle name="Output 3" xfId="9522" hidden="1" xr:uid="{00000000-0005-0000-0000-0000F32A0000}"/>
    <cellStyle name="Output 3" xfId="9554" hidden="1" xr:uid="{00000000-0005-0000-0000-0000F42A0000}"/>
    <cellStyle name="Output 3" xfId="9587" hidden="1" xr:uid="{00000000-0005-0000-0000-0000F52A0000}"/>
    <cellStyle name="Output 3" xfId="9619" hidden="1" xr:uid="{00000000-0005-0000-0000-0000F62A0000}"/>
    <cellStyle name="Output 3" xfId="9652" hidden="1" xr:uid="{00000000-0005-0000-0000-0000F72A0000}"/>
    <cellStyle name="Output 3" xfId="9684" hidden="1" xr:uid="{00000000-0005-0000-0000-0000F82A0000}"/>
    <cellStyle name="Output 3" xfId="9717" hidden="1" xr:uid="{00000000-0005-0000-0000-0000F92A0000}"/>
    <cellStyle name="Output 3" xfId="9750" hidden="1" xr:uid="{00000000-0005-0000-0000-0000FA2A0000}"/>
    <cellStyle name="Output 3" xfId="9783" hidden="1" xr:uid="{00000000-0005-0000-0000-0000FB2A0000}"/>
    <cellStyle name="Output 3" xfId="9816" hidden="1" xr:uid="{00000000-0005-0000-0000-0000FC2A0000}"/>
    <cellStyle name="Output 3" xfId="9849" hidden="1" xr:uid="{00000000-0005-0000-0000-0000FD2A0000}"/>
    <cellStyle name="Output 3" xfId="9875" hidden="1" xr:uid="{00000000-0005-0000-0000-0000FE2A0000}"/>
    <cellStyle name="Output 3" xfId="9897" hidden="1" xr:uid="{00000000-0005-0000-0000-0000FF2A0000}"/>
    <cellStyle name="Output 3" xfId="9934" hidden="1" xr:uid="{00000000-0005-0000-0000-0000002B0000}"/>
    <cellStyle name="Output 3" xfId="9967" hidden="1" xr:uid="{00000000-0005-0000-0000-0000012B0000}"/>
    <cellStyle name="Output 3" xfId="9999" hidden="1" xr:uid="{00000000-0005-0000-0000-0000022B0000}"/>
    <cellStyle name="Output 3" xfId="10031" hidden="1" xr:uid="{00000000-0005-0000-0000-0000032B0000}"/>
    <cellStyle name="Output 3" xfId="10064" hidden="1" xr:uid="{00000000-0005-0000-0000-0000042B0000}"/>
    <cellStyle name="Output 3" xfId="10096" hidden="1" xr:uid="{00000000-0005-0000-0000-0000052B0000}"/>
    <cellStyle name="Output 3" xfId="10129" hidden="1" xr:uid="{00000000-0005-0000-0000-0000062B0000}"/>
    <cellStyle name="Output 3" xfId="10161" hidden="1" xr:uid="{00000000-0005-0000-0000-0000072B0000}"/>
    <cellStyle name="Output 3" xfId="10194" hidden="1" xr:uid="{00000000-0005-0000-0000-0000082B0000}"/>
    <cellStyle name="Output 3" xfId="10227" hidden="1" xr:uid="{00000000-0005-0000-0000-0000092B0000}"/>
    <cellStyle name="Output 3" xfId="10260" hidden="1" xr:uid="{00000000-0005-0000-0000-00000A2B0000}"/>
    <cellStyle name="Output 3" xfId="10293" hidden="1" xr:uid="{00000000-0005-0000-0000-00000B2B0000}"/>
    <cellStyle name="Output 3" xfId="10326" hidden="1" xr:uid="{00000000-0005-0000-0000-00000C2B0000}"/>
    <cellStyle name="Output 3" xfId="10352" hidden="1" xr:uid="{00000000-0005-0000-0000-00000D2B0000}"/>
    <cellStyle name="Output 3" xfId="10385" hidden="1" xr:uid="{00000000-0005-0000-0000-00000E2B0000}"/>
    <cellStyle name="Output 3" xfId="10422" hidden="1" xr:uid="{00000000-0005-0000-0000-00000F2B0000}"/>
    <cellStyle name="Output 3" xfId="10455" hidden="1" xr:uid="{00000000-0005-0000-0000-0000102B0000}"/>
    <cellStyle name="Output 3" xfId="10487" hidden="1" xr:uid="{00000000-0005-0000-0000-0000112B0000}"/>
    <cellStyle name="Output 3" xfId="10519" hidden="1" xr:uid="{00000000-0005-0000-0000-0000122B0000}"/>
    <cellStyle name="Output 3" xfId="10552" hidden="1" xr:uid="{00000000-0005-0000-0000-0000132B0000}"/>
    <cellStyle name="Output 3" xfId="10584" hidden="1" xr:uid="{00000000-0005-0000-0000-0000142B0000}"/>
    <cellStyle name="Output 3" xfId="10617" hidden="1" xr:uid="{00000000-0005-0000-0000-0000152B0000}"/>
    <cellStyle name="Output 3" xfId="10649" hidden="1" xr:uid="{00000000-0005-0000-0000-0000162B0000}"/>
    <cellStyle name="Output 3" xfId="10682" hidden="1" xr:uid="{00000000-0005-0000-0000-0000172B0000}"/>
    <cellStyle name="Output 3" xfId="10715" hidden="1" xr:uid="{00000000-0005-0000-0000-0000182B0000}"/>
    <cellStyle name="Output 3" xfId="10748" hidden="1" xr:uid="{00000000-0005-0000-0000-0000192B0000}"/>
    <cellStyle name="Output 3" xfId="10781" hidden="1" xr:uid="{00000000-0005-0000-0000-00001A2B0000}"/>
    <cellStyle name="Output 3" xfId="10814" hidden="1" xr:uid="{00000000-0005-0000-0000-00001B2B0000}"/>
    <cellStyle name="Output 3" xfId="10847" hidden="1" xr:uid="{00000000-0005-0000-0000-00001C2B0000}"/>
    <cellStyle name="Output 3" xfId="10898" hidden="1" xr:uid="{00000000-0005-0000-0000-00001D2B0000}"/>
    <cellStyle name="Output 3" xfId="10935" hidden="1" xr:uid="{00000000-0005-0000-0000-00001E2B0000}"/>
    <cellStyle name="Output 3" xfId="10968" hidden="1" xr:uid="{00000000-0005-0000-0000-00001F2B0000}"/>
    <cellStyle name="Output 3" xfId="11000" hidden="1" xr:uid="{00000000-0005-0000-0000-0000202B0000}"/>
    <cellStyle name="Output 3" xfId="11032" hidden="1" xr:uid="{00000000-0005-0000-0000-0000212B0000}"/>
    <cellStyle name="Output 3" xfId="11065" hidden="1" xr:uid="{00000000-0005-0000-0000-0000222B0000}"/>
    <cellStyle name="Output 3" xfId="11097" hidden="1" xr:uid="{00000000-0005-0000-0000-0000232B0000}"/>
    <cellStyle name="Output 3" xfId="11130" hidden="1" xr:uid="{00000000-0005-0000-0000-0000242B0000}"/>
    <cellStyle name="Output 3" xfId="11162" hidden="1" xr:uid="{00000000-0005-0000-0000-0000252B0000}"/>
    <cellStyle name="Output 3" xfId="11195" hidden="1" xr:uid="{00000000-0005-0000-0000-0000262B0000}"/>
    <cellStyle name="Output 3" xfId="11228" hidden="1" xr:uid="{00000000-0005-0000-0000-0000272B0000}"/>
    <cellStyle name="Output 3" xfId="11261" hidden="1" xr:uid="{00000000-0005-0000-0000-0000282B0000}"/>
    <cellStyle name="Output 3" xfId="11294" hidden="1" xr:uid="{00000000-0005-0000-0000-0000292B0000}"/>
    <cellStyle name="Output 3" xfId="11327" hidden="1" xr:uid="{00000000-0005-0000-0000-00002A2B0000}"/>
    <cellStyle name="Output 3" xfId="11353" hidden="1" xr:uid="{00000000-0005-0000-0000-00002B2B0000}"/>
    <cellStyle name="Output 3" xfId="11375" hidden="1" xr:uid="{00000000-0005-0000-0000-00002C2B0000}"/>
    <cellStyle name="Output 3" xfId="11412" hidden="1" xr:uid="{00000000-0005-0000-0000-00002D2B0000}"/>
    <cellStyle name="Output 3" xfId="11445" hidden="1" xr:uid="{00000000-0005-0000-0000-00002E2B0000}"/>
    <cellStyle name="Output 3" xfId="11477" hidden="1" xr:uid="{00000000-0005-0000-0000-00002F2B0000}"/>
    <cellStyle name="Output 3" xfId="11509" hidden="1" xr:uid="{00000000-0005-0000-0000-0000302B0000}"/>
    <cellStyle name="Output 3" xfId="11542" hidden="1" xr:uid="{00000000-0005-0000-0000-0000312B0000}"/>
    <cellStyle name="Output 3" xfId="11574" hidden="1" xr:uid="{00000000-0005-0000-0000-0000322B0000}"/>
    <cellStyle name="Output 3" xfId="11607" hidden="1" xr:uid="{00000000-0005-0000-0000-0000332B0000}"/>
    <cellStyle name="Output 3" xfId="11639" hidden="1" xr:uid="{00000000-0005-0000-0000-0000342B0000}"/>
    <cellStyle name="Output 3" xfId="11672" hidden="1" xr:uid="{00000000-0005-0000-0000-0000352B0000}"/>
    <cellStyle name="Output 3" xfId="11705" hidden="1" xr:uid="{00000000-0005-0000-0000-0000362B0000}"/>
    <cellStyle name="Output 3" xfId="11738" hidden="1" xr:uid="{00000000-0005-0000-0000-0000372B0000}"/>
    <cellStyle name="Output 3" xfId="11771" hidden="1" xr:uid="{00000000-0005-0000-0000-0000382B0000}"/>
    <cellStyle name="Output 3" xfId="11804" hidden="1" xr:uid="{00000000-0005-0000-0000-0000392B0000}"/>
    <cellStyle name="Output 3" xfId="11830" xr:uid="{00000000-0005-0000-0000-00003A2B0000}"/>
    <cellStyle name="Output 4" xfId="173" xr:uid="{00000000-0005-0000-0000-00003B2B0000}"/>
    <cellStyle name="Percent" xfId="1059" builtinId="5"/>
    <cellStyle name="Percent 10" xfId="1567" xr:uid="{00000000-0005-0000-0000-00003D2B0000}"/>
    <cellStyle name="Percent 11" xfId="2761" xr:uid="{00000000-0005-0000-0000-00003E2B0000}"/>
    <cellStyle name="Percent 12" xfId="1565" xr:uid="{00000000-0005-0000-0000-00003F2B0000}"/>
    <cellStyle name="Percent 2" xfId="175" xr:uid="{00000000-0005-0000-0000-0000402B0000}"/>
    <cellStyle name="Percent 2 2" xfId="1668" xr:uid="{00000000-0005-0000-0000-0000412B0000}"/>
    <cellStyle name="Percent 2 3" xfId="1669" xr:uid="{00000000-0005-0000-0000-0000422B0000}"/>
    <cellStyle name="Percent 2 4" xfId="1670" xr:uid="{00000000-0005-0000-0000-0000432B0000}"/>
    <cellStyle name="Percent 3" xfId="1671" xr:uid="{00000000-0005-0000-0000-0000442B0000}"/>
    <cellStyle name="Percent 4" xfId="1672" xr:uid="{00000000-0005-0000-0000-0000452B0000}"/>
    <cellStyle name="Percent 4 2" xfId="1673" xr:uid="{00000000-0005-0000-0000-0000462B0000}"/>
    <cellStyle name="Percent 5" xfId="1674" xr:uid="{00000000-0005-0000-0000-0000472B0000}"/>
    <cellStyle name="Percent 6" xfId="1675" xr:uid="{00000000-0005-0000-0000-0000482B0000}"/>
    <cellStyle name="Percent 7" xfId="1707" xr:uid="{00000000-0005-0000-0000-0000492B0000}"/>
    <cellStyle name="Percent 8" xfId="1711" xr:uid="{00000000-0005-0000-0000-00004A2B0000}"/>
    <cellStyle name="Percent 9" xfId="1715" xr:uid="{00000000-0005-0000-0000-00004B2B0000}"/>
    <cellStyle name="Porcentual 2" xfId="176" xr:uid="{00000000-0005-0000-0000-00004C2B0000}"/>
    <cellStyle name="Porcentual 2 2" xfId="177" xr:uid="{00000000-0005-0000-0000-00004D2B0000}"/>
    <cellStyle name="procent 2" xfId="1676" xr:uid="{00000000-0005-0000-0000-00004E2B0000}"/>
    <cellStyle name="Prozent 2" xfId="178" xr:uid="{00000000-0005-0000-0000-00004F2B0000}"/>
    <cellStyle name="Rossz" xfId="179" xr:uid="{00000000-0005-0000-0000-0000502B0000}"/>
    <cellStyle name="Salida" xfId="180" xr:uid="{00000000-0005-0000-0000-0000512B0000}"/>
    <cellStyle name="Semleges" xfId="181" xr:uid="{00000000-0005-0000-0000-0000522B0000}"/>
    <cellStyle name="showExposure" xfId="182" xr:uid="{00000000-0005-0000-0000-0000532B0000}"/>
    <cellStyle name="smItem" xfId="1677" xr:uid="{00000000-0005-0000-0000-0000542B0000}"/>
    <cellStyle name="smItem 10" xfId="1678" xr:uid="{00000000-0005-0000-0000-0000552B0000}"/>
    <cellStyle name="smItem 11" xfId="1679" xr:uid="{00000000-0005-0000-0000-0000562B0000}"/>
    <cellStyle name="smItem 12" xfId="1680" xr:uid="{00000000-0005-0000-0000-0000572B0000}"/>
    <cellStyle name="smItem 13" xfId="1681" xr:uid="{00000000-0005-0000-0000-0000582B0000}"/>
    <cellStyle name="smItem 14" xfId="1682" xr:uid="{00000000-0005-0000-0000-0000592B0000}"/>
    <cellStyle name="smItem 15" xfId="1683" xr:uid="{00000000-0005-0000-0000-00005A2B0000}"/>
    <cellStyle name="smItem 16" xfId="1706" xr:uid="{00000000-0005-0000-0000-00005B2B0000}"/>
    <cellStyle name="smItem 2" xfId="1684" xr:uid="{00000000-0005-0000-0000-00005C2B0000}"/>
    <cellStyle name="smItem 2 10" xfId="1685" xr:uid="{00000000-0005-0000-0000-00005D2B0000}"/>
    <cellStyle name="smItem 2 2" xfId="1686" xr:uid="{00000000-0005-0000-0000-00005E2B0000}"/>
    <cellStyle name="smItem 2 3" xfId="1687" xr:uid="{00000000-0005-0000-0000-00005F2B0000}"/>
    <cellStyle name="smItem 2 4" xfId="1688" xr:uid="{00000000-0005-0000-0000-0000602B0000}"/>
    <cellStyle name="smItem 2 5" xfId="1689" xr:uid="{00000000-0005-0000-0000-0000612B0000}"/>
    <cellStyle name="smItem 2 6" xfId="1690" xr:uid="{00000000-0005-0000-0000-0000622B0000}"/>
    <cellStyle name="smItem 2 7" xfId="1691" xr:uid="{00000000-0005-0000-0000-0000632B0000}"/>
    <cellStyle name="smItem 2 8" xfId="1692" xr:uid="{00000000-0005-0000-0000-0000642B0000}"/>
    <cellStyle name="smItem 2 9" xfId="1693" xr:uid="{00000000-0005-0000-0000-0000652B0000}"/>
    <cellStyle name="smItem 3" xfId="1694" xr:uid="{00000000-0005-0000-0000-0000662B0000}"/>
    <cellStyle name="smItem 4" xfId="1695" xr:uid="{00000000-0005-0000-0000-0000672B0000}"/>
    <cellStyle name="smItem 5" xfId="1696" xr:uid="{00000000-0005-0000-0000-0000682B0000}"/>
    <cellStyle name="smItem 6" xfId="1697" xr:uid="{00000000-0005-0000-0000-0000692B0000}"/>
    <cellStyle name="smItem 7" xfId="1698" xr:uid="{00000000-0005-0000-0000-00006A2B0000}"/>
    <cellStyle name="smItem 8" xfId="1699" xr:uid="{00000000-0005-0000-0000-00006B2B0000}"/>
    <cellStyle name="smItem 9" xfId="1700" xr:uid="{00000000-0005-0000-0000-00006C2B0000}"/>
    <cellStyle name="Standard 2" xfId="183" xr:uid="{00000000-0005-0000-0000-00006D2B0000}"/>
    <cellStyle name="Standard 3" xfId="184" xr:uid="{00000000-0005-0000-0000-00006E2B0000}"/>
    <cellStyle name="Standard 3 2" xfId="185" xr:uid="{00000000-0005-0000-0000-00006F2B0000}"/>
    <cellStyle name="Standard 4" xfId="186" xr:uid="{00000000-0005-0000-0000-0000702B0000}"/>
    <cellStyle name="Számítás" xfId="187" xr:uid="{00000000-0005-0000-0000-0000712B0000}"/>
    <cellStyle name="Texto de advertencia" xfId="188" xr:uid="{00000000-0005-0000-0000-0000722B0000}"/>
    <cellStyle name="Texto explicativo" xfId="189" xr:uid="{00000000-0005-0000-0000-0000732B0000}"/>
    <cellStyle name="Title 2" xfId="190" xr:uid="{00000000-0005-0000-0000-0000742B0000}"/>
    <cellStyle name="Title 2 2" xfId="1701" xr:uid="{00000000-0005-0000-0000-0000752B0000}"/>
    <cellStyle name="Title 2 3" xfId="2762" xr:uid="{00000000-0005-0000-0000-0000762B0000}"/>
    <cellStyle name="Title 3" xfId="199" hidden="1" xr:uid="{00000000-0005-0000-0000-0000772B0000}"/>
    <cellStyle name="Title 3" xfId="258" hidden="1" xr:uid="{00000000-0005-0000-0000-0000782B0000}"/>
    <cellStyle name="Title 3" xfId="291" hidden="1" xr:uid="{00000000-0005-0000-0000-0000792B0000}"/>
    <cellStyle name="Title 3" xfId="324" hidden="1" xr:uid="{00000000-0005-0000-0000-00007A2B0000}"/>
    <cellStyle name="Title 3" xfId="357" hidden="1" xr:uid="{00000000-0005-0000-0000-00007B2B0000}"/>
    <cellStyle name="Title 3" xfId="391" hidden="1" xr:uid="{00000000-0005-0000-0000-00007C2B0000}"/>
    <cellStyle name="Title 3" xfId="424" hidden="1" xr:uid="{00000000-0005-0000-0000-00007D2B0000}"/>
    <cellStyle name="Title 3" xfId="457" hidden="1" xr:uid="{00000000-0005-0000-0000-00007E2B0000}"/>
    <cellStyle name="Title 3" xfId="490" hidden="1" xr:uid="{00000000-0005-0000-0000-00007F2B0000}"/>
    <cellStyle name="Title 3" xfId="523" hidden="1" xr:uid="{00000000-0005-0000-0000-0000802B0000}"/>
    <cellStyle name="Title 3" xfId="556" hidden="1" xr:uid="{00000000-0005-0000-0000-0000812B0000}"/>
    <cellStyle name="Title 3" xfId="589" hidden="1" xr:uid="{00000000-0005-0000-0000-0000822B0000}"/>
    <cellStyle name="Title 3" xfId="626" hidden="1" xr:uid="{00000000-0005-0000-0000-0000832B0000}"/>
    <cellStyle name="Title 3" xfId="659" hidden="1" xr:uid="{00000000-0005-0000-0000-0000842B0000}"/>
    <cellStyle name="Title 3" xfId="691" hidden="1" xr:uid="{00000000-0005-0000-0000-0000852B0000}"/>
    <cellStyle name="Title 3" xfId="723" hidden="1" xr:uid="{00000000-0005-0000-0000-0000862B0000}"/>
    <cellStyle name="Title 3" xfId="756" hidden="1" xr:uid="{00000000-0005-0000-0000-0000872B0000}"/>
    <cellStyle name="Title 3" xfId="788" hidden="1" xr:uid="{00000000-0005-0000-0000-0000882B0000}"/>
    <cellStyle name="Title 3" xfId="821" hidden="1" xr:uid="{00000000-0005-0000-0000-0000892B0000}"/>
    <cellStyle name="Title 3" xfId="853" hidden="1" xr:uid="{00000000-0005-0000-0000-00008A2B0000}"/>
    <cellStyle name="Title 3" xfId="886" hidden="1" xr:uid="{00000000-0005-0000-0000-00008B2B0000}"/>
    <cellStyle name="Title 3" xfId="919" hidden="1" xr:uid="{00000000-0005-0000-0000-00008C2B0000}"/>
    <cellStyle name="Title 3" xfId="952" hidden="1" xr:uid="{00000000-0005-0000-0000-00008D2B0000}"/>
    <cellStyle name="Title 3" xfId="985" hidden="1" xr:uid="{00000000-0005-0000-0000-00008E2B0000}"/>
    <cellStyle name="Title 3" xfId="1018" hidden="1" xr:uid="{00000000-0005-0000-0000-00008F2B0000}"/>
    <cellStyle name="Title 3" xfId="1051" hidden="1" xr:uid="{00000000-0005-0000-0000-0000902B0000}"/>
    <cellStyle name="Title 3" xfId="1094" hidden="1" xr:uid="{00000000-0005-0000-0000-0000912B0000}"/>
    <cellStyle name="Title 3" xfId="1132" hidden="1" xr:uid="{00000000-0005-0000-0000-0000922B0000}"/>
    <cellStyle name="Title 3" xfId="1165" hidden="1" xr:uid="{00000000-0005-0000-0000-0000932B0000}"/>
    <cellStyle name="Title 3" xfId="1197" hidden="1" xr:uid="{00000000-0005-0000-0000-0000942B0000}"/>
    <cellStyle name="Title 3" xfId="1229" hidden="1" xr:uid="{00000000-0005-0000-0000-0000952B0000}"/>
    <cellStyle name="Title 3" xfId="1262" hidden="1" xr:uid="{00000000-0005-0000-0000-0000962B0000}"/>
    <cellStyle name="Title 3" xfId="1294" hidden="1" xr:uid="{00000000-0005-0000-0000-0000972B0000}"/>
    <cellStyle name="Title 3" xfId="1327" hidden="1" xr:uid="{00000000-0005-0000-0000-0000982B0000}"/>
    <cellStyle name="Title 3" xfId="1359" hidden="1" xr:uid="{00000000-0005-0000-0000-0000992B0000}"/>
    <cellStyle name="Title 3" xfId="1392" hidden="1" xr:uid="{00000000-0005-0000-0000-00009A2B0000}"/>
    <cellStyle name="Title 3" xfId="1425" hidden="1" xr:uid="{00000000-0005-0000-0000-00009B2B0000}"/>
    <cellStyle name="Title 3" xfId="1458" hidden="1" xr:uid="{00000000-0005-0000-0000-00009C2B0000}"/>
    <cellStyle name="Title 3" xfId="1491" hidden="1" xr:uid="{00000000-0005-0000-0000-00009D2B0000}"/>
    <cellStyle name="Title 3" xfId="1524" hidden="1" xr:uid="{00000000-0005-0000-0000-00009E2B0000}"/>
    <cellStyle name="Title 3" xfId="1557" hidden="1" xr:uid="{00000000-0005-0000-0000-00009F2B0000}"/>
    <cellStyle name="Title 3" xfId="1771" hidden="1" xr:uid="{00000000-0005-0000-0000-0000A02B0000}"/>
    <cellStyle name="Title 3" xfId="1808" hidden="1" xr:uid="{00000000-0005-0000-0000-0000A12B0000}"/>
    <cellStyle name="Title 3" xfId="1841" hidden="1" xr:uid="{00000000-0005-0000-0000-0000A22B0000}"/>
    <cellStyle name="Title 3" xfId="1873" hidden="1" xr:uid="{00000000-0005-0000-0000-0000A32B0000}"/>
    <cellStyle name="Title 3" xfId="1905" hidden="1" xr:uid="{00000000-0005-0000-0000-0000A42B0000}"/>
    <cellStyle name="Title 3" xfId="1938" hidden="1" xr:uid="{00000000-0005-0000-0000-0000A52B0000}"/>
    <cellStyle name="Title 3" xfId="1970" hidden="1" xr:uid="{00000000-0005-0000-0000-0000A62B0000}"/>
    <cellStyle name="Title 3" xfId="2003" hidden="1" xr:uid="{00000000-0005-0000-0000-0000A72B0000}"/>
    <cellStyle name="Title 3" xfId="2035" hidden="1" xr:uid="{00000000-0005-0000-0000-0000A82B0000}"/>
    <cellStyle name="Title 3" xfId="2068" hidden="1" xr:uid="{00000000-0005-0000-0000-0000A92B0000}"/>
    <cellStyle name="Title 3" xfId="2101" hidden="1" xr:uid="{00000000-0005-0000-0000-0000AA2B0000}"/>
    <cellStyle name="Title 3" xfId="2134" hidden="1" xr:uid="{00000000-0005-0000-0000-0000AB2B0000}"/>
    <cellStyle name="Title 3" xfId="2167" hidden="1" xr:uid="{00000000-0005-0000-0000-0000AC2B0000}"/>
    <cellStyle name="Title 3" xfId="2200" hidden="1" xr:uid="{00000000-0005-0000-0000-0000AD2B0000}"/>
    <cellStyle name="Title 3" xfId="1744" hidden="1" xr:uid="{00000000-0005-0000-0000-0000AE2B0000}"/>
    <cellStyle name="Title 3" xfId="2248" hidden="1" xr:uid="{00000000-0005-0000-0000-0000AF2B0000}"/>
    <cellStyle name="Title 3" xfId="2285" hidden="1" xr:uid="{00000000-0005-0000-0000-0000B02B0000}"/>
    <cellStyle name="Title 3" xfId="2318" hidden="1" xr:uid="{00000000-0005-0000-0000-0000B12B0000}"/>
    <cellStyle name="Title 3" xfId="2350" hidden="1" xr:uid="{00000000-0005-0000-0000-0000B22B0000}"/>
    <cellStyle name="Title 3" xfId="2382" hidden="1" xr:uid="{00000000-0005-0000-0000-0000B32B0000}"/>
    <cellStyle name="Title 3" xfId="2415" hidden="1" xr:uid="{00000000-0005-0000-0000-0000B42B0000}"/>
    <cellStyle name="Title 3" xfId="2447" hidden="1" xr:uid="{00000000-0005-0000-0000-0000B52B0000}"/>
    <cellStyle name="Title 3" xfId="2480" hidden="1" xr:uid="{00000000-0005-0000-0000-0000B62B0000}"/>
    <cellStyle name="Title 3" xfId="2512" hidden="1" xr:uid="{00000000-0005-0000-0000-0000B72B0000}"/>
    <cellStyle name="Title 3" xfId="2545" hidden="1" xr:uid="{00000000-0005-0000-0000-0000B82B0000}"/>
    <cellStyle name="Title 3" xfId="2578" hidden="1" xr:uid="{00000000-0005-0000-0000-0000B92B0000}"/>
    <cellStyle name="Title 3" xfId="2611" hidden="1" xr:uid="{00000000-0005-0000-0000-0000BA2B0000}"/>
    <cellStyle name="Title 3" xfId="2644" hidden="1" xr:uid="{00000000-0005-0000-0000-0000BB2B0000}"/>
    <cellStyle name="Title 3" xfId="2677" hidden="1" xr:uid="{00000000-0005-0000-0000-0000BC2B0000}"/>
    <cellStyle name="Title 3" xfId="1067" hidden="1" xr:uid="{00000000-0005-0000-0000-0000BD2B0000}"/>
    <cellStyle name="Title 3" xfId="2791" hidden="1" xr:uid="{00000000-0005-0000-0000-0000BE2B0000}"/>
    <cellStyle name="Title 3" xfId="2828" hidden="1" xr:uid="{00000000-0005-0000-0000-0000BF2B0000}"/>
    <cellStyle name="Title 3" xfId="2861" hidden="1" xr:uid="{00000000-0005-0000-0000-0000C02B0000}"/>
    <cellStyle name="Title 3" xfId="2893" hidden="1" xr:uid="{00000000-0005-0000-0000-0000C12B0000}"/>
    <cellStyle name="Title 3" xfId="2925" hidden="1" xr:uid="{00000000-0005-0000-0000-0000C22B0000}"/>
    <cellStyle name="Title 3" xfId="2958" hidden="1" xr:uid="{00000000-0005-0000-0000-0000C32B0000}"/>
    <cellStyle name="Title 3" xfId="2990" hidden="1" xr:uid="{00000000-0005-0000-0000-0000C42B0000}"/>
    <cellStyle name="Title 3" xfId="3023" hidden="1" xr:uid="{00000000-0005-0000-0000-0000C52B0000}"/>
    <cellStyle name="Title 3" xfId="3055" hidden="1" xr:uid="{00000000-0005-0000-0000-0000C62B0000}"/>
    <cellStyle name="Title 3" xfId="3088" hidden="1" xr:uid="{00000000-0005-0000-0000-0000C72B0000}"/>
    <cellStyle name="Title 3" xfId="3121" hidden="1" xr:uid="{00000000-0005-0000-0000-0000C82B0000}"/>
    <cellStyle name="Title 3" xfId="3154" hidden="1" xr:uid="{00000000-0005-0000-0000-0000C92B0000}"/>
    <cellStyle name="Title 3" xfId="3187" hidden="1" xr:uid="{00000000-0005-0000-0000-0000CA2B0000}"/>
    <cellStyle name="Title 3" xfId="3220" hidden="1" xr:uid="{00000000-0005-0000-0000-0000CB2B0000}"/>
    <cellStyle name="Title 3" xfId="3253" hidden="1" xr:uid="{00000000-0005-0000-0000-0000CC2B0000}"/>
    <cellStyle name="Title 3" xfId="3304" hidden="1" xr:uid="{00000000-0005-0000-0000-0000CD2B0000}"/>
    <cellStyle name="Title 3" xfId="3341" hidden="1" xr:uid="{00000000-0005-0000-0000-0000CE2B0000}"/>
    <cellStyle name="Title 3" xfId="3374" hidden="1" xr:uid="{00000000-0005-0000-0000-0000CF2B0000}"/>
    <cellStyle name="Title 3" xfId="3406" hidden="1" xr:uid="{00000000-0005-0000-0000-0000D02B0000}"/>
    <cellStyle name="Title 3" xfId="3438" hidden="1" xr:uid="{00000000-0005-0000-0000-0000D12B0000}"/>
    <cellStyle name="Title 3" xfId="3471" hidden="1" xr:uid="{00000000-0005-0000-0000-0000D22B0000}"/>
    <cellStyle name="Title 3" xfId="3503" hidden="1" xr:uid="{00000000-0005-0000-0000-0000D32B0000}"/>
    <cellStyle name="Title 3" xfId="3536" hidden="1" xr:uid="{00000000-0005-0000-0000-0000D42B0000}"/>
    <cellStyle name="Title 3" xfId="3568" hidden="1" xr:uid="{00000000-0005-0000-0000-0000D52B0000}"/>
    <cellStyle name="Title 3" xfId="3601" hidden="1" xr:uid="{00000000-0005-0000-0000-0000D62B0000}"/>
    <cellStyle name="Title 3" xfId="3634" hidden="1" xr:uid="{00000000-0005-0000-0000-0000D72B0000}"/>
    <cellStyle name="Title 3" xfId="3667" hidden="1" xr:uid="{00000000-0005-0000-0000-0000D82B0000}"/>
    <cellStyle name="Title 3" xfId="3700" hidden="1" xr:uid="{00000000-0005-0000-0000-0000D92B0000}"/>
    <cellStyle name="Title 3" xfId="3733" hidden="1" xr:uid="{00000000-0005-0000-0000-0000DA2B0000}"/>
    <cellStyle name="Title 3" xfId="3277" hidden="1" xr:uid="{00000000-0005-0000-0000-0000DB2B0000}"/>
    <cellStyle name="Title 3" xfId="3781" hidden="1" xr:uid="{00000000-0005-0000-0000-0000DC2B0000}"/>
    <cellStyle name="Title 3" xfId="3818" hidden="1" xr:uid="{00000000-0005-0000-0000-0000DD2B0000}"/>
    <cellStyle name="Title 3" xfId="3851" hidden="1" xr:uid="{00000000-0005-0000-0000-0000DE2B0000}"/>
    <cellStyle name="Title 3" xfId="3883" hidden="1" xr:uid="{00000000-0005-0000-0000-0000DF2B0000}"/>
    <cellStyle name="Title 3" xfId="3915" hidden="1" xr:uid="{00000000-0005-0000-0000-0000E02B0000}"/>
    <cellStyle name="Title 3" xfId="3948" hidden="1" xr:uid="{00000000-0005-0000-0000-0000E12B0000}"/>
    <cellStyle name="Title 3" xfId="3980" hidden="1" xr:uid="{00000000-0005-0000-0000-0000E22B0000}"/>
    <cellStyle name="Title 3" xfId="4013" hidden="1" xr:uid="{00000000-0005-0000-0000-0000E32B0000}"/>
    <cellStyle name="Title 3" xfId="4045" hidden="1" xr:uid="{00000000-0005-0000-0000-0000E42B0000}"/>
    <cellStyle name="Title 3" xfId="4078" hidden="1" xr:uid="{00000000-0005-0000-0000-0000E52B0000}"/>
    <cellStyle name="Title 3" xfId="4111" hidden="1" xr:uid="{00000000-0005-0000-0000-0000E62B0000}"/>
    <cellStyle name="Title 3" xfId="4144" hidden="1" xr:uid="{00000000-0005-0000-0000-0000E72B0000}"/>
    <cellStyle name="Title 3" xfId="4177" hidden="1" xr:uid="{00000000-0005-0000-0000-0000E82B0000}"/>
    <cellStyle name="Title 3" xfId="4210" hidden="1" xr:uid="{00000000-0005-0000-0000-0000E92B0000}"/>
    <cellStyle name="Title 3" xfId="4355" hidden="1" xr:uid="{00000000-0005-0000-0000-0000EA2B0000}"/>
    <cellStyle name="Title 3" xfId="4410" hidden="1" xr:uid="{00000000-0005-0000-0000-0000EB2B0000}"/>
    <cellStyle name="Title 3" xfId="4443" hidden="1" xr:uid="{00000000-0005-0000-0000-0000EC2B0000}"/>
    <cellStyle name="Title 3" xfId="4476" hidden="1" xr:uid="{00000000-0005-0000-0000-0000ED2B0000}"/>
    <cellStyle name="Title 3" xfId="4509" hidden="1" xr:uid="{00000000-0005-0000-0000-0000EE2B0000}"/>
    <cellStyle name="Title 3" xfId="4542" hidden="1" xr:uid="{00000000-0005-0000-0000-0000EF2B0000}"/>
    <cellStyle name="Title 3" xfId="4575" hidden="1" xr:uid="{00000000-0005-0000-0000-0000F02B0000}"/>
    <cellStyle name="Title 3" xfId="4608" hidden="1" xr:uid="{00000000-0005-0000-0000-0000F12B0000}"/>
    <cellStyle name="Title 3" xfId="4641" hidden="1" xr:uid="{00000000-0005-0000-0000-0000F22B0000}"/>
    <cellStyle name="Title 3" xfId="4674" hidden="1" xr:uid="{00000000-0005-0000-0000-0000F32B0000}"/>
    <cellStyle name="Title 3" xfId="4707" hidden="1" xr:uid="{00000000-0005-0000-0000-0000F42B0000}"/>
    <cellStyle name="Title 3" xfId="4740" hidden="1" xr:uid="{00000000-0005-0000-0000-0000F52B0000}"/>
    <cellStyle name="Title 3" xfId="4777" hidden="1" xr:uid="{00000000-0005-0000-0000-0000F62B0000}"/>
    <cellStyle name="Title 3" xfId="4810" hidden="1" xr:uid="{00000000-0005-0000-0000-0000F72B0000}"/>
    <cellStyle name="Title 3" xfId="4842" hidden="1" xr:uid="{00000000-0005-0000-0000-0000F82B0000}"/>
    <cellStyle name="Title 3" xfId="4874" hidden="1" xr:uid="{00000000-0005-0000-0000-0000F92B0000}"/>
    <cellStyle name="Title 3" xfId="4907" hidden="1" xr:uid="{00000000-0005-0000-0000-0000FA2B0000}"/>
    <cellStyle name="Title 3" xfId="4939" hidden="1" xr:uid="{00000000-0005-0000-0000-0000FB2B0000}"/>
    <cellStyle name="Title 3" xfId="4972" hidden="1" xr:uid="{00000000-0005-0000-0000-0000FC2B0000}"/>
    <cellStyle name="Title 3" xfId="5004" hidden="1" xr:uid="{00000000-0005-0000-0000-0000FD2B0000}"/>
    <cellStyle name="Title 3" xfId="5037" hidden="1" xr:uid="{00000000-0005-0000-0000-0000FE2B0000}"/>
    <cellStyle name="Title 3" xfId="5070" hidden="1" xr:uid="{00000000-0005-0000-0000-0000FF2B0000}"/>
    <cellStyle name="Title 3" xfId="5103" hidden="1" xr:uid="{00000000-0005-0000-0000-0000002C0000}"/>
    <cellStyle name="Title 3" xfId="5136" hidden="1" xr:uid="{00000000-0005-0000-0000-0000012C0000}"/>
    <cellStyle name="Title 3" xfId="5169" hidden="1" xr:uid="{00000000-0005-0000-0000-0000022C0000}"/>
    <cellStyle name="Title 3" xfId="5202" hidden="1" xr:uid="{00000000-0005-0000-0000-0000032C0000}"/>
    <cellStyle name="Title 3" xfId="5243" hidden="1" xr:uid="{00000000-0005-0000-0000-0000042C0000}"/>
    <cellStyle name="Title 3" xfId="5280" hidden="1" xr:uid="{00000000-0005-0000-0000-0000052C0000}"/>
    <cellStyle name="Title 3" xfId="5313" hidden="1" xr:uid="{00000000-0005-0000-0000-0000062C0000}"/>
    <cellStyle name="Title 3" xfId="5345" hidden="1" xr:uid="{00000000-0005-0000-0000-0000072C0000}"/>
    <cellStyle name="Title 3" xfId="5377" hidden="1" xr:uid="{00000000-0005-0000-0000-0000082C0000}"/>
    <cellStyle name="Title 3" xfId="5410" hidden="1" xr:uid="{00000000-0005-0000-0000-0000092C0000}"/>
    <cellStyle name="Title 3" xfId="5442" hidden="1" xr:uid="{00000000-0005-0000-0000-00000A2C0000}"/>
    <cellStyle name="Title 3" xfId="5475" hidden="1" xr:uid="{00000000-0005-0000-0000-00000B2C0000}"/>
    <cellStyle name="Title 3" xfId="5507" hidden="1" xr:uid="{00000000-0005-0000-0000-00000C2C0000}"/>
    <cellStyle name="Title 3" xfId="5540" hidden="1" xr:uid="{00000000-0005-0000-0000-00000D2C0000}"/>
    <cellStyle name="Title 3" xfId="5573" hidden="1" xr:uid="{00000000-0005-0000-0000-00000E2C0000}"/>
    <cellStyle name="Title 3" xfId="5606" hidden="1" xr:uid="{00000000-0005-0000-0000-00000F2C0000}"/>
    <cellStyle name="Title 3" xfId="5639" hidden="1" xr:uid="{00000000-0005-0000-0000-0000102C0000}"/>
    <cellStyle name="Title 3" xfId="5672" hidden="1" xr:uid="{00000000-0005-0000-0000-0000112C0000}"/>
    <cellStyle name="Title 3" xfId="5705" hidden="1" xr:uid="{00000000-0005-0000-0000-0000122C0000}"/>
    <cellStyle name="Title 3" xfId="5809" hidden="1" xr:uid="{00000000-0005-0000-0000-0000132C0000}"/>
    <cellStyle name="Title 3" xfId="5846" hidden="1" xr:uid="{00000000-0005-0000-0000-0000142C0000}"/>
    <cellStyle name="Title 3" xfId="5879" hidden="1" xr:uid="{00000000-0005-0000-0000-0000152C0000}"/>
    <cellStyle name="Title 3" xfId="5911" hidden="1" xr:uid="{00000000-0005-0000-0000-0000162C0000}"/>
    <cellStyle name="Title 3" xfId="5943" hidden="1" xr:uid="{00000000-0005-0000-0000-0000172C0000}"/>
    <cellStyle name="Title 3" xfId="5976" hidden="1" xr:uid="{00000000-0005-0000-0000-0000182C0000}"/>
    <cellStyle name="Title 3" xfId="6008" hidden="1" xr:uid="{00000000-0005-0000-0000-0000192C0000}"/>
    <cellStyle name="Title 3" xfId="6041" hidden="1" xr:uid="{00000000-0005-0000-0000-00001A2C0000}"/>
    <cellStyle name="Title 3" xfId="6073" hidden="1" xr:uid="{00000000-0005-0000-0000-00001B2C0000}"/>
    <cellStyle name="Title 3" xfId="6106" hidden="1" xr:uid="{00000000-0005-0000-0000-00001C2C0000}"/>
    <cellStyle name="Title 3" xfId="6139" hidden="1" xr:uid="{00000000-0005-0000-0000-00001D2C0000}"/>
    <cellStyle name="Title 3" xfId="6172" hidden="1" xr:uid="{00000000-0005-0000-0000-00001E2C0000}"/>
    <cellStyle name="Title 3" xfId="6205" hidden="1" xr:uid="{00000000-0005-0000-0000-00001F2C0000}"/>
    <cellStyle name="Title 3" xfId="6238" hidden="1" xr:uid="{00000000-0005-0000-0000-0000202C0000}"/>
    <cellStyle name="Title 3" xfId="5782" hidden="1" xr:uid="{00000000-0005-0000-0000-0000212C0000}"/>
    <cellStyle name="Title 3" xfId="6286" hidden="1" xr:uid="{00000000-0005-0000-0000-0000222C0000}"/>
    <cellStyle name="Title 3" xfId="6323" hidden="1" xr:uid="{00000000-0005-0000-0000-0000232C0000}"/>
    <cellStyle name="Title 3" xfId="6356" hidden="1" xr:uid="{00000000-0005-0000-0000-0000242C0000}"/>
    <cellStyle name="Title 3" xfId="6388" hidden="1" xr:uid="{00000000-0005-0000-0000-0000252C0000}"/>
    <cellStyle name="Title 3" xfId="6420" hidden="1" xr:uid="{00000000-0005-0000-0000-0000262C0000}"/>
    <cellStyle name="Title 3" xfId="6453" hidden="1" xr:uid="{00000000-0005-0000-0000-0000272C0000}"/>
    <cellStyle name="Title 3" xfId="6485" hidden="1" xr:uid="{00000000-0005-0000-0000-0000282C0000}"/>
    <cellStyle name="Title 3" xfId="6518" hidden="1" xr:uid="{00000000-0005-0000-0000-0000292C0000}"/>
    <cellStyle name="Title 3" xfId="6550" hidden="1" xr:uid="{00000000-0005-0000-0000-00002A2C0000}"/>
    <cellStyle name="Title 3" xfId="6583" hidden="1" xr:uid="{00000000-0005-0000-0000-00002B2C0000}"/>
    <cellStyle name="Title 3" xfId="6616" hidden="1" xr:uid="{00000000-0005-0000-0000-00002C2C0000}"/>
    <cellStyle name="Title 3" xfId="6649" hidden="1" xr:uid="{00000000-0005-0000-0000-00002D2C0000}"/>
    <cellStyle name="Title 3" xfId="6682" hidden="1" xr:uid="{00000000-0005-0000-0000-00002E2C0000}"/>
    <cellStyle name="Title 3" xfId="6715" hidden="1" xr:uid="{00000000-0005-0000-0000-00002F2C0000}"/>
    <cellStyle name="Title 3" xfId="5216" hidden="1" xr:uid="{00000000-0005-0000-0000-0000302C0000}"/>
    <cellStyle name="Title 3" xfId="6805" hidden="1" xr:uid="{00000000-0005-0000-0000-0000312C0000}"/>
    <cellStyle name="Title 3" xfId="6842" hidden="1" xr:uid="{00000000-0005-0000-0000-0000322C0000}"/>
    <cellStyle name="Title 3" xfId="6875" hidden="1" xr:uid="{00000000-0005-0000-0000-0000332C0000}"/>
    <cellStyle name="Title 3" xfId="6907" hidden="1" xr:uid="{00000000-0005-0000-0000-0000342C0000}"/>
    <cellStyle name="Title 3" xfId="6939" hidden="1" xr:uid="{00000000-0005-0000-0000-0000352C0000}"/>
    <cellStyle name="Title 3" xfId="6972" hidden="1" xr:uid="{00000000-0005-0000-0000-0000362C0000}"/>
    <cellStyle name="Title 3" xfId="7004" hidden="1" xr:uid="{00000000-0005-0000-0000-0000372C0000}"/>
    <cellStyle name="Title 3" xfId="7037" hidden="1" xr:uid="{00000000-0005-0000-0000-0000382C0000}"/>
    <cellStyle name="Title 3" xfId="7069" hidden="1" xr:uid="{00000000-0005-0000-0000-0000392C0000}"/>
    <cellStyle name="Title 3" xfId="7102" hidden="1" xr:uid="{00000000-0005-0000-0000-00003A2C0000}"/>
    <cellStyle name="Title 3" xfId="7135" hidden="1" xr:uid="{00000000-0005-0000-0000-00003B2C0000}"/>
    <cellStyle name="Title 3" xfId="7168" hidden="1" xr:uid="{00000000-0005-0000-0000-00003C2C0000}"/>
    <cellStyle name="Title 3" xfId="7201" hidden="1" xr:uid="{00000000-0005-0000-0000-00003D2C0000}"/>
    <cellStyle name="Title 3" xfId="7234" hidden="1" xr:uid="{00000000-0005-0000-0000-00003E2C0000}"/>
    <cellStyle name="Title 3" xfId="7267" hidden="1" xr:uid="{00000000-0005-0000-0000-00003F2C0000}"/>
    <cellStyle name="Title 3" xfId="7318" hidden="1" xr:uid="{00000000-0005-0000-0000-0000402C0000}"/>
    <cellStyle name="Title 3" xfId="7355" hidden="1" xr:uid="{00000000-0005-0000-0000-0000412C0000}"/>
    <cellStyle name="Title 3" xfId="7388" hidden="1" xr:uid="{00000000-0005-0000-0000-0000422C0000}"/>
    <cellStyle name="Title 3" xfId="7420" hidden="1" xr:uid="{00000000-0005-0000-0000-0000432C0000}"/>
    <cellStyle name="Title 3" xfId="7452" hidden="1" xr:uid="{00000000-0005-0000-0000-0000442C0000}"/>
    <cellStyle name="Title 3" xfId="7485" hidden="1" xr:uid="{00000000-0005-0000-0000-0000452C0000}"/>
    <cellStyle name="Title 3" xfId="7517" hidden="1" xr:uid="{00000000-0005-0000-0000-0000462C0000}"/>
    <cellStyle name="Title 3" xfId="7550" hidden="1" xr:uid="{00000000-0005-0000-0000-0000472C0000}"/>
    <cellStyle name="Title 3" xfId="7582" hidden="1" xr:uid="{00000000-0005-0000-0000-0000482C0000}"/>
    <cellStyle name="Title 3" xfId="7615" hidden="1" xr:uid="{00000000-0005-0000-0000-0000492C0000}"/>
    <cellStyle name="Title 3" xfId="7648" hidden="1" xr:uid="{00000000-0005-0000-0000-00004A2C0000}"/>
    <cellStyle name="Title 3" xfId="7681" hidden="1" xr:uid="{00000000-0005-0000-0000-00004B2C0000}"/>
    <cellStyle name="Title 3" xfId="7714" hidden="1" xr:uid="{00000000-0005-0000-0000-00004C2C0000}"/>
    <cellStyle name="Title 3" xfId="7747" hidden="1" xr:uid="{00000000-0005-0000-0000-00004D2C0000}"/>
    <cellStyle name="Title 3" xfId="7291" hidden="1" xr:uid="{00000000-0005-0000-0000-00004E2C0000}"/>
    <cellStyle name="Title 3" xfId="7795" hidden="1" xr:uid="{00000000-0005-0000-0000-00004F2C0000}"/>
    <cellStyle name="Title 3" xfId="7832" hidden="1" xr:uid="{00000000-0005-0000-0000-0000502C0000}"/>
    <cellStyle name="Title 3" xfId="7865" hidden="1" xr:uid="{00000000-0005-0000-0000-0000512C0000}"/>
    <cellStyle name="Title 3" xfId="7897" hidden="1" xr:uid="{00000000-0005-0000-0000-0000522C0000}"/>
    <cellStyle name="Title 3" xfId="7929" hidden="1" xr:uid="{00000000-0005-0000-0000-0000532C0000}"/>
    <cellStyle name="Title 3" xfId="7962" hidden="1" xr:uid="{00000000-0005-0000-0000-0000542C0000}"/>
    <cellStyle name="Title 3" xfId="7994" hidden="1" xr:uid="{00000000-0005-0000-0000-0000552C0000}"/>
    <cellStyle name="Title 3" xfId="8027" hidden="1" xr:uid="{00000000-0005-0000-0000-0000562C0000}"/>
    <cellStyle name="Title 3" xfId="8059" hidden="1" xr:uid="{00000000-0005-0000-0000-0000572C0000}"/>
    <cellStyle name="Title 3" xfId="8092" hidden="1" xr:uid="{00000000-0005-0000-0000-0000582C0000}"/>
    <cellStyle name="Title 3" xfId="8125" hidden="1" xr:uid="{00000000-0005-0000-0000-0000592C0000}"/>
    <cellStyle name="Title 3" xfId="8158" hidden="1" xr:uid="{00000000-0005-0000-0000-00005A2C0000}"/>
    <cellStyle name="Title 3" xfId="8191" hidden="1" xr:uid="{00000000-0005-0000-0000-00005B2C0000}"/>
    <cellStyle name="Title 3" xfId="8224" hidden="1" xr:uid="{00000000-0005-0000-0000-00005C2C0000}"/>
    <cellStyle name="Title 3" xfId="5761" hidden="1" xr:uid="{00000000-0005-0000-0000-00005D2C0000}"/>
    <cellStyle name="Title 3" xfId="5749" hidden="1" xr:uid="{00000000-0005-0000-0000-00005E2C0000}"/>
    <cellStyle name="Title 3" xfId="5740" hidden="1" xr:uid="{00000000-0005-0000-0000-00005F2C0000}"/>
    <cellStyle name="Title 3" xfId="4312" hidden="1" xr:uid="{00000000-0005-0000-0000-0000602C0000}"/>
    <cellStyle name="Title 3" xfId="4379" hidden="1" xr:uid="{00000000-0005-0000-0000-0000612C0000}"/>
    <cellStyle name="Title 3" xfId="4276" hidden="1" xr:uid="{00000000-0005-0000-0000-0000622C0000}"/>
    <cellStyle name="Title 3" xfId="5715" hidden="1" xr:uid="{00000000-0005-0000-0000-0000632C0000}"/>
    <cellStyle name="Title 3" xfId="8269" hidden="1" xr:uid="{00000000-0005-0000-0000-0000642C0000}"/>
    <cellStyle name="Title 3" xfId="8302" hidden="1" xr:uid="{00000000-0005-0000-0000-0000652C0000}"/>
    <cellStyle name="Title 3" xfId="8335" hidden="1" xr:uid="{00000000-0005-0000-0000-0000662C0000}"/>
    <cellStyle name="Title 3" xfId="8368" hidden="1" xr:uid="{00000000-0005-0000-0000-0000672C0000}"/>
    <cellStyle name="Title 3" xfId="8401" hidden="1" xr:uid="{00000000-0005-0000-0000-0000682C0000}"/>
    <cellStyle name="Title 3" xfId="8438" hidden="1" xr:uid="{00000000-0005-0000-0000-0000692C0000}"/>
    <cellStyle name="Title 3" xfId="8471" hidden="1" xr:uid="{00000000-0005-0000-0000-00006A2C0000}"/>
    <cellStyle name="Title 3" xfId="8503" hidden="1" xr:uid="{00000000-0005-0000-0000-00006B2C0000}"/>
    <cellStyle name="Title 3" xfId="8535" hidden="1" xr:uid="{00000000-0005-0000-0000-00006C2C0000}"/>
    <cellStyle name="Title 3" xfId="8568" hidden="1" xr:uid="{00000000-0005-0000-0000-00006D2C0000}"/>
    <cellStyle name="Title 3" xfId="8600" hidden="1" xr:uid="{00000000-0005-0000-0000-00006E2C0000}"/>
    <cellStyle name="Title 3" xfId="8633" hidden="1" xr:uid="{00000000-0005-0000-0000-00006F2C0000}"/>
    <cellStyle name="Title 3" xfId="8665" hidden="1" xr:uid="{00000000-0005-0000-0000-0000702C0000}"/>
    <cellStyle name="Title 3" xfId="8698" hidden="1" xr:uid="{00000000-0005-0000-0000-0000712C0000}"/>
    <cellStyle name="Title 3" xfId="8731" hidden="1" xr:uid="{00000000-0005-0000-0000-0000722C0000}"/>
    <cellStyle name="Title 3" xfId="8764" hidden="1" xr:uid="{00000000-0005-0000-0000-0000732C0000}"/>
    <cellStyle name="Title 3" xfId="8797" hidden="1" xr:uid="{00000000-0005-0000-0000-0000742C0000}"/>
    <cellStyle name="Title 3" xfId="8830" hidden="1" xr:uid="{00000000-0005-0000-0000-0000752C0000}"/>
    <cellStyle name="Title 3" xfId="8863" hidden="1" xr:uid="{00000000-0005-0000-0000-0000762C0000}"/>
    <cellStyle name="Title 3" xfId="8903" hidden="1" xr:uid="{00000000-0005-0000-0000-0000772C0000}"/>
    <cellStyle name="Title 3" xfId="8940" hidden="1" xr:uid="{00000000-0005-0000-0000-0000782C0000}"/>
    <cellStyle name="Title 3" xfId="8973" hidden="1" xr:uid="{00000000-0005-0000-0000-0000792C0000}"/>
    <cellStyle name="Title 3" xfId="9005" hidden="1" xr:uid="{00000000-0005-0000-0000-00007A2C0000}"/>
    <cellStyle name="Title 3" xfId="9037" hidden="1" xr:uid="{00000000-0005-0000-0000-00007B2C0000}"/>
    <cellStyle name="Title 3" xfId="9070" hidden="1" xr:uid="{00000000-0005-0000-0000-00007C2C0000}"/>
    <cellStyle name="Title 3" xfId="9102" hidden="1" xr:uid="{00000000-0005-0000-0000-00007D2C0000}"/>
    <cellStyle name="Title 3" xfId="9135" hidden="1" xr:uid="{00000000-0005-0000-0000-00007E2C0000}"/>
    <cellStyle name="Title 3" xfId="9167" hidden="1" xr:uid="{00000000-0005-0000-0000-00007F2C0000}"/>
    <cellStyle name="Title 3" xfId="9200" hidden="1" xr:uid="{00000000-0005-0000-0000-0000802C0000}"/>
    <cellStyle name="Title 3" xfId="9233" hidden="1" xr:uid="{00000000-0005-0000-0000-0000812C0000}"/>
    <cellStyle name="Title 3" xfId="9266" hidden="1" xr:uid="{00000000-0005-0000-0000-0000822C0000}"/>
    <cellStyle name="Title 3" xfId="9299" hidden="1" xr:uid="{00000000-0005-0000-0000-0000832C0000}"/>
    <cellStyle name="Title 3" xfId="9332" hidden="1" xr:uid="{00000000-0005-0000-0000-0000842C0000}"/>
    <cellStyle name="Title 3" xfId="9365" hidden="1" xr:uid="{00000000-0005-0000-0000-0000852C0000}"/>
    <cellStyle name="Title 3" xfId="9416" hidden="1" xr:uid="{00000000-0005-0000-0000-0000862C0000}"/>
    <cellStyle name="Title 3" xfId="9453" hidden="1" xr:uid="{00000000-0005-0000-0000-0000872C0000}"/>
    <cellStyle name="Title 3" xfId="9486" hidden="1" xr:uid="{00000000-0005-0000-0000-0000882C0000}"/>
    <cellStyle name="Title 3" xfId="9518" hidden="1" xr:uid="{00000000-0005-0000-0000-0000892C0000}"/>
    <cellStyle name="Title 3" xfId="9550" hidden="1" xr:uid="{00000000-0005-0000-0000-00008A2C0000}"/>
    <cellStyle name="Title 3" xfId="9583" hidden="1" xr:uid="{00000000-0005-0000-0000-00008B2C0000}"/>
    <cellStyle name="Title 3" xfId="9615" hidden="1" xr:uid="{00000000-0005-0000-0000-00008C2C0000}"/>
    <cellStyle name="Title 3" xfId="9648" hidden="1" xr:uid="{00000000-0005-0000-0000-00008D2C0000}"/>
    <cellStyle name="Title 3" xfId="9680" hidden="1" xr:uid="{00000000-0005-0000-0000-00008E2C0000}"/>
    <cellStyle name="Title 3" xfId="9713" hidden="1" xr:uid="{00000000-0005-0000-0000-00008F2C0000}"/>
    <cellStyle name="Title 3" xfId="9746" hidden="1" xr:uid="{00000000-0005-0000-0000-0000902C0000}"/>
    <cellStyle name="Title 3" xfId="9779" hidden="1" xr:uid="{00000000-0005-0000-0000-0000912C0000}"/>
    <cellStyle name="Title 3" xfId="9812" hidden="1" xr:uid="{00000000-0005-0000-0000-0000922C0000}"/>
    <cellStyle name="Title 3" xfId="9845" hidden="1" xr:uid="{00000000-0005-0000-0000-0000932C0000}"/>
    <cellStyle name="Title 3" xfId="9389" hidden="1" xr:uid="{00000000-0005-0000-0000-0000942C0000}"/>
    <cellStyle name="Title 3" xfId="9893" hidden="1" xr:uid="{00000000-0005-0000-0000-0000952C0000}"/>
    <cellStyle name="Title 3" xfId="9930" hidden="1" xr:uid="{00000000-0005-0000-0000-0000962C0000}"/>
    <cellStyle name="Title 3" xfId="9963" hidden="1" xr:uid="{00000000-0005-0000-0000-0000972C0000}"/>
    <cellStyle name="Title 3" xfId="9995" hidden="1" xr:uid="{00000000-0005-0000-0000-0000982C0000}"/>
    <cellStyle name="Title 3" xfId="10027" hidden="1" xr:uid="{00000000-0005-0000-0000-0000992C0000}"/>
    <cellStyle name="Title 3" xfId="10060" hidden="1" xr:uid="{00000000-0005-0000-0000-00009A2C0000}"/>
    <cellStyle name="Title 3" xfId="10092" hidden="1" xr:uid="{00000000-0005-0000-0000-00009B2C0000}"/>
    <cellStyle name="Title 3" xfId="10125" hidden="1" xr:uid="{00000000-0005-0000-0000-00009C2C0000}"/>
    <cellStyle name="Title 3" xfId="10157" hidden="1" xr:uid="{00000000-0005-0000-0000-00009D2C0000}"/>
    <cellStyle name="Title 3" xfId="10190" hidden="1" xr:uid="{00000000-0005-0000-0000-00009E2C0000}"/>
    <cellStyle name="Title 3" xfId="10223" hidden="1" xr:uid="{00000000-0005-0000-0000-00009F2C0000}"/>
    <cellStyle name="Title 3" xfId="10256" hidden="1" xr:uid="{00000000-0005-0000-0000-0000A02C0000}"/>
    <cellStyle name="Title 3" xfId="10289" hidden="1" xr:uid="{00000000-0005-0000-0000-0000A12C0000}"/>
    <cellStyle name="Title 3" xfId="10322" hidden="1" xr:uid="{00000000-0005-0000-0000-0000A22C0000}"/>
    <cellStyle name="Title 3" xfId="8876" hidden="1" xr:uid="{00000000-0005-0000-0000-0000A32C0000}"/>
    <cellStyle name="Title 3" xfId="10381" hidden="1" xr:uid="{00000000-0005-0000-0000-0000A42C0000}"/>
    <cellStyle name="Title 3" xfId="10418" hidden="1" xr:uid="{00000000-0005-0000-0000-0000A52C0000}"/>
    <cellStyle name="Title 3" xfId="10451" hidden="1" xr:uid="{00000000-0005-0000-0000-0000A62C0000}"/>
    <cellStyle name="Title 3" xfId="10483" hidden="1" xr:uid="{00000000-0005-0000-0000-0000A72C0000}"/>
    <cellStyle name="Title 3" xfId="10515" hidden="1" xr:uid="{00000000-0005-0000-0000-0000A82C0000}"/>
    <cellStyle name="Title 3" xfId="10548" hidden="1" xr:uid="{00000000-0005-0000-0000-0000A92C0000}"/>
    <cellStyle name="Title 3" xfId="10580" hidden="1" xr:uid="{00000000-0005-0000-0000-0000AA2C0000}"/>
    <cellStyle name="Title 3" xfId="10613" hidden="1" xr:uid="{00000000-0005-0000-0000-0000AB2C0000}"/>
    <cellStyle name="Title 3" xfId="10645" hidden="1" xr:uid="{00000000-0005-0000-0000-0000AC2C0000}"/>
    <cellStyle name="Title 3" xfId="10678" hidden="1" xr:uid="{00000000-0005-0000-0000-0000AD2C0000}"/>
    <cellStyle name="Title 3" xfId="10711" hidden="1" xr:uid="{00000000-0005-0000-0000-0000AE2C0000}"/>
    <cellStyle name="Title 3" xfId="10744" hidden="1" xr:uid="{00000000-0005-0000-0000-0000AF2C0000}"/>
    <cellStyle name="Title 3" xfId="10777" hidden="1" xr:uid="{00000000-0005-0000-0000-0000B02C0000}"/>
    <cellStyle name="Title 3" xfId="10810" hidden="1" xr:uid="{00000000-0005-0000-0000-0000B12C0000}"/>
    <cellStyle name="Title 3" xfId="10843" hidden="1" xr:uid="{00000000-0005-0000-0000-0000B22C0000}"/>
    <cellStyle name="Title 3" xfId="10894" hidden="1" xr:uid="{00000000-0005-0000-0000-0000B32C0000}"/>
    <cellStyle name="Title 3" xfId="10931" hidden="1" xr:uid="{00000000-0005-0000-0000-0000B42C0000}"/>
    <cellStyle name="Title 3" xfId="10964" hidden="1" xr:uid="{00000000-0005-0000-0000-0000B52C0000}"/>
    <cellStyle name="Title 3" xfId="10996" hidden="1" xr:uid="{00000000-0005-0000-0000-0000B62C0000}"/>
    <cellStyle name="Title 3" xfId="11028" hidden="1" xr:uid="{00000000-0005-0000-0000-0000B72C0000}"/>
    <cellStyle name="Title 3" xfId="11061" hidden="1" xr:uid="{00000000-0005-0000-0000-0000B82C0000}"/>
    <cellStyle name="Title 3" xfId="11093" hidden="1" xr:uid="{00000000-0005-0000-0000-0000B92C0000}"/>
    <cellStyle name="Title 3" xfId="11126" hidden="1" xr:uid="{00000000-0005-0000-0000-0000BA2C0000}"/>
    <cellStyle name="Title 3" xfId="11158" hidden="1" xr:uid="{00000000-0005-0000-0000-0000BB2C0000}"/>
    <cellStyle name="Title 3" xfId="11191" hidden="1" xr:uid="{00000000-0005-0000-0000-0000BC2C0000}"/>
    <cellStyle name="Title 3" xfId="11224" hidden="1" xr:uid="{00000000-0005-0000-0000-0000BD2C0000}"/>
    <cellStyle name="Title 3" xfId="11257" hidden="1" xr:uid="{00000000-0005-0000-0000-0000BE2C0000}"/>
    <cellStyle name="Title 3" xfId="11290" hidden="1" xr:uid="{00000000-0005-0000-0000-0000BF2C0000}"/>
    <cellStyle name="Title 3" xfId="11323" hidden="1" xr:uid="{00000000-0005-0000-0000-0000C02C0000}"/>
    <cellStyle name="Title 3" xfId="10867" hidden="1" xr:uid="{00000000-0005-0000-0000-0000C12C0000}"/>
    <cellStyle name="Title 3" xfId="11371" hidden="1" xr:uid="{00000000-0005-0000-0000-0000C22C0000}"/>
    <cellStyle name="Title 3" xfId="11408" hidden="1" xr:uid="{00000000-0005-0000-0000-0000C32C0000}"/>
    <cellStyle name="Title 3" xfId="11441" hidden="1" xr:uid="{00000000-0005-0000-0000-0000C42C0000}"/>
    <cellStyle name="Title 3" xfId="11473" hidden="1" xr:uid="{00000000-0005-0000-0000-0000C52C0000}"/>
    <cellStyle name="Title 3" xfId="11505" hidden="1" xr:uid="{00000000-0005-0000-0000-0000C62C0000}"/>
    <cellStyle name="Title 3" xfId="11538" hidden="1" xr:uid="{00000000-0005-0000-0000-0000C72C0000}"/>
    <cellStyle name="Title 3" xfId="11570" hidden="1" xr:uid="{00000000-0005-0000-0000-0000C82C0000}"/>
    <cellStyle name="Title 3" xfId="11603" hidden="1" xr:uid="{00000000-0005-0000-0000-0000C92C0000}"/>
    <cellStyle name="Title 3" xfId="11635" hidden="1" xr:uid="{00000000-0005-0000-0000-0000CA2C0000}"/>
    <cellStyle name="Title 3" xfId="11668" hidden="1" xr:uid="{00000000-0005-0000-0000-0000CB2C0000}"/>
    <cellStyle name="Title 3" xfId="11701" hidden="1" xr:uid="{00000000-0005-0000-0000-0000CC2C0000}"/>
    <cellStyle name="Title 3" xfId="11734" hidden="1" xr:uid="{00000000-0005-0000-0000-0000CD2C0000}"/>
    <cellStyle name="Title 3" xfId="11767" hidden="1" xr:uid="{00000000-0005-0000-0000-0000CE2C0000}"/>
    <cellStyle name="Title 3" xfId="11800" hidden="1" xr:uid="{00000000-0005-0000-0000-0000CF2C0000}"/>
    <cellStyle name="Title 3" xfId="1727" xr:uid="{00000000-0005-0000-0000-0000D02C0000}"/>
    <cellStyle name="Title 3 2" xfId="1702" xr:uid="{00000000-0005-0000-0000-0000D12C0000}"/>
    <cellStyle name="Title 4" xfId="1703" xr:uid="{00000000-0005-0000-0000-0000D22C0000}"/>
    <cellStyle name="Título" xfId="191" xr:uid="{00000000-0005-0000-0000-0000D32C0000}"/>
    <cellStyle name="Título 1" xfId="192" xr:uid="{00000000-0005-0000-0000-0000D42C0000}"/>
    <cellStyle name="Título 2" xfId="193" xr:uid="{00000000-0005-0000-0000-0000D52C0000}"/>
    <cellStyle name="Título 3" xfId="194" xr:uid="{00000000-0005-0000-0000-0000D62C0000}"/>
    <cellStyle name="Título_20091015 DE_Proposed amendments to CR SEC_MKR" xfId="195" xr:uid="{00000000-0005-0000-0000-0000D72C0000}"/>
    <cellStyle name="Total 2" xfId="196" xr:uid="{00000000-0005-0000-0000-0000D82C0000}"/>
    <cellStyle name="Total 2 2" xfId="1704" xr:uid="{00000000-0005-0000-0000-0000D92C0000}"/>
    <cellStyle name="Total 2 3" xfId="2763" xr:uid="{00000000-0005-0000-0000-0000DA2C0000}"/>
    <cellStyle name="Warning Text 2" xfId="198" xr:uid="{00000000-0005-0000-0000-0000DB2C0000}"/>
    <cellStyle name="Warning Text 2 2" xfId="1705" xr:uid="{00000000-0005-0000-0000-0000DC2C0000}"/>
    <cellStyle name="Warning Text 2 3" xfId="2764" xr:uid="{00000000-0005-0000-0000-0000DD2C0000}"/>
    <cellStyle name="Warning Text 3" xfId="211" hidden="1" xr:uid="{00000000-0005-0000-0000-0000DE2C0000}"/>
    <cellStyle name="Warning Text 3" xfId="260" hidden="1" xr:uid="{00000000-0005-0000-0000-0000DF2C0000}"/>
    <cellStyle name="Warning Text 3" xfId="293" hidden="1" xr:uid="{00000000-0005-0000-0000-0000E02C0000}"/>
    <cellStyle name="Warning Text 3" xfId="326" hidden="1" xr:uid="{00000000-0005-0000-0000-0000E12C0000}"/>
    <cellStyle name="Warning Text 3" xfId="359" hidden="1" xr:uid="{00000000-0005-0000-0000-0000E22C0000}"/>
    <cellStyle name="Warning Text 3" xfId="393" hidden="1" xr:uid="{00000000-0005-0000-0000-0000E32C0000}"/>
    <cellStyle name="Warning Text 3" xfId="426" hidden="1" xr:uid="{00000000-0005-0000-0000-0000E42C0000}"/>
    <cellStyle name="Warning Text 3" xfId="459" hidden="1" xr:uid="{00000000-0005-0000-0000-0000E52C0000}"/>
    <cellStyle name="Warning Text 3" xfId="492" hidden="1" xr:uid="{00000000-0005-0000-0000-0000E62C0000}"/>
    <cellStyle name="Warning Text 3" xfId="525" hidden="1" xr:uid="{00000000-0005-0000-0000-0000E72C0000}"/>
    <cellStyle name="Warning Text 3" xfId="558" hidden="1" xr:uid="{00000000-0005-0000-0000-0000E82C0000}"/>
    <cellStyle name="Warning Text 3" xfId="591" hidden="1" xr:uid="{00000000-0005-0000-0000-0000E92C0000}"/>
    <cellStyle name="Warning Text 3" xfId="628" hidden="1" xr:uid="{00000000-0005-0000-0000-0000EA2C0000}"/>
    <cellStyle name="Warning Text 3" xfId="661" hidden="1" xr:uid="{00000000-0005-0000-0000-0000EB2C0000}"/>
    <cellStyle name="Warning Text 3" xfId="693" hidden="1" xr:uid="{00000000-0005-0000-0000-0000EC2C0000}"/>
    <cellStyle name="Warning Text 3" xfId="725" hidden="1" xr:uid="{00000000-0005-0000-0000-0000ED2C0000}"/>
    <cellStyle name="Warning Text 3" xfId="758" hidden="1" xr:uid="{00000000-0005-0000-0000-0000EE2C0000}"/>
    <cellStyle name="Warning Text 3" xfId="790" hidden="1" xr:uid="{00000000-0005-0000-0000-0000EF2C0000}"/>
    <cellStyle name="Warning Text 3" xfId="823" hidden="1" xr:uid="{00000000-0005-0000-0000-0000F02C0000}"/>
    <cellStyle name="Warning Text 3" xfId="855" hidden="1" xr:uid="{00000000-0005-0000-0000-0000F12C0000}"/>
    <cellStyle name="Warning Text 3" xfId="888" hidden="1" xr:uid="{00000000-0005-0000-0000-0000F22C0000}"/>
    <cellStyle name="Warning Text 3" xfId="921" hidden="1" xr:uid="{00000000-0005-0000-0000-0000F32C0000}"/>
    <cellStyle name="Warning Text 3" xfId="954" hidden="1" xr:uid="{00000000-0005-0000-0000-0000F42C0000}"/>
    <cellStyle name="Warning Text 3" xfId="987" hidden="1" xr:uid="{00000000-0005-0000-0000-0000F52C0000}"/>
    <cellStyle name="Warning Text 3" xfId="1020" hidden="1" xr:uid="{00000000-0005-0000-0000-0000F62C0000}"/>
    <cellStyle name="Warning Text 3" xfId="1053" hidden="1" xr:uid="{00000000-0005-0000-0000-0000F72C0000}"/>
    <cellStyle name="Warning Text 3" xfId="1096" hidden="1" xr:uid="{00000000-0005-0000-0000-0000F82C0000}"/>
    <cellStyle name="Warning Text 3" xfId="1134" hidden="1" xr:uid="{00000000-0005-0000-0000-0000F92C0000}"/>
    <cellStyle name="Warning Text 3" xfId="1167" hidden="1" xr:uid="{00000000-0005-0000-0000-0000FA2C0000}"/>
    <cellStyle name="Warning Text 3" xfId="1199" hidden="1" xr:uid="{00000000-0005-0000-0000-0000FB2C0000}"/>
    <cellStyle name="Warning Text 3" xfId="1231" hidden="1" xr:uid="{00000000-0005-0000-0000-0000FC2C0000}"/>
    <cellStyle name="Warning Text 3" xfId="1264" hidden="1" xr:uid="{00000000-0005-0000-0000-0000FD2C0000}"/>
    <cellStyle name="Warning Text 3" xfId="1296" hidden="1" xr:uid="{00000000-0005-0000-0000-0000FE2C0000}"/>
    <cellStyle name="Warning Text 3" xfId="1329" hidden="1" xr:uid="{00000000-0005-0000-0000-0000FF2C0000}"/>
    <cellStyle name="Warning Text 3" xfId="1361" hidden="1" xr:uid="{00000000-0005-0000-0000-0000002D0000}"/>
    <cellStyle name="Warning Text 3" xfId="1394" hidden="1" xr:uid="{00000000-0005-0000-0000-0000012D0000}"/>
    <cellStyle name="Warning Text 3" xfId="1427" hidden="1" xr:uid="{00000000-0005-0000-0000-0000022D0000}"/>
    <cellStyle name="Warning Text 3" xfId="1460" hidden="1" xr:uid="{00000000-0005-0000-0000-0000032D0000}"/>
    <cellStyle name="Warning Text 3" xfId="1493" hidden="1" xr:uid="{00000000-0005-0000-0000-0000042D0000}"/>
    <cellStyle name="Warning Text 3" xfId="1526" hidden="1" xr:uid="{00000000-0005-0000-0000-0000052D0000}"/>
    <cellStyle name="Warning Text 3" xfId="1559" hidden="1" xr:uid="{00000000-0005-0000-0000-0000062D0000}"/>
    <cellStyle name="Warning Text 3" xfId="1773" hidden="1" xr:uid="{00000000-0005-0000-0000-0000072D0000}"/>
    <cellStyle name="Warning Text 3" xfId="1810" hidden="1" xr:uid="{00000000-0005-0000-0000-0000082D0000}"/>
    <cellStyle name="Warning Text 3" xfId="1843" hidden="1" xr:uid="{00000000-0005-0000-0000-0000092D0000}"/>
    <cellStyle name="Warning Text 3" xfId="1875" hidden="1" xr:uid="{00000000-0005-0000-0000-00000A2D0000}"/>
    <cellStyle name="Warning Text 3" xfId="1907" hidden="1" xr:uid="{00000000-0005-0000-0000-00000B2D0000}"/>
    <cellStyle name="Warning Text 3" xfId="1940" hidden="1" xr:uid="{00000000-0005-0000-0000-00000C2D0000}"/>
    <cellStyle name="Warning Text 3" xfId="1972" hidden="1" xr:uid="{00000000-0005-0000-0000-00000D2D0000}"/>
    <cellStyle name="Warning Text 3" xfId="2005" hidden="1" xr:uid="{00000000-0005-0000-0000-00000E2D0000}"/>
    <cellStyle name="Warning Text 3" xfId="2037" hidden="1" xr:uid="{00000000-0005-0000-0000-00000F2D0000}"/>
    <cellStyle name="Warning Text 3" xfId="2070" hidden="1" xr:uid="{00000000-0005-0000-0000-0000102D0000}"/>
    <cellStyle name="Warning Text 3" xfId="2103" hidden="1" xr:uid="{00000000-0005-0000-0000-0000112D0000}"/>
    <cellStyle name="Warning Text 3" xfId="2136" hidden="1" xr:uid="{00000000-0005-0000-0000-0000122D0000}"/>
    <cellStyle name="Warning Text 3" xfId="2169" hidden="1" xr:uid="{00000000-0005-0000-0000-0000132D0000}"/>
    <cellStyle name="Warning Text 3" xfId="2202" hidden="1" xr:uid="{00000000-0005-0000-0000-0000142D0000}"/>
    <cellStyle name="Warning Text 3" xfId="2228" hidden="1" xr:uid="{00000000-0005-0000-0000-0000152D0000}"/>
    <cellStyle name="Warning Text 3" xfId="2250" hidden="1" xr:uid="{00000000-0005-0000-0000-0000162D0000}"/>
    <cellStyle name="Warning Text 3" xfId="2287" hidden="1" xr:uid="{00000000-0005-0000-0000-0000172D0000}"/>
    <cellStyle name="Warning Text 3" xfId="2320" hidden="1" xr:uid="{00000000-0005-0000-0000-0000182D0000}"/>
    <cellStyle name="Warning Text 3" xfId="2352" hidden="1" xr:uid="{00000000-0005-0000-0000-0000192D0000}"/>
    <cellStyle name="Warning Text 3" xfId="2384" hidden="1" xr:uid="{00000000-0005-0000-0000-00001A2D0000}"/>
    <cellStyle name="Warning Text 3" xfId="2417" hidden="1" xr:uid="{00000000-0005-0000-0000-00001B2D0000}"/>
    <cellStyle name="Warning Text 3" xfId="2449" hidden="1" xr:uid="{00000000-0005-0000-0000-00001C2D0000}"/>
    <cellStyle name="Warning Text 3" xfId="2482" hidden="1" xr:uid="{00000000-0005-0000-0000-00001D2D0000}"/>
    <cellStyle name="Warning Text 3" xfId="2514" hidden="1" xr:uid="{00000000-0005-0000-0000-00001E2D0000}"/>
    <cellStyle name="Warning Text 3" xfId="2547" hidden="1" xr:uid="{00000000-0005-0000-0000-00001F2D0000}"/>
    <cellStyle name="Warning Text 3" xfId="2580" hidden="1" xr:uid="{00000000-0005-0000-0000-0000202D0000}"/>
    <cellStyle name="Warning Text 3" xfId="2613" hidden="1" xr:uid="{00000000-0005-0000-0000-0000212D0000}"/>
    <cellStyle name="Warning Text 3" xfId="2646" hidden="1" xr:uid="{00000000-0005-0000-0000-0000222D0000}"/>
    <cellStyle name="Warning Text 3" xfId="2679" hidden="1" xr:uid="{00000000-0005-0000-0000-0000232D0000}"/>
    <cellStyle name="Warning Text 3" xfId="2705" hidden="1" xr:uid="{00000000-0005-0000-0000-0000242D0000}"/>
    <cellStyle name="Warning Text 3" xfId="2793" hidden="1" xr:uid="{00000000-0005-0000-0000-0000252D0000}"/>
    <cellStyle name="Warning Text 3" xfId="2830" hidden="1" xr:uid="{00000000-0005-0000-0000-0000262D0000}"/>
    <cellStyle name="Warning Text 3" xfId="2863" hidden="1" xr:uid="{00000000-0005-0000-0000-0000272D0000}"/>
    <cellStyle name="Warning Text 3" xfId="2895" hidden="1" xr:uid="{00000000-0005-0000-0000-0000282D0000}"/>
    <cellStyle name="Warning Text 3" xfId="2927" hidden="1" xr:uid="{00000000-0005-0000-0000-0000292D0000}"/>
    <cellStyle name="Warning Text 3" xfId="2960" hidden="1" xr:uid="{00000000-0005-0000-0000-00002A2D0000}"/>
    <cellStyle name="Warning Text 3" xfId="2992" hidden="1" xr:uid="{00000000-0005-0000-0000-00002B2D0000}"/>
    <cellStyle name="Warning Text 3" xfId="3025" hidden="1" xr:uid="{00000000-0005-0000-0000-00002C2D0000}"/>
    <cellStyle name="Warning Text 3" xfId="3057" hidden="1" xr:uid="{00000000-0005-0000-0000-00002D2D0000}"/>
    <cellStyle name="Warning Text 3" xfId="3090" hidden="1" xr:uid="{00000000-0005-0000-0000-00002E2D0000}"/>
    <cellStyle name="Warning Text 3" xfId="3123" hidden="1" xr:uid="{00000000-0005-0000-0000-00002F2D0000}"/>
    <cellStyle name="Warning Text 3" xfId="3156" hidden="1" xr:uid="{00000000-0005-0000-0000-0000302D0000}"/>
    <cellStyle name="Warning Text 3" xfId="3189" hidden="1" xr:uid="{00000000-0005-0000-0000-0000312D0000}"/>
    <cellStyle name="Warning Text 3" xfId="3222" hidden="1" xr:uid="{00000000-0005-0000-0000-0000322D0000}"/>
    <cellStyle name="Warning Text 3" xfId="3255" hidden="1" xr:uid="{00000000-0005-0000-0000-0000332D0000}"/>
    <cellStyle name="Warning Text 3" xfId="3306" hidden="1" xr:uid="{00000000-0005-0000-0000-0000342D0000}"/>
    <cellStyle name="Warning Text 3" xfId="3343" hidden="1" xr:uid="{00000000-0005-0000-0000-0000352D0000}"/>
    <cellStyle name="Warning Text 3" xfId="3376" hidden="1" xr:uid="{00000000-0005-0000-0000-0000362D0000}"/>
    <cellStyle name="Warning Text 3" xfId="3408" hidden="1" xr:uid="{00000000-0005-0000-0000-0000372D0000}"/>
    <cellStyle name="Warning Text 3" xfId="3440" hidden="1" xr:uid="{00000000-0005-0000-0000-0000382D0000}"/>
    <cellStyle name="Warning Text 3" xfId="3473" hidden="1" xr:uid="{00000000-0005-0000-0000-0000392D0000}"/>
    <cellStyle name="Warning Text 3" xfId="3505" hidden="1" xr:uid="{00000000-0005-0000-0000-00003A2D0000}"/>
    <cellStyle name="Warning Text 3" xfId="3538" hidden="1" xr:uid="{00000000-0005-0000-0000-00003B2D0000}"/>
    <cellStyle name="Warning Text 3" xfId="3570" hidden="1" xr:uid="{00000000-0005-0000-0000-00003C2D0000}"/>
    <cellStyle name="Warning Text 3" xfId="3603" hidden="1" xr:uid="{00000000-0005-0000-0000-00003D2D0000}"/>
    <cellStyle name="Warning Text 3" xfId="3636" hidden="1" xr:uid="{00000000-0005-0000-0000-00003E2D0000}"/>
    <cellStyle name="Warning Text 3" xfId="3669" hidden="1" xr:uid="{00000000-0005-0000-0000-00003F2D0000}"/>
    <cellStyle name="Warning Text 3" xfId="3702" hidden="1" xr:uid="{00000000-0005-0000-0000-0000402D0000}"/>
    <cellStyle name="Warning Text 3" xfId="3735" hidden="1" xr:uid="{00000000-0005-0000-0000-0000412D0000}"/>
    <cellStyle name="Warning Text 3" xfId="3761" hidden="1" xr:uid="{00000000-0005-0000-0000-0000422D0000}"/>
    <cellStyle name="Warning Text 3" xfId="3783" hidden="1" xr:uid="{00000000-0005-0000-0000-0000432D0000}"/>
    <cellStyle name="Warning Text 3" xfId="3820" hidden="1" xr:uid="{00000000-0005-0000-0000-0000442D0000}"/>
    <cellStyle name="Warning Text 3" xfId="3853" hidden="1" xr:uid="{00000000-0005-0000-0000-0000452D0000}"/>
    <cellStyle name="Warning Text 3" xfId="3885" hidden="1" xr:uid="{00000000-0005-0000-0000-0000462D0000}"/>
    <cellStyle name="Warning Text 3" xfId="3917" hidden="1" xr:uid="{00000000-0005-0000-0000-0000472D0000}"/>
    <cellStyle name="Warning Text 3" xfId="3950" hidden="1" xr:uid="{00000000-0005-0000-0000-0000482D0000}"/>
    <cellStyle name="Warning Text 3" xfId="3982" hidden="1" xr:uid="{00000000-0005-0000-0000-0000492D0000}"/>
    <cellStyle name="Warning Text 3" xfId="4015" hidden="1" xr:uid="{00000000-0005-0000-0000-00004A2D0000}"/>
    <cellStyle name="Warning Text 3" xfId="4047" hidden="1" xr:uid="{00000000-0005-0000-0000-00004B2D0000}"/>
    <cellStyle name="Warning Text 3" xfId="4080" hidden="1" xr:uid="{00000000-0005-0000-0000-00004C2D0000}"/>
    <cellStyle name="Warning Text 3" xfId="4113" hidden="1" xr:uid="{00000000-0005-0000-0000-00004D2D0000}"/>
    <cellStyle name="Warning Text 3" xfId="4146" hidden="1" xr:uid="{00000000-0005-0000-0000-00004E2D0000}"/>
    <cellStyle name="Warning Text 3" xfId="4179" hidden="1" xr:uid="{00000000-0005-0000-0000-00004F2D0000}"/>
    <cellStyle name="Warning Text 3" xfId="4212" hidden="1" xr:uid="{00000000-0005-0000-0000-0000502D0000}"/>
    <cellStyle name="Warning Text 3" xfId="4238" hidden="1" xr:uid="{00000000-0005-0000-0000-0000512D0000}"/>
    <cellStyle name="Warning Text 3" xfId="4412" hidden="1" xr:uid="{00000000-0005-0000-0000-0000522D0000}"/>
    <cellStyle name="Warning Text 3" xfId="4445" hidden="1" xr:uid="{00000000-0005-0000-0000-0000532D0000}"/>
    <cellStyle name="Warning Text 3" xfId="4478" hidden="1" xr:uid="{00000000-0005-0000-0000-0000542D0000}"/>
    <cellStyle name="Warning Text 3" xfId="4511" hidden="1" xr:uid="{00000000-0005-0000-0000-0000552D0000}"/>
    <cellStyle name="Warning Text 3" xfId="4544" hidden="1" xr:uid="{00000000-0005-0000-0000-0000562D0000}"/>
    <cellStyle name="Warning Text 3" xfId="4577" hidden="1" xr:uid="{00000000-0005-0000-0000-0000572D0000}"/>
    <cellStyle name="Warning Text 3" xfId="4610" hidden="1" xr:uid="{00000000-0005-0000-0000-0000582D0000}"/>
    <cellStyle name="Warning Text 3" xfId="4643" hidden="1" xr:uid="{00000000-0005-0000-0000-0000592D0000}"/>
    <cellStyle name="Warning Text 3" xfId="4676" hidden="1" xr:uid="{00000000-0005-0000-0000-00005A2D0000}"/>
    <cellStyle name="Warning Text 3" xfId="4709" hidden="1" xr:uid="{00000000-0005-0000-0000-00005B2D0000}"/>
    <cellStyle name="Warning Text 3" xfId="4742" hidden="1" xr:uid="{00000000-0005-0000-0000-00005C2D0000}"/>
    <cellStyle name="Warning Text 3" xfId="4779" hidden="1" xr:uid="{00000000-0005-0000-0000-00005D2D0000}"/>
    <cellStyle name="Warning Text 3" xfId="4812" hidden="1" xr:uid="{00000000-0005-0000-0000-00005E2D0000}"/>
    <cellStyle name="Warning Text 3" xfId="4844" hidden="1" xr:uid="{00000000-0005-0000-0000-00005F2D0000}"/>
    <cellStyle name="Warning Text 3" xfId="4876" hidden="1" xr:uid="{00000000-0005-0000-0000-0000602D0000}"/>
    <cellStyle name="Warning Text 3" xfId="4909" hidden="1" xr:uid="{00000000-0005-0000-0000-0000612D0000}"/>
    <cellStyle name="Warning Text 3" xfId="4941" hidden="1" xr:uid="{00000000-0005-0000-0000-0000622D0000}"/>
    <cellStyle name="Warning Text 3" xfId="4974" hidden="1" xr:uid="{00000000-0005-0000-0000-0000632D0000}"/>
    <cellStyle name="Warning Text 3" xfId="5006" hidden="1" xr:uid="{00000000-0005-0000-0000-0000642D0000}"/>
    <cellStyle name="Warning Text 3" xfId="5039" hidden="1" xr:uid="{00000000-0005-0000-0000-0000652D0000}"/>
    <cellStyle name="Warning Text 3" xfId="5072" hidden="1" xr:uid="{00000000-0005-0000-0000-0000662D0000}"/>
    <cellStyle name="Warning Text 3" xfId="5105" hidden="1" xr:uid="{00000000-0005-0000-0000-0000672D0000}"/>
    <cellStyle name="Warning Text 3" xfId="5138" hidden="1" xr:uid="{00000000-0005-0000-0000-0000682D0000}"/>
    <cellStyle name="Warning Text 3" xfId="5171" hidden="1" xr:uid="{00000000-0005-0000-0000-0000692D0000}"/>
    <cellStyle name="Warning Text 3" xfId="5204" hidden="1" xr:uid="{00000000-0005-0000-0000-00006A2D0000}"/>
    <cellStyle name="Warning Text 3" xfId="5245" hidden="1" xr:uid="{00000000-0005-0000-0000-00006B2D0000}"/>
    <cellStyle name="Warning Text 3" xfId="5282" hidden="1" xr:uid="{00000000-0005-0000-0000-00006C2D0000}"/>
    <cellStyle name="Warning Text 3" xfId="5315" hidden="1" xr:uid="{00000000-0005-0000-0000-00006D2D0000}"/>
    <cellStyle name="Warning Text 3" xfId="5347" hidden="1" xr:uid="{00000000-0005-0000-0000-00006E2D0000}"/>
    <cellStyle name="Warning Text 3" xfId="5379" hidden="1" xr:uid="{00000000-0005-0000-0000-00006F2D0000}"/>
    <cellStyle name="Warning Text 3" xfId="5412" hidden="1" xr:uid="{00000000-0005-0000-0000-0000702D0000}"/>
    <cellStyle name="Warning Text 3" xfId="5444" hidden="1" xr:uid="{00000000-0005-0000-0000-0000712D0000}"/>
    <cellStyle name="Warning Text 3" xfId="5477" hidden="1" xr:uid="{00000000-0005-0000-0000-0000722D0000}"/>
    <cellStyle name="Warning Text 3" xfId="5509" hidden="1" xr:uid="{00000000-0005-0000-0000-0000732D0000}"/>
    <cellStyle name="Warning Text 3" xfId="5542" hidden="1" xr:uid="{00000000-0005-0000-0000-0000742D0000}"/>
    <cellStyle name="Warning Text 3" xfId="5575" hidden="1" xr:uid="{00000000-0005-0000-0000-0000752D0000}"/>
    <cellStyle name="Warning Text 3" xfId="5608" hidden="1" xr:uid="{00000000-0005-0000-0000-0000762D0000}"/>
    <cellStyle name="Warning Text 3" xfId="5641" hidden="1" xr:uid="{00000000-0005-0000-0000-0000772D0000}"/>
    <cellStyle name="Warning Text 3" xfId="5674" hidden="1" xr:uid="{00000000-0005-0000-0000-0000782D0000}"/>
    <cellStyle name="Warning Text 3" xfId="5707" hidden="1" xr:uid="{00000000-0005-0000-0000-0000792D0000}"/>
    <cellStyle name="Warning Text 3" xfId="5811" hidden="1" xr:uid="{00000000-0005-0000-0000-00007A2D0000}"/>
    <cellStyle name="Warning Text 3" xfId="5848" hidden="1" xr:uid="{00000000-0005-0000-0000-00007B2D0000}"/>
    <cellStyle name="Warning Text 3" xfId="5881" hidden="1" xr:uid="{00000000-0005-0000-0000-00007C2D0000}"/>
    <cellStyle name="Warning Text 3" xfId="5913" hidden="1" xr:uid="{00000000-0005-0000-0000-00007D2D0000}"/>
    <cellStyle name="Warning Text 3" xfId="5945" hidden="1" xr:uid="{00000000-0005-0000-0000-00007E2D0000}"/>
    <cellStyle name="Warning Text 3" xfId="5978" hidden="1" xr:uid="{00000000-0005-0000-0000-00007F2D0000}"/>
    <cellStyle name="Warning Text 3" xfId="6010" hidden="1" xr:uid="{00000000-0005-0000-0000-0000802D0000}"/>
    <cellStyle name="Warning Text 3" xfId="6043" hidden="1" xr:uid="{00000000-0005-0000-0000-0000812D0000}"/>
    <cellStyle name="Warning Text 3" xfId="6075" hidden="1" xr:uid="{00000000-0005-0000-0000-0000822D0000}"/>
    <cellStyle name="Warning Text 3" xfId="6108" hidden="1" xr:uid="{00000000-0005-0000-0000-0000832D0000}"/>
    <cellStyle name="Warning Text 3" xfId="6141" hidden="1" xr:uid="{00000000-0005-0000-0000-0000842D0000}"/>
    <cellStyle name="Warning Text 3" xfId="6174" hidden="1" xr:uid="{00000000-0005-0000-0000-0000852D0000}"/>
    <cellStyle name="Warning Text 3" xfId="6207" hidden="1" xr:uid="{00000000-0005-0000-0000-0000862D0000}"/>
    <cellStyle name="Warning Text 3" xfId="6240" hidden="1" xr:uid="{00000000-0005-0000-0000-0000872D0000}"/>
    <cellStyle name="Warning Text 3" xfId="6266" hidden="1" xr:uid="{00000000-0005-0000-0000-0000882D0000}"/>
    <cellStyle name="Warning Text 3" xfId="6288" hidden="1" xr:uid="{00000000-0005-0000-0000-0000892D0000}"/>
    <cellStyle name="Warning Text 3" xfId="6325" hidden="1" xr:uid="{00000000-0005-0000-0000-00008A2D0000}"/>
    <cellStyle name="Warning Text 3" xfId="6358" hidden="1" xr:uid="{00000000-0005-0000-0000-00008B2D0000}"/>
    <cellStyle name="Warning Text 3" xfId="6390" hidden="1" xr:uid="{00000000-0005-0000-0000-00008C2D0000}"/>
    <cellStyle name="Warning Text 3" xfId="6422" hidden="1" xr:uid="{00000000-0005-0000-0000-00008D2D0000}"/>
    <cellStyle name="Warning Text 3" xfId="6455" hidden="1" xr:uid="{00000000-0005-0000-0000-00008E2D0000}"/>
    <cellStyle name="Warning Text 3" xfId="6487" hidden="1" xr:uid="{00000000-0005-0000-0000-00008F2D0000}"/>
    <cellStyle name="Warning Text 3" xfId="6520" hidden="1" xr:uid="{00000000-0005-0000-0000-0000902D0000}"/>
    <cellStyle name="Warning Text 3" xfId="6552" hidden="1" xr:uid="{00000000-0005-0000-0000-0000912D0000}"/>
    <cellStyle name="Warning Text 3" xfId="6585" hidden="1" xr:uid="{00000000-0005-0000-0000-0000922D0000}"/>
    <cellStyle name="Warning Text 3" xfId="6618" hidden="1" xr:uid="{00000000-0005-0000-0000-0000932D0000}"/>
    <cellStyle name="Warning Text 3" xfId="6651" hidden="1" xr:uid="{00000000-0005-0000-0000-0000942D0000}"/>
    <cellStyle name="Warning Text 3" xfId="6684" hidden="1" xr:uid="{00000000-0005-0000-0000-0000952D0000}"/>
    <cellStyle name="Warning Text 3" xfId="6717" hidden="1" xr:uid="{00000000-0005-0000-0000-0000962D0000}"/>
    <cellStyle name="Warning Text 3" xfId="6743" hidden="1" xr:uid="{00000000-0005-0000-0000-0000972D0000}"/>
    <cellStyle name="Warning Text 3" xfId="6807" hidden="1" xr:uid="{00000000-0005-0000-0000-0000982D0000}"/>
    <cellStyle name="Warning Text 3" xfId="6844" hidden="1" xr:uid="{00000000-0005-0000-0000-0000992D0000}"/>
    <cellStyle name="Warning Text 3" xfId="6877" hidden="1" xr:uid="{00000000-0005-0000-0000-00009A2D0000}"/>
    <cellStyle name="Warning Text 3" xfId="6909" hidden="1" xr:uid="{00000000-0005-0000-0000-00009B2D0000}"/>
    <cellStyle name="Warning Text 3" xfId="6941" hidden="1" xr:uid="{00000000-0005-0000-0000-00009C2D0000}"/>
    <cellStyle name="Warning Text 3" xfId="6974" hidden="1" xr:uid="{00000000-0005-0000-0000-00009D2D0000}"/>
    <cellStyle name="Warning Text 3" xfId="7006" hidden="1" xr:uid="{00000000-0005-0000-0000-00009E2D0000}"/>
    <cellStyle name="Warning Text 3" xfId="7039" hidden="1" xr:uid="{00000000-0005-0000-0000-00009F2D0000}"/>
    <cellStyle name="Warning Text 3" xfId="7071" hidden="1" xr:uid="{00000000-0005-0000-0000-0000A02D0000}"/>
    <cellStyle name="Warning Text 3" xfId="7104" hidden="1" xr:uid="{00000000-0005-0000-0000-0000A12D0000}"/>
    <cellStyle name="Warning Text 3" xfId="7137" hidden="1" xr:uid="{00000000-0005-0000-0000-0000A22D0000}"/>
    <cellStyle name="Warning Text 3" xfId="7170" hidden="1" xr:uid="{00000000-0005-0000-0000-0000A32D0000}"/>
    <cellStyle name="Warning Text 3" xfId="7203" hidden="1" xr:uid="{00000000-0005-0000-0000-0000A42D0000}"/>
    <cellStyle name="Warning Text 3" xfId="7236" hidden="1" xr:uid="{00000000-0005-0000-0000-0000A52D0000}"/>
    <cellStyle name="Warning Text 3" xfId="7269" hidden="1" xr:uid="{00000000-0005-0000-0000-0000A62D0000}"/>
    <cellStyle name="Warning Text 3" xfId="7320" hidden="1" xr:uid="{00000000-0005-0000-0000-0000A72D0000}"/>
    <cellStyle name="Warning Text 3" xfId="7357" hidden="1" xr:uid="{00000000-0005-0000-0000-0000A82D0000}"/>
    <cellStyle name="Warning Text 3" xfId="7390" hidden="1" xr:uid="{00000000-0005-0000-0000-0000A92D0000}"/>
    <cellStyle name="Warning Text 3" xfId="7422" hidden="1" xr:uid="{00000000-0005-0000-0000-0000AA2D0000}"/>
    <cellStyle name="Warning Text 3" xfId="7454" hidden="1" xr:uid="{00000000-0005-0000-0000-0000AB2D0000}"/>
    <cellStyle name="Warning Text 3" xfId="7487" hidden="1" xr:uid="{00000000-0005-0000-0000-0000AC2D0000}"/>
    <cellStyle name="Warning Text 3" xfId="7519" hidden="1" xr:uid="{00000000-0005-0000-0000-0000AD2D0000}"/>
    <cellStyle name="Warning Text 3" xfId="7552" hidden="1" xr:uid="{00000000-0005-0000-0000-0000AE2D0000}"/>
    <cellStyle name="Warning Text 3" xfId="7584" hidden="1" xr:uid="{00000000-0005-0000-0000-0000AF2D0000}"/>
    <cellStyle name="Warning Text 3" xfId="7617" hidden="1" xr:uid="{00000000-0005-0000-0000-0000B02D0000}"/>
    <cellStyle name="Warning Text 3" xfId="7650" hidden="1" xr:uid="{00000000-0005-0000-0000-0000B12D0000}"/>
    <cellStyle name="Warning Text 3" xfId="7683" hidden="1" xr:uid="{00000000-0005-0000-0000-0000B22D0000}"/>
    <cellStyle name="Warning Text 3" xfId="7716" hidden="1" xr:uid="{00000000-0005-0000-0000-0000B32D0000}"/>
    <cellStyle name="Warning Text 3" xfId="7749" hidden="1" xr:uid="{00000000-0005-0000-0000-0000B42D0000}"/>
    <cellStyle name="Warning Text 3" xfId="7775" hidden="1" xr:uid="{00000000-0005-0000-0000-0000B52D0000}"/>
    <cellStyle name="Warning Text 3" xfId="7797" hidden="1" xr:uid="{00000000-0005-0000-0000-0000B62D0000}"/>
    <cellStyle name="Warning Text 3" xfId="7834" hidden="1" xr:uid="{00000000-0005-0000-0000-0000B72D0000}"/>
    <cellStyle name="Warning Text 3" xfId="7867" hidden="1" xr:uid="{00000000-0005-0000-0000-0000B82D0000}"/>
    <cellStyle name="Warning Text 3" xfId="7899" hidden="1" xr:uid="{00000000-0005-0000-0000-0000B92D0000}"/>
    <cellStyle name="Warning Text 3" xfId="7931" hidden="1" xr:uid="{00000000-0005-0000-0000-0000BA2D0000}"/>
    <cellStyle name="Warning Text 3" xfId="7964" hidden="1" xr:uid="{00000000-0005-0000-0000-0000BB2D0000}"/>
    <cellStyle name="Warning Text 3" xfId="7996" hidden="1" xr:uid="{00000000-0005-0000-0000-0000BC2D0000}"/>
    <cellStyle name="Warning Text 3" xfId="8029" hidden="1" xr:uid="{00000000-0005-0000-0000-0000BD2D0000}"/>
    <cellStyle name="Warning Text 3" xfId="8061" hidden="1" xr:uid="{00000000-0005-0000-0000-0000BE2D0000}"/>
    <cellStyle name="Warning Text 3" xfId="8094" hidden="1" xr:uid="{00000000-0005-0000-0000-0000BF2D0000}"/>
    <cellStyle name="Warning Text 3" xfId="8127" hidden="1" xr:uid="{00000000-0005-0000-0000-0000C02D0000}"/>
    <cellStyle name="Warning Text 3" xfId="8160" hidden="1" xr:uid="{00000000-0005-0000-0000-0000C12D0000}"/>
    <cellStyle name="Warning Text 3" xfId="8193" hidden="1" xr:uid="{00000000-0005-0000-0000-0000C22D0000}"/>
    <cellStyle name="Warning Text 3" xfId="8226" hidden="1" xr:uid="{00000000-0005-0000-0000-0000C32D0000}"/>
    <cellStyle name="Warning Text 3" xfId="8252" hidden="1" xr:uid="{00000000-0005-0000-0000-0000C42D0000}"/>
    <cellStyle name="Warning Text 3" xfId="6775" hidden="1" xr:uid="{00000000-0005-0000-0000-0000C52D0000}"/>
    <cellStyle name="Warning Text 3" xfId="6771" hidden="1" xr:uid="{00000000-0005-0000-0000-0000C62D0000}"/>
    <cellStyle name="Warning Text 3" xfId="6763" hidden="1" xr:uid="{00000000-0005-0000-0000-0000C72D0000}"/>
    <cellStyle name="Warning Text 3" xfId="5726" hidden="1" xr:uid="{00000000-0005-0000-0000-0000C82D0000}"/>
    <cellStyle name="Warning Text 3" xfId="4274" hidden="1" xr:uid="{00000000-0005-0000-0000-0000C92D0000}"/>
    <cellStyle name="Warning Text 3" xfId="4260" hidden="1" xr:uid="{00000000-0005-0000-0000-0000CA2D0000}"/>
    <cellStyle name="Warning Text 3" xfId="8271" hidden="1" xr:uid="{00000000-0005-0000-0000-0000CB2D0000}"/>
    <cellStyle name="Warning Text 3" xfId="8304" hidden="1" xr:uid="{00000000-0005-0000-0000-0000CC2D0000}"/>
    <cellStyle name="Warning Text 3" xfId="8337" hidden="1" xr:uid="{00000000-0005-0000-0000-0000CD2D0000}"/>
    <cellStyle name="Warning Text 3" xfId="8370" hidden="1" xr:uid="{00000000-0005-0000-0000-0000CE2D0000}"/>
    <cellStyle name="Warning Text 3" xfId="8403" hidden="1" xr:uid="{00000000-0005-0000-0000-0000CF2D0000}"/>
    <cellStyle name="Warning Text 3" xfId="8440" hidden="1" xr:uid="{00000000-0005-0000-0000-0000D02D0000}"/>
    <cellStyle name="Warning Text 3" xfId="8473" hidden="1" xr:uid="{00000000-0005-0000-0000-0000D12D0000}"/>
    <cellStyle name="Warning Text 3" xfId="8505" hidden="1" xr:uid="{00000000-0005-0000-0000-0000D22D0000}"/>
    <cellStyle name="Warning Text 3" xfId="8537" hidden="1" xr:uid="{00000000-0005-0000-0000-0000D32D0000}"/>
    <cellStyle name="Warning Text 3" xfId="8570" hidden="1" xr:uid="{00000000-0005-0000-0000-0000D42D0000}"/>
    <cellStyle name="Warning Text 3" xfId="8602" hidden="1" xr:uid="{00000000-0005-0000-0000-0000D52D0000}"/>
    <cellStyle name="Warning Text 3" xfId="8635" hidden="1" xr:uid="{00000000-0005-0000-0000-0000D62D0000}"/>
    <cellStyle name="Warning Text 3" xfId="8667" hidden="1" xr:uid="{00000000-0005-0000-0000-0000D72D0000}"/>
    <cellStyle name="Warning Text 3" xfId="8700" hidden="1" xr:uid="{00000000-0005-0000-0000-0000D82D0000}"/>
    <cellStyle name="Warning Text 3" xfId="8733" hidden="1" xr:uid="{00000000-0005-0000-0000-0000D92D0000}"/>
    <cellStyle name="Warning Text 3" xfId="8766" hidden="1" xr:uid="{00000000-0005-0000-0000-0000DA2D0000}"/>
    <cellStyle name="Warning Text 3" xfId="8799" hidden="1" xr:uid="{00000000-0005-0000-0000-0000DB2D0000}"/>
    <cellStyle name="Warning Text 3" xfId="8832" hidden="1" xr:uid="{00000000-0005-0000-0000-0000DC2D0000}"/>
    <cellStyle name="Warning Text 3" xfId="8865" hidden="1" xr:uid="{00000000-0005-0000-0000-0000DD2D0000}"/>
    <cellStyle name="Warning Text 3" xfId="8905" hidden="1" xr:uid="{00000000-0005-0000-0000-0000DE2D0000}"/>
    <cellStyle name="Warning Text 3" xfId="8942" hidden="1" xr:uid="{00000000-0005-0000-0000-0000DF2D0000}"/>
    <cellStyle name="Warning Text 3" xfId="8975" hidden="1" xr:uid="{00000000-0005-0000-0000-0000E02D0000}"/>
    <cellStyle name="Warning Text 3" xfId="9007" hidden="1" xr:uid="{00000000-0005-0000-0000-0000E12D0000}"/>
    <cellStyle name="Warning Text 3" xfId="9039" hidden="1" xr:uid="{00000000-0005-0000-0000-0000E22D0000}"/>
    <cellStyle name="Warning Text 3" xfId="9072" hidden="1" xr:uid="{00000000-0005-0000-0000-0000E32D0000}"/>
    <cellStyle name="Warning Text 3" xfId="9104" hidden="1" xr:uid="{00000000-0005-0000-0000-0000E42D0000}"/>
    <cellStyle name="Warning Text 3" xfId="9137" hidden="1" xr:uid="{00000000-0005-0000-0000-0000E52D0000}"/>
    <cellStyle name="Warning Text 3" xfId="9169" hidden="1" xr:uid="{00000000-0005-0000-0000-0000E62D0000}"/>
    <cellStyle name="Warning Text 3" xfId="9202" hidden="1" xr:uid="{00000000-0005-0000-0000-0000E72D0000}"/>
    <cellStyle name="Warning Text 3" xfId="9235" hidden="1" xr:uid="{00000000-0005-0000-0000-0000E82D0000}"/>
    <cellStyle name="Warning Text 3" xfId="9268" hidden="1" xr:uid="{00000000-0005-0000-0000-0000E92D0000}"/>
    <cellStyle name="Warning Text 3" xfId="9301" hidden="1" xr:uid="{00000000-0005-0000-0000-0000EA2D0000}"/>
    <cellStyle name="Warning Text 3" xfId="9334" hidden="1" xr:uid="{00000000-0005-0000-0000-0000EB2D0000}"/>
    <cellStyle name="Warning Text 3" xfId="9367" hidden="1" xr:uid="{00000000-0005-0000-0000-0000EC2D0000}"/>
    <cellStyle name="Warning Text 3" xfId="9418" hidden="1" xr:uid="{00000000-0005-0000-0000-0000ED2D0000}"/>
    <cellStyle name="Warning Text 3" xfId="9455" hidden="1" xr:uid="{00000000-0005-0000-0000-0000EE2D0000}"/>
    <cellStyle name="Warning Text 3" xfId="9488" hidden="1" xr:uid="{00000000-0005-0000-0000-0000EF2D0000}"/>
    <cellStyle name="Warning Text 3" xfId="9520" hidden="1" xr:uid="{00000000-0005-0000-0000-0000F02D0000}"/>
    <cellStyle name="Warning Text 3" xfId="9552" hidden="1" xr:uid="{00000000-0005-0000-0000-0000F12D0000}"/>
    <cellStyle name="Warning Text 3" xfId="9585" hidden="1" xr:uid="{00000000-0005-0000-0000-0000F22D0000}"/>
    <cellStyle name="Warning Text 3" xfId="9617" hidden="1" xr:uid="{00000000-0005-0000-0000-0000F32D0000}"/>
    <cellStyle name="Warning Text 3" xfId="9650" hidden="1" xr:uid="{00000000-0005-0000-0000-0000F42D0000}"/>
    <cellStyle name="Warning Text 3" xfId="9682" hidden="1" xr:uid="{00000000-0005-0000-0000-0000F52D0000}"/>
    <cellStyle name="Warning Text 3" xfId="9715" hidden="1" xr:uid="{00000000-0005-0000-0000-0000F62D0000}"/>
    <cellStyle name="Warning Text 3" xfId="9748" hidden="1" xr:uid="{00000000-0005-0000-0000-0000F72D0000}"/>
    <cellStyle name="Warning Text 3" xfId="9781" hidden="1" xr:uid="{00000000-0005-0000-0000-0000F82D0000}"/>
    <cellStyle name="Warning Text 3" xfId="9814" hidden="1" xr:uid="{00000000-0005-0000-0000-0000F92D0000}"/>
    <cellStyle name="Warning Text 3" xfId="9847" hidden="1" xr:uid="{00000000-0005-0000-0000-0000FA2D0000}"/>
    <cellStyle name="Warning Text 3" xfId="9873" hidden="1" xr:uid="{00000000-0005-0000-0000-0000FB2D0000}"/>
    <cellStyle name="Warning Text 3" xfId="9895" hidden="1" xr:uid="{00000000-0005-0000-0000-0000FC2D0000}"/>
    <cellStyle name="Warning Text 3" xfId="9932" hidden="1" xr:uid="{00000000-0005-0000-0000-0000FD2D0000}"/>
    <cellStyle name="Warning Text 3" xfId="9965" hidden="1" xr:uid="{00000000-0005-0000-0000-0000FE2D0000}"/>
    <cellStyle name="Warning Text 3" xfId="9997" hidden="1" xr:uid="{00000000-0005-0000-0000-0000FF2D0000}"/>
    <cellStyle name="Warning Text 3" xfId="10029" hidden="1" xr:uid="{00000000-0005-0000-0000-0000002E0000}"/>
    <cellStyle name="Warning Text 3" xfId="10062" hidden="1" xr:uid="{00000000-0005-0000-0000-0000012E0000}"/>
    <cellStyle name="Warning Text 3" xfId="10094" hidden="1" xr:uid="{00000000-0005-0000-0000-0000022E0000}"/>
    <cellStyle name="Warning Text 3" xfId="10127" hidden="1" xr:uid="{00000000-0005-0000-0000-0000032E0000}"/>
    <cellStyle name="Warning Text 3" xfId="10159" hidden="1" xr:uid="{00000000-0005-0000-0000-0000042E0000}"/>
    <cellStyle name="Warning Text 3" xfId="10192" hidden="1" xr:uid="{00000000-0005-0000-0000-0000052E0000}"/>
    <cellStyle name="Warning Text 3" xfId="10225" hidden="1" xr:uid="{00000000-0005-0000-0000-0000062E0000}"/>
    <cellStyle name="Warning Text 3" xfId="10258" hidden="1" xr:uid="{00000000-0005-0000-0000-0000072E0000}"/>
    <cellStyle name="Warning Text 3" xfId="10291" hidden="1" xr:uid="{00000000-0005-0000-0000-0000082E0000}"/>
    <cellStyle name="Warning Text 3" xfId="10324" hidden="1" xr:uid="{00000000-0005-0000-0000-0000092E0000}"/>
    <cellStyle name="Warning Text 3" xfId="10350" hidden="1" xr:uid="{00000000-0005-0000-0000-00000A2E0000}"/>
    <cellStyle name="Warning Text 3" xfId="10383" hidden="1" xr:uid="{00000000-0005-0000-0000-00000B2E0000}"/>
    <cellStyle name="Warning Text 3" xfId="10420" hidden="1" xr:uid="{00000000-0005-0000-0000-00000C2E0000}"/>
    <cellStyle name="Warning Text 3" xfId="10453" hidden="1" xr:uid="{00000000-0005-0000-0000-00000D2E0000}"/>
    <cellStyle name="Warning Text 3" xfId="10485" hidden="1" xr:uid="{00000000-0005-0000-0000-00000E2E0000}"/>
    <cellStyle name="Warning Text 3" xfId="10517" hidden="1" xr:uid="{00000000-0005-0000-0000-00000F2E0000}"/>
    <cellStyle name="Warning Text 3" xfId="10550" hidden="1" xr:uid="{00000000-0005-0000-0000-0000102E0000}"/>
    <cellStyle name="Warning Text 3" xfId="10582" hidden="1" xr:uid="{00000000-0005-0000-0000-0000112E0000}"/>
    <cellStyle name="Warning Text 3" xfId="10615" hidden="1" xr:uid="{00000000-0005-0000-0000-0000122E0000}"/>
    <cellStyle name="Warning Text 3" xfId="10647" hidden="1" xr:uid="{00000000-0005-0000-0000-0000132E0000}"/>
    <cellStyle name="Warning Text 3" xfId="10680" hidden="1" xr:uid="{00000000-0005-0000-0000-0000142E0000}"/>
    <cellStyle name="Warning Text 3" xfId="10713" hidden="1" xr:uid="{00000000-0005-0000-0000-0000152E0000}"/>
    <cellStyle name="Warning Text 3" xfId="10746" hidden="1" xr:uid="{00000000-0005-0000-0000-0000162E0000}"/>
    <cellStyle name="Warning Text 3" xfId="10779" hidden="1" xr:uid="{00000000-0005-0000-0000-0000172E0000}"/>
    <cellStyle name="Warning Text 3" xfId="10812" hidden="1" xr:uid="{00000000-0005-0000-0000-0000182E0000}"/>
    <cellStyle name="Warning Text 3" xfId="10845" hidden="1" xr:uid="{00000000-0005-0000-0000-0000192E0000}"/>
    <cellStyle name="Warning Text 3" xfId="10896" hidden="1" xr:uid="{00000000-0005-0000-0000-00001A2E0000}"/>
    <cellStyle name="Warning Text 3" xfId="10933" hidden="1" xr:uid="{00000000-0005-0000-0000-00001B2E0000}"/>
    <cellStyle name="Warning Text 3" xfId="10966" hidden="1" xr:uid="{00000000-0005-0000-0000-00001C2E0000}"/>
    <cellStyle name="Warning Text 3" xfId="10998" hidden="1" xr:uid="{00000000-0005-0000-0000-00001D2E0000}"/>
    <cellStyle name="Warning Text 3" xfId="11030" hidden="1" xr:uid="{00000000-0005-0000-0000-00001E2E0000}"/>
    <cellStyle name="Warning Text 3" xfId="11063" hidden="1" xr:uid="{00000000-0005-0000-0000-00001F2E0000}"/>
    <cellStyle name="Warning Text 3" xfId="11095" hidden="1" xr:uid="{00000000-0005-0000-0000-0000202E0000}"/>
    <cellStyle name="Warning Text 3" xfId="11128" hidden="1" xr:uid="{00000000-0005-0000-0000-0000212E0000}"/>
    <cellStyle name="Warning Text 3" xfId="11160" hidden="1" xr:uid="{00000000-0005-0000-0000-0000222E0000}"/>
    <cellStyle name="Warning Text 3" xfId="11193" hidden="1" xr:uid="{00000000-0005-0000-0000-0000232E0000}"/>
    <cellStyle name="Warning Text 3" xfId="11226" hidden="1" xr:uid="{00000000-0005-0000-0000-0000242E0000}"/>
    <cellStyle name="Warning Text 3" xfId="11259" hidden="1" xr:uid="{00000000-0005-0000-0000-0000252E0000}"/>
    <cellStyle name="Warning Text 3" xfId="11292" hidden="1" xr:uid="{00000000-0005-0000-0000-0000262E0000}"/>
    <cellStyle name="Warning Text 3" xfId="11325" hidden="1" xr:uid="{00000000-0005-0000-0000-0000272E0000}"/>
    <cellStyle name="Warning Text 3" xfId="11351" hidden="1" xr:uid="{00000000-0005-0000-0000-0000282E0000}"/>
    <cellStyle name="Warning Text 3" xfId="11373" hidden="1" xr:uid="{00000000-0005-0000-0000-0000292E0000}"/>
    <cellStyle name="Warning Text 3" xfId="11410" hidden="1" xr:uid="{00000000-0005-0000-0000-00002A2E0000}"/>
    <cellStyle name="Warning Text 3" xfId="11443" hidden="1" xr:uid="{00000000-0005-0000-0000-00002B2E0000}"/>
    <cellStyle name="Warning Text 3" xfId="11475" hidden="1" xr:uid="{00000000-0005-0000-0000-00002C2E0000}"/>
    <cellStyle name="Warning Text 3" xfId="11507" hidden="1" xr:uid="{00000000-0005-0000-0000-00002D2E0000}"/>
    <cellStyle name="Warning Text 3" xfId="11540" hidden="1" xr:uid="{00000000-0005-0000-0000-00002E2E0000}"/>
    <cellStyle name="Warning Text 3" xfId="11572" hidden="1" xr:uid="{00000000-0005-0000-0000-00002F2E0000}"/>
    <cellStyle name="Warning Text 3" xfId="11605" hidden="1" xr:uid="{00000000-0005-0000-0000-0000302E0000}"/>
    <cellStyle name="Warning Text 3" xfId="11637" hidden="1" xr:uid="{00000000-0005-0000-0000-0000312E0000}"/>
    <cellStyle name="Warning Text 3" xfId="11670" hidden="1" xr:uid="{00000000-0005-0000-0000-0000322E0000}"/>
    <cellStyle name="Warning Text 3" xfId="11703" hidden="1" xr:uid="{00000000-0005-0000-0000-0000332E0000}"/>
    <cellStyle name="Warning Text 3" xfId="11736" hidden="1" xr:uid="{00000000-0005-0000-0000-0000342E0000}"/>
    <cellStyle name="Warning Text 3" xfId="11769" hidden="1" xr:uid="{00000000-0005-0000-0000-0000352E0000}"/>
    <cellStyle name="Warning Text 3" xfId="11802" hidden="1" xr:uid="{00000000-0005-0000-0000-0000362E0000}"/>
    <cellStyle name="Warning Text 3" xfId="11828" xr:uid="{00000000-0005-0000-0000-0000372E0000}"/>
    <cellStyle name="Warning Text 4" xfId="197" xr:uid="{00000000-0005-0000-0000-0000382E0000}"/>
  </cellStyles>
  <dxfs count="82">
    <dxf>
      <fill>
        <patternFill>
          <bgColor rgb="FF92D050"/>
        </patternFill>
      </fill>
    </dxf>
    <dxf>
      <fill>
        <patternFill>
          <bgColor rgb="FFFF0000"/>
        </patternFill>
      </fill>
    </dxf>
    <dxf>
      <fill>
        <patternFill>
          <bgColor rgb="FF92D050"/>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FFC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C000"/>
        </patternFill>
      </fill>
    </dxf>
    <dxf>
      <font>
        <sz val="10"/>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MySlicerStyle" pivot="0" table="0" count="2" xr9:uid="{00000000-0011-0000-FFFF-FFFF00000000}">
      <tableStyleElement type="wholeTable" dxfId="81"/>
      <tableStyleElement type="headerRow" dxfId="80"/>
    </tableStyle>
  </tableStyles>
  <colors>
    <mruColors>
      <color rgb="FFFFC0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Custom 6">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20"/>
  <sheetViews>
    <sheetView showGridLines="0" zoomScaleNormal="100" zoomScaleSheetLayoutView="85" zoomScalePageLayoutView="40" workbookViewId="0"/>
  </sheetViews>
  <sheetFormatPr defaultColWidth="0" defaultRowHeight="13" zeroHeight="1" x14ac:dyDescent="0.3"/>
  <cols>
    <col min="1" max="1" width="5.6328125" style="289" customWidth="1"/>
    <col min="2" max="3" width="12.90625" style="288" customWidth="1"/>
    <col min="4" max="4" width="67.6328125" style="289" customWidth="1"/>
    <col min="5" max="5" width="17.08984375" style="289" customWidth="1"/>
    <col min="6" max="6" width="5.6328125" style="289" customWidth="1"/>
    <col min="7" max="7" width="14.36328125" style="289" customWidth="1"/>
    <col min="8" max="8" width="5.6328125" style="289" customWidth="1"/>
    <col min="9" max="9" width="0" style="289" hidden="1" customWidth="1"/>
    <col min="10" max="16384" width="9.08984375" style="289" hidden="1"/>
  </cols>
  <sheetData>
    <row r="1" spans="2:7" ht="12.75" customHeight="1" thickBot="1" x14ac:dyDescent="0.35"/>
    <row r="2" spans="2:7" ht="13.5" customHeight="1" thickBot="1" x14ac:dyDescent="0.35">
      <c r="B2" s="554" t="s">
        <v>11</v>
      </c>
      <c r="C2" s="555"/>
      <c r="D2" s="555"/>
      <c r="E2" s="556"/>
    </row>
    <row r="3" spans="2:7" ht="12.75" customHeight="1" thickBot="1" x14ac:dyDescent="0.35">
      <c r="B3" s="290"/>
      <c r="C3" s="290"/>
      <c r="D3" s="291"/>
      <c r="E3" s="291"/>
    </row>
    <row r="4" spans="2:7" ht="15.75" customHeight="1" thickBot="1" x14ac:dyDescent="0.35">
      <c r="B4" s="557" t="s">
        <v>0</v>
      </c>
      <c r="C4" s="558"/>
      <c r="D4" s="558"/>
      <c r="E4" s="559"/>
      <c r="G4" s="292" t="s">
        <v>211</v>
      </c>
    </row>
    <row r="5" spans="2:7" ht="26.5" thickBot="1" x14ac:dyDescent="0.35">
      <c r="B5" s="293" t="s">
        <v>196</v>
      </c>
      <c r="C5" s="294" t="s">
        <v>197</v>
      </c>
      <c r="D5" s="294" t="s">
        <v>198</v>
      </c>
      <c r="E5" s="295" t="s">
        <v>199</v>
      </c>
      <c r="G5" s="296" t="s">
        <v>80</v>
      </c>
    </row>
    <row r="6" spans="2:7" ht="15" customHeight="1" x14ac:dyDescent="0.3">
      <c r="B6" s="297">
        <v>1</v>
      </c>
      <c r="C6" s="298" t="s">
        <v>392</v>
      </c>
      <c r="D6" s="298" t="s">
        <v>129</v>
      </c>
      <c r="E6" s="299" t="s">
        <v>193</v>
      </c>
      <c r="G6" s="128" t="str">
        <f ca="1">IF(COUNTIF('1.0'!C20:C22,"NOT OK")=0,"OK","NOT OK")</f>
        <v>NOT OK</v>
      </c>
    </row>
    <row r="7" spans="2:7" ht="15" customHeight="1" x14ac:dyDescent="0.3">
      <c r="B7" s="300">
        <v>1.1000000000000001</v>
      </c>
      <c r="C7" s="301" t="s">
        <v>393</v>
      </c>
      <c r="D7" s="301" t="s">
        <v>130</v>
      </c>
      <c r="E7" s="302" t="s">
        <v>194</v>
      </c>
      <c r="G7" s="129" t="str">
        <f>IF(COUNTIF('1.1'!K6:K17,"NOT OK")=0,"OK","NOT OK")</f>
        <v>NOT OK</v>
      </c>
    </row>
    <row r="8" spans="2:7" ht="15" customHeight="1" x14ac:dyDescent="0.3">
      <c r="B8" s="300">
        <v>1.2</v>
      </c>
      <c r="C8" s="301" t="s">
        <v>332</v>
      </c>
      <c r="D8" s="301" t="s">
        <v>63</v>
      </c>
      <c r="E8" s="302" t="s">
        <v>195</v>
      </c>
      <c r="G8" s="129" t="str">
        <f>IF(COUNTIF('1.2'!H7:H12,"NOT OK")=0,IF(COUNTIF('1.2'!H7:H12,"WARNING")=0,"OK","WARNING"),"NOT OK")</f>
        <v>NOT OK</v>
      </c>
    </row>
    <row r="9" spans="2:7" ht="15" customHeight="1" x14ac:dyDescent="0.3">
      <c r="B9" s="300" t="s">
        <v>180</v>
      </c>
      <c r="C9" s="301" t="s">
        <v>391</v>
      </c>
      <c r="D9" s="301" t="s">
        <v>150</v>
      </c>
      <c r="E9" s="302" t="s">
        <v>151</v>
      </c>
      <c r="G9" s="129" t="str">
        <f>IF('1.2'!E11="More than 20 facility grades or pools (including continuous LGD models)", IF(COUNTIF('2.0'!Y8:Y21,"NOT OK")=0,IF(COUNTIF('2.0'!Y8:Y21,"WARNING")=0,"OK","WARNING"),"NOT OK"), "NOT ASSESSED")</f>
        <v>NOT ASSESSED</v>
      </c>
    </row>
    <row r="10" spans="2:7" ht="15" customHeight="1" x14ac:dyDescent="0.3">
      <c r="B10" s="300">
        <v>2.1</v>
      </c>
      <c r="C10" s="301" t="s">
        <v>394</v>
      </c>
      <c r="D10" s="301" t="s">
        <v>280</v>
      </c>
      <c r="E10" s="302" t="s">
        <v>151</v>
      </c>
      <c r="G10" s="129" t="str">
        <f>IF('1.2'!E11="Less than or equal to 20 facility grades or pools",IF(COUNTIF('2.1'!AH7:AH28,"NOT OK")=0,IF(COUNTIF('2.1'!AH7:AH28,"WARNING")=0,"OK","WARNING"),"NOT OK"),"NOT ASSESSED")</f>
        <v>NOT ASSESSED</v>
      </c>
    </row>
    <row r="11" spans="2:7" ht="15" customHeight="1" x14ac:dyDescent="0.3">
      <c r="B11" s="300" t="s">
        <v>181</v>
      </c>
      <c r="C11" s="301" t="s">
        <v>334</v>
      </c>
      <c r="D11" s="301" t="s">
        <v>149</v>
      </c>
      <c r="E11" s="302" t="s">
        <v>152</v>
      </c>
      <c r="G11" s="129" t="str">
        <f>IF(COUNTIF('3.0'!E9:L9,"NOT OK")=0,IF(COUNTIF('3.0'!E9:L9,"WARNING")=0,"OK","WARNING"),"NOT OK")</f>
        <v>NOT OK</v>
      </c>
    </row>
    <row r="12" spans="2:7" ht="15" customHeight="1" x14ac:dyDescent="0.3">
      <c r="B12" s="300">
        <v>4.0999999999999996</v>
      </c>
      <c r="C12" s="301" t="s">
        <v>395</v>
      </c>
      <c r="D12" s="301" t="s">
        <v>45</v>
      </c>
      <c r="E12" s="302" t="s">
        <v>153</v>
      </c>
      <c r="G12" s="129" t="str">
        <f>IF(COUNTIF('4.1'!C10:C10,"NOT OK")=0,IF(COUNTIF('4.1'!C10:C10,"WARNING")=0,"OK","WARNING"),"NOT OK")</f>
        <v>NOT OK</v>
      </c>
    </row>
    <row r="13" spans="2:7" ht="15" customHeight="1" x14ac:dyDescent="0.3">
      <c r="B13" s="300">
        <v>4.2</v>
      </c>
      <c r="C13" s="301" t="s">
        <v>396</v>
      </c>
      <c r="D13" s="301" t="s">
        <v>144</v>
      </c>
      <c r="E13" s="302" t="s">
        <v>154</v>
      </c>
      <c r="G13" s="129" t="str">
        <f>IF(COUNTIF('4.2'!O9:O37,"NOT OK")=0,IF(COUNTIF('4.2'!O9:O37,"WARNING")=0,"OK","WARNING"),"NOT OK")</f>
        <v>OK</v>
      </c>
    </row>
    <row r="14" spans="2:7" ht="15" customHeight="1" thickBot="1" x14ac:dyDescent="0.35">
      <c r="B14" s="303">
        <v>4.3</v>
      </c>
      <c r="C14" s="304" t="s">
        <v>397</v>
      </c>
      <c r="D14" s="304" t="s">
        <v>148</v>
      </c>
      <c r="E14" s="305" t="s">
        <v>155</v>
      </c>
      <c r="G14" s="130" t="str">
        <f>IF(COUNTIF('4.3'!H7:H15,"NOT OK")=0,IF(COUNTIF('4.3'!H7:H15,"WARNING")=0,"OK","WARNING"),"NOT OK")</f>
        <v>NOT OK</v>
      </c>
    </row>
    <row r="15" spans="2:7" ht="12.75" customHeight="1" x14ac:dyDescent="0.3"/>
    <row r="16" spans="2:7" hidden="1" x14ac:dyDescent="0.3">
      <c r="C16" s="289"/>
    </row>
    <row r="17" s="289" customFormat="1" hidden="1" x14ac:dyDescent="0.3"/>
    <row r="18" s="289" customFormat="1" hidden="1" x14ac:dyDescent="0.3"/>
    <row r="20" s="289" customFormat="1" hidden="1" x14ac:dyDescent="0.3"/>
  </sheetData>
  <sheetProtection password="9BF7" sheet="1" objects="1" scenarios="1"/>
  <mergeCells count="2">
    <mergeCell ref="B2:E2"/>
    <mergeCell ref="B4:E4"/>
  </mergeCells>
  <conditionalFormatting sqref="G6:G14">
    <cfRule type="expression" dxfId="79" priority="8">
      <formula>G6="WARNING"</formula>
    </cfRule>
    <cfRule type="expression" dxfId="78" priority="9">
      <formula>G6="NOT OK"</formula>
    </cfRule>
    <cfRule type="expression" dxfId="77" priority="10">
      <formula>G6="OK"</formula>
    </cfRule>
  </conditionalFormatting>
  <conditionalFormatting sqref="G9">
    <cfRule type="expression" dxfId="76" priority="2">
      <formula>$G$9="No LGD model preferred"</formula>
    </cfRule>
  </conditionalFormatting>
  <conditionalFormatting sqref="G9:G10">
    <cfRule type="expression" dxfId="75" priority="3">
      <formula>G9="NOT ASSESSED"</formula>
    </cfRule>
  </conditionalFormatting>
  <conditionalFormatting sqref="G10">
    <cfRule type="expression" dxfId="74" priority="1">
      <formula>$G$10="No LGD model preferred"</formula>
    </cfRule>
  </conditionalFormatting>
  <printOptions horizontalCentered="1"/>
  <pageMargins left="0.23622047244094491" right="0.23622047244094491" top="0.74803149606299213" bottom="0.74803149606299213" header="0.31496062992125984" footer="0.31496062992125984"/>
  <pageSetup paperSize="9" orientation="landscape" r:id="rId1"/>
  <headerFooter>
    <oddFooter>&amp;A</oddFooter>
  </headerFooter>
  <ignoredErrors>
    <ignoredError sqref="B7:B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G39"/>
  <sheetViews>
    <sheetView showGridLines="0" zoomScaleNormal="100" zoomScaleSheetLayoutView="85" workbookViewId="0"/>
  </sheetViews>
  <sheetFormatPr defaultColWidth="0" defaultRowHeight="0" customHeight="1" zeroHeight="1" x14ac:dyDescent="0.35"/>
  <cols>
    <col min="1" max="1" width="5.6328125" style="45" customWidth="1"/>
    <col min="2" max="2" width="50" style="45" customWidth="1"/>
    <col min="3" max="6" width="14.36328125" style="45" customWidth="1"/>
    <col min="7" max="7" width="5.6328125" style="45" customWidth="1"/>
    <col min="8" max="16384" width="11.453125" style="4" hidden="1"/>
  </cols>
  <sheetData>
    <row r="1" spans="1:7" ht="12.75" customHeight="1" thickBot="1" x14ac:dyDescent="0.4">
      <c r="A1" s="306"/>
      <c r="B1" s="307"/>
      <c r="C1" s="307"/>
      <c r="D1" s="307"/>
      <c r="E1" s="307"/>
      <c r="F1" s="307"/>
      <c r="G1" s="306"/>
    </row>
    <row r="2" spans="1:7" ht="13.5" customHeight="1" x14ac:dyDescent="0.35">
      <c r="A2" s="308"/>
      <c r="B2" s="566" t="s">
        <v>316</v>
      </c>
      <c r="C2" s="567"/>
      <c r="D2" s="567"/>
      <c r="E2" s="567"/>
      <c r="F2" s="568"/>
      <c r="G2" s="306"/>
    </row>
    <row r="3" spans="1:7" ht="13.5" customHeight="1" thickBot="1" x14ac:dyDescent="0.4">
      <c r="A3" s="308"/>
      <c r="B3" s="309"/>
      <c r="C3" s="310"/>
      <c r="D3" s="311"/>
      <c r="E3" s="312" t="s">
        <v>286</v>
      </c>
      <c r="F3" s="313">
        <v>1.31</v>
      </c>
      <c r="G3" s="306"/>
    </row>
    <row r="4" spans="1:7" ht="12.75" customHeight="1" thickBot="1" x14ac:dyDescent="0.4">
      <c r="A4" s="306"/>
      <c r="B4" s="306"/>
      <c r="C4" s="306"/>
      <c r="D4" s="306"/>
      <c r="E4" s="306"/>
      <c r="F4" s="306"/>
      <c r="G4" s="306"/>
    </row>
    <row r="5" spans="1:7" ht="15" thickBot="1" x14ac:dyDescent="0.4">
      <c r="A5" s="306"/>
      <c r="B5" s="314" t="s">
        <v>276</v>
      </c>
      <c r="C5" s="560"/>
      <c r="D5" s="561"/>
      <c r="E5" s="561"/>
      <c r="F5" s="562"/>
      <c r="G5" s="315"/>
    </row>
    <row r="6" spans="1:7" ht="12.75" customHeight="1" thickBot="1" x14ac:dyDescent="0.4">
      <c r="A6" s="306"/>
      <c r="B6" s="314"/>
      <c r="C6" s="316"/>
      <c r="D6" s="316"/>
      <c r="E6" s="316"/>
      <c r="F6" s="316"/>
      <c r="G6" s="306"/>
    </row>
    <row r="7" spans="1:7" ht="15" thickBot="1" x14ac:dyDescent="0.4">
      <c r="A7" s="306"/>
      <c r="B7" s="314" t="s">
        <v>277</v>
      </c>
      <c r="C7" s="560"/>
      <c r="D7" s="561"/>
      <c r="E7" s="561"/>
      <c r="F7" s="562"/>
      <c r="G7" s="315"/>
    </row>
    <row r="8" spans="1:7" ht="12.75" customHeight="1" thickBot="1" x14ac:dyDescent="0.4">
      <c r="A8" s="306"/>
      <c r="B8" s="314"/>
      <c r="C8" s="306"/>
      <c r="D8" s="306"/>
      <c r="E8" s="306"/>
      <c r="F8" s="306"/>
      <c r="G8" s="306"/>
    </row>
    <row r="9" spans="1:7" ht="15" thickBot="1" x14ac:dyDescent="0.4">
      <c r="A9" s="306"/>
      <c r="B9" s="314" t="s">
        <v>278</v>
      </c>
      <c r="C9" s="560"/>
      <c r="D9" s="561"/>
      <c r="E9" s="561"/>
      <c r="F9" s="562"/>
      <c r="G9" s="315"/>
    </row>
    <row r="10" spans="1:7" ht="12.75" customHeight="1" thickBot="1" x14ac:dyDescent="0.4">
      <c r="A10" s="306"/>
      <c r="B10" s="306"/>
      <c r="C10" s="306"/>
      <c r="D10" s="306"/>
      <c r="E10" s="306"/>
      <c r="F10" s="306"/>
      <c r="G10" s="306"/>
    </row>
    <row r="11" spans="1:7" ht="15" thickBot="1" x14ac:dyDescent="0.4">
      <c r="A11" s="306"/>
      <c r="B11" s="317" t="s">
        <v>50</v>
      </c>
      <c r="C11" s="563"/>
      <c r="D11" s="564"/>
      <c r="E11" s="564"/>
      <c r="F11" s="565"/>
      <c r="G11" s="315"/>
    </row>
    <row r="12" spans="1:7" ht="12.75" customHeight="1" thickBot="1" x14ac:dyDescent="0.4">
      <c r="A12" s="306"/>
      <c r="B12" s="306"/>
      <c r="C12" s="306"/>
      <c r="D12" s="306"/>
      <c r="E12" s="306"/>
      <c r="F12" s="306"/>
      <c r="G12" s="306"/>
    </row>
    <row r="13" spans="1:7" ht="15" thickBot="1" x14ac:dyDescent="0.4">
      <c r="A13" s="306"/>
      <c r="B13" s="314" t="s">
        <v>347</v>
      </c>
      <c r="C13" s="560"/>
      <c r="D13" s="561"/>
      <c r="E13" s="561"/>
      <c r="F13" s="562"/>
      <c r="G13" s="315"/>
    </row>
    <row r="14" spans="1:7" ht="12.75" customHeight="1" thickBot="1" x14ac:dyDescent="0.4">
      <c r="A14" s="306"/>
      <c r="B14" s="318"/>
      <c r="C14" s="306"/>
      <c r="D14" s="306"/>
      <c r="E14" s="306"/>
      <c r="F14" s="306"/>
      <c r="G14" s="306"/>
    </row>
    <row r="15" spans="1:7" ht="15" thickBot="1" x14ac:dyDescent="0.4">
      <c r="A15" s="306"/>
      <c r="B15" s="317" t="s">
        <v>281</v>
      </c>
      <c r="C15" s="570"/>
      <c r="D15" s="571"/>
      <c r="E15" s="571"/>
      <c r="F15" s="572"/>
      <c r="G15" s="315"/>
    </row>
    <row r="16" spans="1:7" ht="12.75" customHeight="1" thickBot="1" x14ac:dyDescent="0.4">
      <c r="A16" s="306"/>
      <c r="B16" s="306"/>
      <c r="C16" s="306"/>
      <c r="D16" s="306"/>
      <c r="E16" s="306"/>
      <c r="F16" s="306"/>
      <c r="G16" s="306"/>
    </row>
    <row r="17" spans="1:7" ht="15" thickBot="1" x14ac:dyDescent="0.4">
      <c r="A17" s="306"/>
      <c r="B17" s="317" t="s">
        <v>282</v>
      </c>
      <c r="C17" s="570"/>
      <c r="D17" s="571"/>
      <c r="E17" s="571"/>
      <c r="F17" s="572"/>
      <c r="G17" s="315"/>
    </row>
    <row r="18" spans="1:7" ht="12.75" customHeight="1" thickBot="1" x14ac:dyDescent="0.4">
      <c r="A18" s="306"/>
      <c r="B18" s="306"/>
      <c r="C18" s="319"/>
      <c r="D18" s="319"/>
      <c r="E18" s="319"/>
      <c r="F18" s="319"/>
      <c r="G18" s="315"/>
    </row>
    <row r="19" spans="1:7" ht="15" thickBot="1" x14ac:dyDescent="0.4">
      <c r="B19" s="577" t="s">
        <v>211</v>
      </c>
      <c r="C19" s="578"/>
      <c r="D19" s="578"/>
      <c r="E19" s="578"/>
      <c r="F19" s="579"/>
      <c r="G19" s="320"/>
    </row>
    <row r="20" spans="1:7" ht="14.5" x14ac:dyDescent="0.35">
      <c r="A20" s="306"/>
      <c r="B20" s="321" t="s">
        <v>61</v>
      </c>
      <c r="C20" s="121" t="str">
        <f>IF(COUNTA(C5,C7,C9,C11,C13,C15,C17)=7,"OK","NOT OK")</f>
        <v>NOT OK</v>
      </c>
      <c r="D20" s="573" t="str">
        <f>IF(COUNTA(C5,C7,C9,C11,C13,C15,C17)=7,"","Some of the requested information above is missing.")</f>
        <v>Some of the requested information above is missing.</v>
      </c>
      <c r="E20" s="573"/>
      <c r="F20" s="574"/>
      <c r="G20" s="315"/>
    </row>
    <row r="21" spans="1:7" ht="14.5" x14ac:dyDescent="0.35">
      <c r="A21" s="306"/>
      <c r="B21" s="322" t="s">
        <v>283</v>
      </c>
      <c r="C21" s="122" t="str">
        <f ca="1">IF(NOT(AND('1.0'!C36,C35,C38)),"NOT OK",IF(NOT(C37),"WARNING","OK"))</f>
        <v>NOT OK</v>
      </c>
      <c r="D21" s="580" t="str">
        <f>IF(NOT(C35),D35,IF(NOT(C36),D36,IF(NOT(C38),D38,IF(NOT(C37),D37,""))))</f>
        <v>End date &lt; Start date</v>
      </c>
      <c r="E21" s="580"/>
      <c r="F21" s="581"/>
      <c r="G21" s="315"/>
    </row>
    <row r="22" spans="1:7" ht="15" thickBot="1" x14ac:dyDescent="0.4">
      <c r="A22" s="306"/>
      <c r="B22" s="323" t="s">
        <v>62</v>
      </c>
      <c r="C22" s="123" t="str">
        <f ca="1">IF(COUNTIF('1.0'!C24, C7&amp;"_LGD_"&amp;C11&amp;"_"&amp;TEXT(DAY(C17),"00")&amp;TEXT(MONTH(C17),"00")&amp;TEXT(YEAR(C17),"0000")&amp;"_?.xlsx"), "OK", "NOT OK")</f>
        <v>NOT OK</v>
      </c>
      <c r="D22" s="575" t="str">
        <f ca="1">IF(C22="OK","","Filename does not match naming convention.")</f>
        <v>Filename does not match naming convention.</v>
      </c>
      <c r="E22" s="575"/>
      <c r="F22" s="576"/>
      <c r="G22" s="315"/>
    </row>
    <row r="23" spans="1:7" ht="12.75" customHeight="1" thickBot="1" x14ac:dyDescent="0.4">
      <c r="A23" s="306"/>
      <c r="B23" s="324"/>
      <c r="C23" s="324"/>
      <c r="D23" s="324"/>
      <c r="E23" s="324"/>
      <c r="F23" s="324"/>
      <c r="G23" s="315"/>
    </row>
    <row r="24" spans="1:7" ht="14.5" x14ac:dyDescent="0.35">
      <c r="A24" s="306"/>
      <c r="B24" s="321" t="s">
        <v>284</v>
      </c>
      <c r="C24" s="573" t="str">
        <f ca="1">REPLACE(LEFT(CELL("filename",A1),FIND("]",CELL("filename",A1))-1),1,FIND("[",CELL("filename",A1)),"")</f>
        <v>LEICode_LGD_ModelID_EndOfObservationPeriod_versionNumber.xlsx</v>
      </c>
      <c r="D24" s="573"/>
      <c r="E24" s="573"/>
      <c r="F24" s="574"/>
      <c r="G24" s="315"/>
    </row>
    <row r="25" spans="1:7" ht="15" thickBot="1" x14ac:dyDescent="0.4">
      <c r="A25" s="306"/>
      <c r="B25" s="323" t="s">
        <v>285</v>
      </c>
      <c r="C25" s="575" t="str">
        <f t="shared" ref="C25" si="0">C7&amp;"_LGD_"&amp;C11&amp;"_"&amp;IF(DAY(C17)&lt;10,"0","")&amp;DAY(C17)&amp;IF(MONTH(C17)&lt;10,"0","")&amp;MONTH(C17)&amp;YEAR(C17)&amp;"_[#].xlsx"</f>
        <v>_LGD__00011900_[#].xlsx</v>
      </c>
      <c r="D25" s="575"/>
      <c r="E25" s="575"/>
      <c r="F25" s="576"/>
      <c r="G25" s="315"/>
    </row>
    <row r="26" spans="1:7" ht="12.75" customHeight="1" x14ac:dyDescent="0.35">
      <c r="A26" s="306"/>
      <c r="B26" s="325"/>
      <c r="C26" s="319"/>
      <c r="D26" s="319"/>
      <c r="E26" s="319"/>
      <c r="F26" s="319"/>
      <c r="G26" s="315"/>
    </row>
    <row r="27" spans="1:7" ht="14.5" hidden="1" x14ac:dyDescent="0.35">
      <c r="C27" s="326"/>
      <c r="D27" s="326"/>
      <c r="E27" s="326"/>
      <c r="F27" s="326"/>
      <c r="G27" s="320"/>
    </row>
    <row r="28" spans="1:7" ht="14.4" hidden="1" customHeight="1" x14ac:dyDescent="0.35">
      <c r="B28" s="45" t="s">
        <v>368</v>
      </c>
      <c r="C28" s="327">
        <f ca="1">TODAY()</f>
        <v>45996</v>
      </c>
    </row>
    <row r="29" spans="1:7" ht="14.5" hidden="1" x14ac:dyDescent="0.35">
      <c r="B29" s="45" t="s">
        <v>113</v>
      </c>
      <c r="C29" s="569" t="str">
        <f t="shared" ref="C29" si="1">C7&amp;"_LGD_"&amp;C11&amp;"_"&amp;IF(DAY(C17)&lt;10,"0","")&amp;DAY(C17)&amp;IF(MONTH(C17)&lt;10,"0","")&amp;MONTH(C17)&amp;YEAR(C17)&amp;"_"</f>
        <v>_LGD__00011900_</v>
      </c>
      <c r="D29" s="569"/>
      <c r="E29" s="569"/>
      <c r="F29" s="569"/>
    </row>
    <row r="30" spans="1:7" ht="14.5" hidden="1" x14ac:dyDescent="0.35">
      <c r="B30" s="45" t="s">
        <v>114</v>
      </c>
      <c r="C30" s="569" t="str">
        <f ca="1">LEFT(C24,C31)</f>
        <v>LEICode_LGD_Mod</v>
      </c>
      <c r="D30" s="569"/>
      <c r="E30" s="569"/>
      <c r="F30" s="569"/>
    </row>
    <row r="31" spans="1:7" ht="14.4" hidden="1" customHeight="1" x14ac:dyDescent="0.35">
      <c r="B31" s="45" t="s">
        <v>115</v>
      </c>
      <c r="C31" s="45">
        <f>LEN(C29)</f>
        <v>15</v>
      </c>
    </row>
    <row r="32" spans="1:7" ht="14.4" hidden="1" customHeight="1" x14ac:dyDescent="0.35">
      <c r="B32" s="45" t="s">
        <v>116</v>
      </c>
      <c r="C32" s="45">
        <f ca="1">LEN(C24)-6</f>
        <v>55</v>
      </c>
      <c r="D32" s="45" t="s">
        <v>117</v>
      </c>
    </row>
    <row r="33" spans="2:4" ht="14.4" hidden="1" customHeight="1" x14ac:dyDescent="0.35"/>
    <row r="34" spans="2:4" ht="14.4" hidden="1" customHeight="1" x14ac:dyDescent="0.35">
      <c r="B34" s="328" t="s">
        <v>118</v>
      </c>
      <c r="C34" s="328" t="s">
        <v>119</v>
      </c>
      <c r="D34" s="328" t="s">
        <v>120</v>
      </c>
    </row>
    <row r="35" spans="2:4" ht="14.4" hidden="1" customHeight="1" x14ac:dyDescent="0.35">
      <c r="B35" s="45" t="s">
        <v>121</v>
      </c>
      <c r="C35" s="45" t="b">
        <f>C17&gt;C15</f>
        <v>0</v>
      </c>
      <c r="D35" s="45" t="s">
        <v>122</v>
      </c>
    </row>
    <row r="36" spans="2:4" ht="14.4" hidden="1" customHeight="1" x14ac:dyDescent="0.35">
      <c r="B36" s="45" t="s">
        <v>123</v>
      </c>
      <c r="C36" s="45" t="b">
        <f>OR(DAYS360(C15,C17)=360,DAYS360(C15,C17)=359, AND(MONTH(C15)=2,MONTH(C17)=2,DAYS360(C15,C17)=358))</f>
        <v>0</v>
      </c>
      <c r="D36" s="45" t="s">
        <v>124</v>
      </c>
    </row>
    <row r="37" spans="2:4" ht="14.4" hidden="1" customHeight="1" x14ac:dyDescent="0.35">
      <c r="B37" s="327" t="s">
        <v>125</v>
      </c>
      <c r="C37" s="45" t="b">
        <f ca="1">C17&gt;=DATE(YEAR(TODAY())-2,MONTH(TODAY()),DAY(TODAY()))</f>
        <v>0</v>
      </c>
      <c r="D37" s="45" t="s">
        <v>126</v>
      </c>
    </row>
    <row r="38" spans="2:4" ht="14.4" hidden="1" customHeight="1" x14ac:dyDescent="0.35">
      <c r="B38" s="329" t="s">
        <v>127</v>
      </c>
      <c r="C38" s="45" t="b">
        <f ca="1">C17&lt;=TODAY()</f>
        <v>1</v>
      </c>
      <c r="D38" s="45" t="s">
        <v>128</v>
      </c>
    </row>
    <row r="39" spans="2:4" ht="14.4" hidden="1" customHeight="1" x14ac:dyDescent="0.35"/>
  </sheetData>
  <sheetProtection algorithmName="SHA-512" hashValue="0JeUj3P+9+D3x5SokzH9RWuRSBIv/cmQlirmt1bLOXB069u0GDmnNYJkt4sOEloFEm69/mZOIdThVtxVvqlgCg==" saltValue="ZAR3SVtLnmdQfuW9V8seyA==" spinCount="100000" sheet="1" objects="1" scenarios="1"/>
  <mergeCells count="16">
    <mergeCell ref="C29:F29"/>
    <mergeCell ref="C30:F30"/>
    <mergeCell ref="C13:F13"/>
    <mergeCell ref="C15:F15"/>
    <mergeCell ref="C17:F17"/>
    <mergeCell ref="C24:F24"/>
    <mergeCell ref="C25:F25"/>
    <mergeCell ref="B19:F19"/>
    <mergeCell ref="D20:F20"/>
    <mergeCell ref="D21:F21"/>
    <mergeCell ref="D22:F22"/>
    <mergeCell ref="C5:F5"/>
    <mergeCell ref="C7:F7"/>
    <mergeCell ref="C9:F9"/>
    <mergeCell ref="C11:F11"/>
    <mergeCell ref="B2:F2"/>
  </mergeCells>
  <conditionalFormatting sqref="C20:C22">
    <cfRule type="cellIs" dxfId="73" priority="2" operator="equal">
      <formula>"WARNING"</formula>
    </cfRule>
    <cfRule type="cellIs" dxfId="72" priority="3" operator="equal">
      <formula>"OK"</formula>
    </cfRule>
  </conditionalFormatting>
  <dataValidations count="5">
    <dataValidation type="list" allowBlank="1" showInputMessage="1" showErrorMessage="1" error="Allowed values:_x000a_AT,BE,CY,DE,EE,ES,FI,FR,GR,IE,IT,LT,LU,LV,MT,NL,PT,SI,SK" sqref="C5:F5" xr:uid="{00000000-0002-0000-0100-000000000000}">
      <formula1>"AT,BE,CY,DE,EE,ES,FI,FR,GR,IE,IT,LT,LU,LV,MT,NL,PT,SI,SK"</formula1>
    </dataValidation>
    <dataValidation type="custom" allowBlank="1" showInputMessage="1" showErrorMessage="1" errorTitle="Wrong LEI code" error="LEI code must have 20 characters" sqref="C7:F7" xr:uid="{00000000-0002-0000-0100-000001000000}">
      <formula1>LEN(C7)=20</formula1>
    </dataValidation>
    <dataValidation allowBlank="1" error="Allowed values: CON,IND" sqref="C11:F11" xr:uid="{00000000-0002-0000-0100-000002000000}"/>
    <dataValidation type="date" allowBlank="1" showInputMessage="1" showErrorMessage="1" error="Start Date cannot be in the future and have to be after 01/01/1990_x000a_" sqref="C15:F15" xr:uid="{00000000-0002-0000-0100-000003000000}">
      <formula1>32874</formula1>
      <formula2>TODAY()</formula2>
    </dataValidation>
    <dataValidation type="date" showInputMessage="1" showErrorMessage="1" error="A valid date (dd/mm/yyyy) must be entered. Date must be in the past._x000a_" sqref="C17:F17" xr:uid="{00000000-0002-0000-0100-000004000000}">
      <formula1>32874</formula1>
      <formula2>TODAY()</formula2>
    </dataValidation>
  </dataValidations>
  <hyperlinks>
    <hyperlink ref="B11" location="Model__ID" display="Model ID:" xr:uid="{00000000-0004-0000-0100-000000000000}"/>
    <hyperlink ref="B15" location="Relevant_observation_period" display="Start of relevant observation period:" xr:uid="{00000000-0004-0000-0100-000001000000}"/>
    <hyperlink ref="B17" location="Relevant_observation_period" display="End of relevant observation period:" xr:uid="{00000000-0004-0000-0100-000002000000}"/>
  </hyperlinks>
  <printOptions horizontalCentered="1"/>
  <pageMargins left="0.23622047244094491" right="0.23622047244094491" top="0.74803149606299213" bottom="0.74803149606299213" header="0.31496062992125984" footer="0.31496062992125984"/>
  <pageSetup paperSize="9" orientation="landscape" r:id="rId1"/>
  <headerFooter>
    <oddFoote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P44"/>
  <sheetViews>
    <sheetView showGridLines="0" zoomScaleNormal="100" zoomScaleSheetLayoutView="70" workbookViewId="0"/>
  </sheetViews>
  <sheetFormatPr defaultColWidth="0" defaultRowHeight="13" zeroHeight="1" x14ac:dyDescent="0.35"/>
  <cols>
    <col min="1" max="1" width="5.6328125" style="8" customWidth="1"/>
    <col min="2" max="2" width="7.08984375" style="12" customWidth="1"/>
    <col min="3" max="3" width="17.08984375" style="12" customWidth="1"/>
    <col min="4" max="4" width="14.36328125" style="8" customWidth="1"/>
    <col min="5" max="5" width="28.54296875" style="8" customWidth="1"/>
    <col min="6" max="8" width="18.54296875" style="8" customWidth="1"/>
    <col min="9" max="9" width="100" style="8" customWidth="1"/>
    <col min="10" max="10" width="5.6328125" style="8" customWidth="1"/>
    <col min="11" max="11" width="14.36328125" style="8" customWidth="1"/>
    <col min="12" max="12" width="28.6328125" style="8" customWidth="1"/>
    <col min="13" max="13" width="5.6328125" style="8" customWidth="1"/>
    <col min="14" max="16384" width="16.54296875" style="8" hidden="1"/>
  </cols>
  <sheetData>
    <row r="1" spans="2:16" ht="12.75" customHeight="1" thickBot="1" x14ac:dyDescent="0.4"/>
    <row r="2" spans="2:16" s="330" customFormat="1" ht="13.5" customHeight="1" thickBot="1" x14ac:dyDescent="0.4">
      <c r="B2" s="554" t="s">
        <v>331</v>
      </c>
      <c r="C2" s="555"/>
      <c r="D2" s="555"/>
      <c r="E2" s="555"/>
      <c r="F2" s="555"/>
      <c r="G2" s="555"/>
      <c r="H2" s="555"/>
      <c r="I2" s="556"/>
      <c r="J2" s="8"/>
      <c r="K2" s="8"/>
      <c r="L2" s="8"/>
    </row>
    <row r="3" spans="2:16" ht="12.75" customHeight="1" thickBot="1" x14ac:dyDescent="0.4">
      <c r="D3" s="12"/>
    </row>
    <row r="4" spans="2:16" ht="15" thickBot="1" x14ac:dyDescent="0.4">
      <c r="B4" s="590"/>
      <c r="C4" s="593" t="s">
        <v>185</v>
      </c>
      <c r="D4" s="593"/>
      <c r="E4" s="593"/>
      <c r="F4" s="611"/>
      <c r="G4" s="592" t="s">
        <v>186</v>
      </c>
      <c r="H4" s="593"/>
      <c r="I4" s="331" t="s">
        <v>354</v>
      </c>
      <c r="J4" s="332"/>
      <c r="K4" s="594" t="s">
        <v>211</v>
      </c>
      <c r="L4" s="595"/>
    </row>
    <row r="5" spans="2:16" ht="15" thickBot="1" x14ac:dyDescent="0.4">
      <c r="B5" s="591"/>
      <c r="C5" s="612"/>
      <c r="D5" s="612"/>
      <c r="E5" s="612"/>
      <c r="F5" s="613"/>
      <c r="G5" s="596" t="s">
        <v>1</v>
      </c>
      <c r="H5" s="597"/>
      <c r="I5" s="333" t="s">
        <v>2</v>
      </c>
      <c r="J5" s="4"/>
      <c r="K5" s="334" t="s">
        <v>80</v>
      </c>
      <c r="L5" s="335" t="s">
        <v>81</v>
      </c>
    </row>
    <row r="6" spans="2:16" ht="37.5" customHeight="1" x14ac:dyDescent="0.35">
      <c r="B6" s="336" t="s">
        <v>7</v>
      </c>
      <c r="C6" s="582" t="s">
        <v>187</v>
      </c>
      <c r="D6" s="582"/>
      <c r="E6" s="582"/>
      <c r="F6" s="583"/>
      <c r="G6" s="584"/>
      <c r="H6" s="585"/>
      <c r="I6" s="85"/>
      <c r="J6" s="4"/>
      <c r="K6" s="80" t="str">
        <f>IF(OR(G6={"Adequate with no deficiencies","Adequate with minor deficiencies","Major deficiencies identified","Severe deficiencies identified"}),"OK","NOT OK")</f>
        <v>NOT OK</v>
      </c>
      <c r="L6" s="253" t="str">
        <f>IF(G6="", "Row incomplete", IF(K6="NOT OK","Improper value given",""))</f>
        <v>Row incomplete</v>
      </c>
    </row>
    <row r="7" spans="2:16" ht="37.5" customHeight="1" x14ac:dyDescent="0.35">
      <c r="B7" s="337" t="s">
        <v>102</v>
      </c>
      <c r="C7" s="618" t="s">
        <v>271</v>
      </c>
      <c r="D7" s="618"/>
      <c r="E7" s="618"/>
      <c r="F7" s="619"/>
      <c r="G7" s="584"/>
      <c r="H7" s="585"/>
      <c r="I7" s="85"/>
      <c r="J7" s="4"/>
      <c r="K7" s="81" t="str">
        <f>IF(G7="","NOT OK", IF(OR(G7="Yes",G7="No"),"OK","NOT OK"))</f>
        <v>NOT OK</v>
      </c>
      <c r="L7" s="254" t="str">
        <f>IF(K7="OK","",IF(G7="","Row incomplete","Invalid entry"))</f>
        <v>Row incomplete</v>
      </c>
    </row>
    <row r="8" spans="2:16" ht="37.5" customHeight="1" x14ac:dyDescent="0.35">
      <c r="B8" s="338" t="s">
        <v>225</v>
      </c>
      <c r="C8" s="586" t="s">
        <v>270</v>
      </c>
      <c r="D8" s="587"/>
      <c r="E8" s="587"/>
      <c r="F8" s="588"/>
      <c r="G8" s="589"/>
      <c r="H8" s="589"/>
      <c r="I8" s="85"/>
      <c r="J8" s="4"/>
      <c r="K8" s="82" t="str">
        <f>IF(L8="", "OK", "NOT OK")</f>
        <v>NOT OK</v>
      </c>
      <c r="L8" s="83" t="str">
        <f>IF(G8="","Row incomplete",IF(NOT(OR(AND('1.2'!D9 = '1.2'!E9,'1.1'!G8 = "No"),'1.1'!G8 = "Yes")),"Answer not consistent with the number of facility grades/pools given in sheet 1.2 ",""))</f>
        <v>Row incomplete</v>
      </c>
    </row>
    <row r="9" spans="2:16" ht="37.5" customHeight="1" thickBot="1" x14ac:dyDescent="0.4">
      <c r="B9" s="339" t="s">
        <v>224</v>
      </c>
      <c r="C9" s="614" t="s">
        <v>287</v>
      </c>
      <c r="D9" s="614"/>
      <c r="E9" s="614"/>
      <c r="F9" s="615"/>
      <c r="G9" s="616"/>
      <c r="H9" s="617"/>
      <c r="I9" s="86"/>
      <c r="J9" s="4"/>
      <c r="K9" s="84" t="str">
        <f>IF(G9="","NOT OK", IF(OR(G9="Yes",G9="No"),"OK","NOT OK"))</f>
        <v>NOT OK</v>
      </c>
      <c r="L9" s="279" t="str">
        <f>IF(K9="OK","",IF(G9="","Row incomplete","Invalid entry"))</f>
        <v>Row incomplete</v>
      </c>
    </row>
    <row r="10" spans="2:16" ht="12.75" customHeight="1" thickBot="1" x14ac:dyDescent="0.4">
      <c r="D10" s="12"/>
    </row>
    <row r="11" spans="2:16" x14ac:dyDescent="0.35">
      <c r="B11" s="602"/>
      <c r="C11" s="605" t="s">
        <v>178</v>
      </c>
      <c r="D11" s="608" t="s">
        <v>179</v>
      </c>
      <c r="E11" s="598" t="s">
        <v>200</v>
      </c>
      <c r="F11" s="599"/>
      <c r="G11" s="599"/>
      <c r="H11" s="599"/>
      <c r="I11" s="340" t="s">
        <v>354</v>
      </c>
      <c r="K11" s="577" t="s">
        <v>211</v>
      </c>
      <c r="L11" s="579"/>
    </row>
    <row r="12" spans="2:16" ht="26.5" thickBot="1" x14ac:dyDescent="0.4">
      <c r="B12" s="603"/>
      <c r="C12" s="606"/>
      <c r="D12" s="609"/>
      <c r="E12" s="341" t="s">
        <v>201</v>
      </c>
      <c r="F12" s="133" t="s">
        <v>202</v>
      </c>
      <c r="G12" s="133" t="s">
        <v>49</v>
      </c>
      <c r="H12" s="342" t="s">
        <v>182</v>
      </c>
      <c r="I12" s="343" t="s">
        <v>355</v>
      </c>
      <c r="K12" s="600"/>
      <c r="L12" s="601"/>
    </row>
    <row r="13" spans="2:16" ht="15" thickBot="1" x14ac:dyDescent="0.35">
      <c r="B13" s="604"/>
      <c r="C13" s="607"/>
      <c r="D13" s="610"/>
      <c r="E13" s="344" t="s">
        <v>3</v>
      </c>
      <c r="F13" s="345" t="s">
        <v>4</v>
      </c>
      <c r="G13" s="345" t="s">
        <v>5</v>
      </c>
      <c r="H13" s="346" t="s">
        <v>6</v>
      </c>
      <c r="I13" s="347" t="s">
        <v>35</v>
      </c>
      <c r="K13" s="348" t="s">
        <v>80</v>
      </c>
      <c r="L13" s="349" t="s">
        <v>81</v>
      </c>
      <c r="O13" s="350" t="s">
        <v>157</v>
      </c>
      <c r="P13" s="350" t="s">
        <v>158</v>
      </c>
    </row>
    <row r="14" spans="2:16" ht="188.25" customHeight="1" x14ac:dyDescent="0.35">
      <c r="B14" s="351" t="s">
        <v>272</v>
      </c>
      <c r="C14" s="352" t="s">
        <v>203</v>
      </c>
      <c r="D14" s="353" t="s">
        <v>332</v>
      </c>
      <c r="E14" s="57"/>
      <c r="F14" s="58"/>
      <c r="G14" s="58"/>
      <c r="H14" s="58"/>
      <c r="I14" s="59"/>
      <c r="K14" s="80" t="str">
        <f>IF('1.1'!P14,"OK",IF(O14,"OK","NOT OK"))</f>
        <v>NOT OK</v>
      </c>
      <c r="L14" s="253" t="str">
        <f>IF(ISBLANK('1.1'!H14), "Row incomplete - please fill at least column 060", IF(K14="OK","",IF(AND(H14 &lt;&gt; "NOT ASSESSED",NOT(O14)),"Missing references to validation report",IF(AND(O14,NOT(P14)),"","References to validation report given although area is not assessed"))))</f>
        <v>Row incomplete - please fill at least column 060</v>
      </c>
      <c r="O14" s="350" t="b">
        <f>AND('1.1'!H14&lt;&gt;"NOT ASSESSED",COUNTA(E14:H14)=4)</f>
        <v>0</v>
      </c>
      <c r="P14" s="350" t="b">
        <f>AND('1.1'!H14="NOT ASSESSED",COUNTA(E14:G14)=0)</f>
        <v>0</v>
      </c>
    </row>
    <row r="15" spans="2:16" ht="188.25" customHeight="1" x14ac:dyDescent="0.35">
      <c r="B15" s="354" t="s">
        <v>273</v>
      </c>
      <c r="C15" s="355" t="s">
        <v>204</v>
      </c>
      <c r="D15" s="356" t="s">
        <v>333</v>
      </c>
      <c r="E15" s="54"/>
      <c r="F15" s="55"/>
      <c r="G15" s="55"/>
      <c r="H15" s="55"/>
      <c r="I15" s="60"/>
      <c r="K15" s="82" t="str">
        <f>IF('1.1'!P15,"OK",IF(O15,"OK","NOT OK"))</f>
        <v>NOT OK</v>
      </c>
      <c r="L15" s="255" t="str">
        <f>IF(ISBLANK('1.1'!H15), "Row incomplete - please fill at least column 060", IF(K15="OK","",IF(AND(H15 &lt;&gt; "NOT ASSESSED",NOT(O15)),"Missing references to validation report",IF(AND(O15,NOT(P15)),"","References to validation report given although area is not assessed"))))</f>
        <v>Row incomplete - please fill at least column 060</v>
      </c>
      <c r="O15" s="350" t="b">
        <f>AND('1.1'!H15&lt;&gt;"NOT ASSESSED",COUNTA(E15:H15)=4)</f>
        <v>0</v>
      </c>
      <c r="P15" s="350" t="b">
        <f>AND('1.1'!H15="NOT ASSESSED",COUNTA(E15:G15)=0)</f>
        <v>0</v>
      </c>
    </row>
    <row r="16" spans="2:16" ht="188.25" customHeight="1" x14ac:dyDescent="0.35">
      <c r="B16" s="354" t="s">
        <v>274</v>
      </c>
      <c r="C16" s="355" t="s">
        <v>205</v>
      </c>
      <c r="D16" s="356" t="s">
        <v>334</v>
      </c>
      <c r="E16" s="54"/>
      <c r="F16" s="55"/>
      <c r="G16" s="55"/>
      <c r="H16" s="55"/>
      <c r="I16" s="60"/>
      <c r="K16" s="81" t="str">
        <f>IF('1.1'!P16,"OK",IF(O16,"OK","NOT OK"))</f>
        <v>NOT OK</v>
      </c>
      <c r="L16" s="255" t="str">
        <f>IF(ISBLANK('1.1'!H16), "Row incomplete - please fill at least column 060", IF(K16="OK","",IF(AND(H16 &lt;&gt; "NOT ASSESSED",NOT(O16)),"Missing references to validation report",IF(AND(O16,NOT(P16)),"","References to validation report given although area is not assessed"))))</f>
        <v>Row incomplete - please fill at least column 060</v>
      </c>
      <c r="O16" s="350" t="b">
        <f>AND('1.1'!H16&lt;&gt;"NOT ASSESSED",COUNTA(E16:H16)=4)</f>
        <v>0</v>
      </c>
      <c r="P16" s="350" t="b">
        <f>AND('1.1'!H16="NOT ASSESSED",COUNTA(E16:G16)=0)</f>
        <v>0</v>
      </c>
    </row>
    <row r="17" spans="2:16" ht="188.25" customHeight="1" thickBot="1" x14ac:dyDescent="0.4">
      <c r="B17" s="357" t="s">
        <v>275</v>
      </c>
      <c r="C17" s="358" t="s">
        <v>206</v>
      </c>
      <c r="D17" s="359" t="s">
        <v>335</v>
      </c>
      <c r="E17" s="61"/>
      <c r="F17" s="56"/>
      <c r="G17" s="56"/>
      <c r="H17" s="56"/>
      <c r="I17" s="62"/>
      <c r="K17" s="84" t="str">
        <f>IF('1.1'!P17,"OK",IF(O17,"OK","NOT OK"))</f>
        <v>NOT OK</v>
      </c>
      <c r="L17" s="256" t="str">
        <f>IF(ISBLANK('1.1'!H17), "Row incomplete - please fill at least column 060", IF(K17="OK","",IF(AND(H17 &lt;&gt; "NOT ASSESSED",NOT(O17)),"Missing references to validation report",IF(AND(O17,NOT(P17)),"","References to validation report given although area is not assessed"))))</f>
        <v>Row incomplete - please fill at least column 060</v>
      </c>
      <c r="O17" s="350" t="b">
        <f>AND('1.1'!H17&lt;&gt;"NOT ASSESSED",COUNTA(E17:H17)=4)</f>
        <v>0</v>
      </c>
      <c r="P17" s="350" t="b">
        <f>AND('1.1'!H17="NOT ASSESSED",COUNTA(E17:G17)=0)</f>
        <v>0</v>
      </c>
    </row>
    <row r="18" spans="2:16" ht="12.65" customHeight="1" x14ac:dyDescent="0.35">
      <c r="B18" s="360"/>
      <c r="C18" s="361"/>
      <c r="D18" s="362"/>
      <c r="E18" s="362"/>
      <c r="F18" s="362"/>
      <c r="G18" s="362"/>
      <c r="H18" s="362"/>
      <c r="I18" s="362"/>
    </row>
    <row r="19" spans="2:16" ht="13.25" hidden="1" customHeight="1" x14ac:dyDescent="0.35">
      <c r="B19" s="360"/>
      <c r="C19" s="361"/>
      <c r="D19" s="362"/>
      <c r="E19" s="362"/>
      <c r="F19" s="362"/>
      <c r="G19" s="362"/>
      <c r="H19" s="362"/>
      <c r="I19" s="362"/>
    </row>
    <row r="20" spans="2:16" ht="13.25" hidden="1" customHeight="1" x14ac:dyDescent="0.35">
      <c r="B20" s="360"/>
      <c r="C20" s="361"/>
      <c r="D20" s="362"/>
      <c r="E20" s="362"/>
      <c r="F20" s="362"/>
      <c r="G20" s="362"/>
      <c r="H20" s="362"/>
      <c r="I20" s="362"/>
    </row>
    <row r="21" spans="2:16" ht="13.25" hidden="1" customHeight="1" x14ac:dyDescent="0.35">
      <c r="B21" s="360"/>
      <c r="C21" s="361"/>
      <c r="D21" s="362"/>
      <c r="E21" s="362"/>
      <c r="F21" s="362"/>
      <c r="G21" s="362"/>
      <c r="H21" s="362"/>
      <c r="I21" s="362"/>
    </row>
    <row r="22" spans="2:16" ht="13.25" hidden="1" customHeight="1" x14ac:dyDescent="0.35">
      <c r="B22" s="360"/>
      <c r="C22" s="361"/>
      <c r="D22" s="362"/>
      <c r="E22" s="362"/>
      <c r="F22" s="362"/>
      <c r="G22" s="362"/>
      <c r="H22" s="362"/>
      <c r="I22" s="362"/>
    </row>
    <row r="23" spans="2:16" ht="13.25" hidden="1" customHeight="1" x14ac:dyDescent="0.35">
      <c r="B23" s="360"/>
      <c r="C23" s="361"/>
      <c r="D23" s="362"/>
      <c r="E23" s="362"/>
      <c r="F23" s="362"/>
      <c r="G23" s="362"/>
      <c r="H23" s="362"/>
      <c r="I23" s="362"/>
    </row>
    <row r="24" spans="2:16" ht="12.65" hidden="1" customHeight="1" x14ac:dyDescent="0.35">
      <c r="B24" s="360"/>
      <c r="C24" s="361"/>
      <c r="D24" s="362"/>
      <c r="E24" s="362"/>
      <c r="F24" s="362"/>
      <c r="G24" s="362"/>
      <c r="H24" s="362"/>
      <c r="I24" s="362"/>
    </row>
    <row r="25" spans="2:16" ht="13.25" hidden="1" customHeight="1" x14ac:dyDescent="0.35">
      <c r="B25" s="360"/>
      <c r="C25" s="361"/>
      <c r="D25" s="362"/>
      <c r="E25" s="362"/>
      <c r="F25" s="362"/>
      <c r="G25" s="362"/>
      <c r="H25" s="362"/>
      <c r="I25" s="362"/>
    </row>
    <row r="26" spans="2:16" ht="13.25" hidden="1" customHeight="1" x14ac:dyDescent="0.35">
      <c r="B26" s="360"/>
      <c r="C26" s="361"/>
      <c r="D26" s="362"/>
      <c r="E26" s="362"/>
      <c r="F26" s="362"/>
      <c r="G26" s="362"/>
      <c r="H26" s="362"/>
      <c r="I26" s="362"/>
    </row>
    <row r="27" spans="2:16" ht="13.25" hidden="1" customHeight="1" x14ac:dyDescent="0.35">
      <c r="B27" s="360"/>
      <c r="C27" s="361"/>
      <c r="D27" s="362"/>
      <c r="E27" s="362"/>
      <c r="F27" s="362"/>
      <c r="G27" s="362"/>
      <c r="H27" s="362"/>
      <c r="I27" s="362"/>
    </row>
    <row r="28" spans="2:16" ht="13.25" hidden="1" customHeight="1" x14ac:dyDescent="0.35">
      <c r="B28" s="360"/>
      <c r="C28" s="361"/>
      <c r="D28" s="362"/>
      <c r="E28" s="362"/>
      <c r="F28" s="362"/>
      <c r="G28" s="362"/>
      <c r="H28" s="362"/>
      <c r="I28" s="362"/>
    </row>
    <row r="29" spans="2:16" ht="13.25" hidden="1" customHeight="1" x14ac:dyDescent="0.35">
      <c r="B29" s="360"/>
      <c r="C29" s="361"/>
      <c r="D29" s="362"/>
      <c r="E29" s="362"/>
      <c r="F29" s="362"/>
      <c r="G29" s="362"/>
      <c r="H29" s="362"/>
      <c r="I29" s="362"/>
    </row>
    <row r="30" spans="2:16" ht="13.25" hidden="1" customHeight="1" x14ac:dyDescent="0.35">
      <c r="B30" s="360"/>
      <c r="C30" s="361"/>
      <c r="D30" s="362"/>
      <c r="E30" s="362"/>
      <c r="F30" s="362"/>
      <c r="G30" s="362"/>
      <c r="H30" s="362"/>
      <c r="I30" s="362"/>
    </row>
    <row r="31" spans="2:16" ht="13.25" hidden="1" customHeight="1" x14ac:dyDescent="0.35">
      <c r="B31" s="360"/>
      <c r="C31" s="361"/>
      <c r="D31" s="362"/>
      <c r="E31" s="362"/>
      <c r="F31" s="362"/>
      <c r="G31" s="362"/>
      <c r="H31" s="362"/>
      <c r="I31" s="362"/>
    </row>
    <row r="32" spans="2:16" ht="13.25" hidden="1" customHeight="1" x14ac:dyDescent="0.35">
      <c r="B32" s="360"/>
      <c r="C32" s="361"/>
      <c r="D32" s="362"/>
      <c r="E32" s="362"/>
      <c r="F32" s="362"/>
      <c r="G32" s="362"/>
      <c r="H32" s="362"/>
      <c r="I32" s="362"/>
    </row>
    <row r="33" spans="2:9" ht="13.25" hidden="1" customHeight="1" x14ac:dyDescent="0.35">
      <c r="B33" s="360"/>
      <c r="C33" s="361"/>
      <c r="D33" s="362"/>
      <c r="E33" s="362"/>
      <c r="F33" s="362"/>
      <c r="G33" s="362"/>
      <c r="H33" s="362"/>
      <c r="I33" s="362"/>
    </row>
    <row r="34" spans="2:9" ht="13.25" hidden="1" customHeight="1" x14ac:dyDescent="0.35">
      <c r="B34" s="360"/>
      <c r="C34" s="361"/>
      <c r="D34" s="362"/>
      <c r="E34" s="362"/>
      <c r="F34" s="362"/>
      <c r="G34" s="362"/>
      <c r="H34" s="362"/>
      <c r="I34" s="362"/>
    </row>
    <row r="35" spans="2:9" ht="13.25" hidden="1" customHeight="1" x14ac:dyDescent="0.35">
      <c r="B35" s="360"/>
      <c r="C35" s="361"/>
      <c r="D35" s="362"/>
      <c r="E35" s="362"/>
      <c r="F35" s="362"/>
      <c r="G35" s="362"/>
      <c r="H35" s="362"/>
      <c r="I35" s="362"/>
    </row>
    <row r="36" spans="2:9" ht="13.25" hidden="1" customHeight="1" x14ac:dyDescent="0.35">
      <c r="B36" s="360"/>
      <c r="C36" s="361"/>
      <c r="D36" s="362"/>
      <c r="E36" s="362"/>
      <c r="F36" s="362"/>
      <c r="G36" s="362"/>
      <c r="H36" s="362"/>
      <c r="I36" s="362"/>
    </row>
    <row r="37" spans="2:9" ht="13.25" hidden="1" customHeight="1" x14ac:dyDescent="0.35">
      <c r="B37" s="360"/>
      <c r="C37" s="361"/>
      <c r="D37" s="362"/>
      <c r="E37" s="362"/>
      <c r="F37" s="362"/>
      <c r="G37" s="362"/>
      <c r="H37" s="362"/>
      <c r="I37" s="362"/>
    </row>
    <row r="38" spans="2:9" ht="13.25" hidden="1" customHeight="1" x14ac:dyDescent="0.35">
      <c r="B38" s="360"/>
      <c r="C38" s="361"/>
      <c r="D38" s="362"/>
      <c r="E38" s="362"/>
      <c r="F38" s="362"/>
      <c r="G38" s="362"/>
      <c r="H38" s="362"/>
      <c r="I38" s="362"/>
    </row>
    <row r="39" spans="2:9" ht="13.25" hidden="1" customHeight="1" x14ac:dyDescent="0.35">
      <c r="B39" s="360"/>
      <c r="C39" s="361"/>
      <c r="D39" s="362"/>
      <c r="E39" s="362"/>
      <c r="F39" s="362"/>
      <c r="G39" s="362"/>
      <c r="H39" s="362"/>
      <c r="I39" s="362"/>
    </row>
    <row r="40" spans="2:9" ht="13.25" hidden="1" customHeight="1" x14ac:dyDescent="0.35">
      <c r="B40" s="360"/>
      <c r="C40" s="361"/>
      <c r="D40" s="362"/>
      <c r="E40" s="362"/>
      <c r="F40" s="362"/>
      <c r="G40" s="362"/>
      <c r="H40" s="362"/>
      <c r="I40" s="362"/>
    </row>
    <row r="41" spans="2:9" ht="13.25" hidden="1" customHeight="1" x14ac:dyDescent="0.35">
      <c r="B41" s="360"/>
      <c r="C41" s="361"/>
      <c r="D41" s="362"/>
      <c r="E41" s="362"/>
      <c r="F41" s="362"/>
      <c r="G41" s="362"/>
      <c r="H41" s="362"/>
      <c r="I41" s="362"/>
    </row>
    <row r="42" spans="2:9" ht="13.25" hidden="1" customHeight="1" x14ac:dyDescent="0.35">
      <c r="B42" s="360"/>
      <c r="C42" s="361"/>
      <c r="D42" s="362"/>
      <c r="E42" s="362"/>
      <c r="F42" s="362"/>
      <c r="G42" s="362"/>
      <c r="H42" s="362"/>
      <c r="I42" s="362"/>
    </row>
    <row r="43" spans="2:9" ht="13.25" hidden="1" customHeight="1" x14ac:dyDescent="0.35">
      <c r="B43" s="360"/>
      <c r="C43" s="361"/>
      <c r="D43" s="362"/>
      <c r="E43" s="362"/>
      <c r="F43" s="362"/>
      <c r="G43" s="362"/>
      <c r="H43" s="362"/>
      <c r="I43" s="362"/>
    </row>
    <row r="44" spans="2:9" ht="14" hidden="1" customHeight="1" x14ac:dyDescent="0.35">
      <c r="B44" s="360"/>
      <c r="C44" s="361"/>
      <c r="D44" s="362"/>
      <c r="E44" s="362"/>
      <c r="F44" s="362"/>
      <c r="G44" s="362"/>
      <c r="H44" s="362"/>
      <c r="I44" s="362"/>
    </row>
  </sheetData>
  <sheetProtection password="9BF7" sheet="1" objects="1" scenarios="1"/>
  <mergeCells count="19">
    <mergeCell ref="K4:L4"/>
    <mergeCell ref="G5:H5"/>
    <mergeCell ref="E11:H11"/>
    <mergeCell ref="K11:L12"/>
    <mergeCell ref="B11:B13"/>
    <mergeCell ref="C11:C13"/>
    <mergeCell ref="D11:D13"/>
    <mergeCell ref="C4:F5"/>
    <mergeCell ref="C9:F9"/>
    <mergeCell ref="G9:H9"/>
    <mergeCell ref="C7:F7"/>
    <mergeCell ref="G7:H7"/>
    <mergeCell ref="B2:I2"/>
    <mergeCell ref="C6:F6"/>
    <mergeCell ref="G6:H6"/>
    <mergeCell ref="C8:F8"/>
    <mergeCell ref="G8:H8"/>
    <mergeCell ref="B4:B5"/>
    <mergeCell ref="G4:H4"/>
  </mergeCells>
  <conditionalFormatting sqref="E15:E17">
    <cfRule type="expression" dxfId="71" priority="19">
      <formula>$H15="NOT ASSESSED"</formula>
    </cfRule>
  </conditionalFormatting>
  <conditionalFormatting sqref="E14:G15">
    <cfRule type="expression" dxfId="70" priority="25">
      <formula>$H14="NOT ASSESSED"</formula>
    </cfRule>
  </conditionalFormatting>
  <conditionalFormatting sqref="F16:G17">
    <cfRule type="expression" dxfId="69" priority="29">
      <formula>$H16="NOT ASSESSED"</formula>
    </cfRule>
  </conditionalFormatting>
  <conditionalFormatting sqref="K6:K9">
    <cfRule type="expression" dxfId="68" priority="1">
      <formula>K6="NOT OK"</formula>
    </cfRule>
    <cfRule type="expression" dxfId="67" priority="2">
      <formula>K6="OK"</formula>
    </cfRule>
    <cfRule type="expression" dxfId="66" priority="3">
      <formula>K6="WARNING"</formula>
    </cfRule>
  </conditionalFormatting>
  <conditionalFormatting sqref="K14:K17">
    <cfRule type="expression" dxfId="65" priority="24">
      <formula>K14="OK"</formula>
    </cfRule>
  </conditionalFormatting>
  <dataValidations count="8">
    <dataValidation type="textLength" operator="lessThanOrEqual" allowBlank="1" showInputMessage="1" showErrorMessage="1" sqref="D18:I44 C18 C27 C36 C14:D17" xr:uid="{00000000-0002-0000-0200-000000000000}">
      <formula1>1000</formula1>
    </dataValidation>
    <dataValidation type="textLength" operator="lessThanOrEqual" showInputMessage="1" showErrorMessage="1" sqref="E14:G17" xr:uid="{00000000-0002-0000-0200-000001000000}">
      <formula1>1000</formula1>
    </dataValidation>
    <dataValidation type="list" operator="lessThanOrEqual" showInputMessage="1" showErrorMessage="1" sqref="H14:H17" xr:uid="{00000000-0002-0000-0200-000002000000}">
      <formula1>"ASSESSED,NOT ASSESSED"</formula1>
    </dataValidation>
    <dataValidation type="textLength" operator="lessThanOrEqual" allowBlank="1" showInputMessage="1" showErrorMessage="1" errorTitle="Wrong value inserted" error="Only the values &quot;Yes&quot; and &quot;No&quot; are admissible." sqref="I6:I9" xr:uid="{00000000-0002-0000-0200-000003000000}">
      <formula1>1000</formula1>
    </dataValidation>
    <dataValidation type="list" allowBlank="1" showInputMessage="1" showErrorMessage="1" errorTitle="Wrong value inserted" error="Only the values &quot;Yes&quot; and &quot;No&quot; are admissible." sqref="G9 G7" xr:uid="{00000000-0002-0000-0200-000004000000}">
      <formula1>"Yes, No"</formula1>
    </dataValidation>
    <dataValidation type="list" allowBlank="1" showInputMessage="1" showErrorMessage="1" errorTitle="Wrong value inserted" error="Only the values from the drop down list are permissible." sqref="G8:H8" xr:uid="{00000000-0002-0000-0200-000005000000}">
      <formula1>"Yes, No"</formula1>
    </dataValidation>
    <dataValidation type="list" allowBlank="1" showInputMessage="1" showErrorMessage="1" errorTitle="Wrong value inserted" error="Only the values from the drop down list are permissible." sqref="G6:H6" xr:uid="{00000000-0002-0000-0200-000006000000}">
      <formula1>"Adequate with no deficiencies, Adequate with minor deficiencies, Major deficiencies identified, Severe deficiencies identified"</formula1>
    </dataValidation>
    <dataValidation type="textLength" operator="lessThanOrEqual" showInputMessage="1" showErrorMessage="1" errorTitle="Comment too long" error="The maximum allowed length for comments in this field is 1000 characters." sqref="I14:I17" xr:uid="{00000000-0002-0000-0200-000007000000}">
      <formula1>1000</formula1>
    </dataValidation>
  </dataValidations>
  <hyperlinks>
    <hyperlink ref="H12" location="Coverage_in_internal_validation" display="Coverage in Internal Validation" xr:uid="{00000000-0004-0000-0200-000000000000}"/>
    <hyperlink ref="I12" location="Bank_s_comments" display="Bank's Comments on the Reported Figures and Results" xr:uid="{00000000-0004-0000-0200-000001000000}"/>
    <hyperlink ref="C6:F6" location="Bank_s_assessment" display="What is the overall assessment of the reported model by the internal validation function?" xr:uid="{00000000-0004-0000-0200-000002000000}"/>
    <hyperlink ref="E11:H11" location="Glossary!B34" display="Link to bank's internal validation report" xr:uid="{00000000-0004-0000-0200-000003000000}"/>
  </hyperlinks>
  <printOptions horizontalCentered="1"/>
  <pageMargins left="0.23622047244094491" right="0.23622047244094491" top="0.74803149606299213" bottom="0.74803149606299213" header="0.31496062992125984" footer="0.31496062992125984"/>
  <pageSetup paperSize="9" scale="49" orientation="landscape" r:id="rId1"/>
  <headerFooter>
    <oddFooter>&amp;A</oddFooter>
  </headerFooter>
  <ignoredErrors>
    <ignoredError sqref="H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J18"/>
  <sheetViews>
    <sheetView showGridLines="0" zoomScaleNormal="100" workbookViewId="0"/>
  </sheetViews>
  <sheetFormatPr defaultColWidth="0" defaultRowHeight="14.5" zeroHeight="1" x14ac:dyDescent="0.35"/>
  <cols>
    <col min="1" max="1" width="5.6328125" style="4" customWidth="1"/>
    <col min="2" max="2" width="7.08984375" style="4" customWidth="1"/>
    <col min="3" max="3" width="24.36328125" style="4" customWidth="1"/>
    <col min="4" max="5" width="31.453125" style="4" customWidth="1"/>
    <col min="6" max="6" width="14.36328125" style="4" customWidth="1"/>
    <col min="7" max="7" width="5.6328125" style="4" customWidth="1"/>
    <col min="8" max="8" width="14.36328125" style="4" customWidth="1"/>
    <col min="9" max="9" width="50" style="4" customWidth="1"/>
    <col min="10" max="10" width="5.6328125" style="4" customWidth="1"/>
    <col min="11" max="16384" width="9.08984375" style="4" hidden="1"/>
  </cols>
  <sheetData>
    <row r="1" spans="2:9" ht="12.75" customHeight="1" thickBot="1" x14ac:dyDescent="0.4"/>
    <row r="2" spans="2:9" ht="13.5" customHeight="1" thickBot="1" x14ac:dyDescent="0.4">
      <c r="B2" s="625" t="s">
        <v>317</v>
      </c>
      <c r="C2" s="626"/>
      <c r="D2" s="626"/>
      <c r="E2" s="626"/>
      <c r="F2" s="627"/>
    </row>
    <row r="3" spans="2:9" ht="12.75" customHeight="1" thickBot="1" x14ac:dyDescent="0.4"/>
    <row r="4" spans="2:9" ht="24" customHeight="1" thickBot="1" x14ac:dyDescent="0.4">
      <c r="B4" s="622" t="s">
        <v>147</v>
      </c>
      <c r="C4" s="623"/>
      <c r="D4" s="623"/>
      <c r="E4" s="623"/>
      <c r="F4" s="624"/>
    </row>
    <row r="5" spans="2:9" x14ac:dyDescent="0.35">
      <c r="B5" s="363"/>
      <c r="C5" s="620" t="s">
        <v>64</v>
      </c>
      <c r="D5" s="283" t="s">
        <v>190</v>
      </c>
      <c r="E5" s="284" t="s">
        <v>191</v>
      </c>
      <c r="F5" s="285" t="s">
        <v>65</v>
      </c>
      <c r="H5" s="577" t="s">
        <v>211</v>
      </c>
      <c r="I5" s="579"/>
    </row>
    <row r="6" spans="2:9" ht="15" thickBot="1" x14ac:dyDescent="0.4">
      <c r="B6" s="364"/>
      <c r="C6" s="621"/>
      <c r="D6" s="365" t="s">
        <v>1</v>
      </c>
      <c r="E6" s="366" t="s">
        <v>2</v>
      </c>
      <c r="F6" s="367" t="s">
        <v>3</v>
      </c>
      <c r="H6" s="368" t="s">
        <v>80</v>
      </c>
      <c r="I6" s="369" t="s">
        <v>81</v>
      </c>
    </row>
    <row r="7" spans="2:9" ht="15" customHeight="1" x14ac:dyDescent="0.35">
      <c r="B7" s="370">
        <v>110</v>
      </c>
      <c r="C7" s="371" t="s">
        <v>156</v>
      </c>
      <c r="D7" s="91"/>
      <c r="E7" s="92"/>
      <c r="F7" s="52" t="str">
        <f>IF(AND(E7&lt;&gt;"",D7&lt;&gt;""),IF(D7&lt;&gt;0,(E7-D7)/'1.2'!D7,""),"")</f>
        <v/>
      </c>
      <c r="H7" s="88" t="str">
        <f>IF(COUNTA(D7:E7)&lt;&gt;2,"NOT OK",IF('1.2'!D7=E7,"WARNING","OK"))</f>
        <v>NOT OK</v>
      </c>
      <c r="I7" s="278" t="str">
        <f>IF(COUNTA(D7:E7)&lt;&gt;2,"Row incomplete",IF(D7=E7,"Same information for beginning and end of observation period",""))</f>
        <v>Row incomplete</v>
      </c>
    </row>
    <row r="8" spans="2:9" ht="15" customHeight="1" x14ac:dyDescent="0.35">
      <c r="B8" s="372">
        <v>120</v>
      </c>
      <c r="C8" s="373" t="s">
        <v>46</v>
      </c>
      <c r="D8" s="93"/>
      <c r="E8" s="94"/>
      <c r="F8" s="36" t="str">
        <f>IF(AND(E8&lt;&gt;"",D8&lt;&gt;""),IF(D8&lt;&gt;0,(E8-D8)/'1.2'!D8,""),"")</f>
        <v/>
      </c>
      <c r="H8" s="89" t="str">
        <f>IF(COUNTA(D8:E8)&lt;&gt;2,"NOT OK",IF('1.2'!D8=E8,"WARNING","OK"))</f>
        <v>NOT OK</v>
      </c>
      <c r="I8" s="280" t="str">
        <f>IF(COUNTA(D8:E8)&lt;&gt;2,"Row incomplete",IF(D8=E8,"Same information for beginning and end of observation period",""))</f>
        <v>Row incomplete</v>
      </c>
    </row>
    <row r="9" spans="2:9" ht="25.5" customHeight="1" x14ac:dyDescent="0.35">
      <c r="B9" s="372">
        <v>130</v>
      </c>
      <c r="C9" s="373" t="s">
        <v>260</v>
      </c>
      <c r="D9" s="95"/>
      <c r="E9" s="96"/>
      <c r="F9" s="36" t="str">
        <f>IF(AND(E9&lt;&gt;"",D9&lt;&gt;""),IF(D9&lt;&gt;0,(E9-D9)/'1.2'!D9,""),"")</f>
        <v/>
      </c>
      <c r="H9" s="89" t="str">
        <f>IF(I9="Missing values only allowed for continuous models.","WARNING",IF(I9="", "OK","NOT OK"))</f>
        <v>NOT OK</v>
      </c>
      <c r="I9" s="280" t="str">
        <f>IF(AND(COUNTA(E9)=0,E11&lt;&gt;"More than 20 facility grades or pools (including continuous LGD models)"),"Row incomplete",
IF(AND(COUNTA(D9)=0,D11&lt;&gt;"More than 20 facility grades or pools (including continuous LGD models)"),"Row incomplete",
IF(AND(COUNTA(E9)=0,E11="More than 20 facility grades or pools (including continuous LGD models)"),"Missing values only allowed for continuous models.",
IF(AND(COUNTA(D9)=0,D11="More than 20 facility grades or pools (including continuous LGD models)"),"Missing values only allowed for continuous models.",
IF(AND(D9&lt;&gt;E9,'1.1'!G8="No"),"Different number of facility grades","")))))</f>
        <v>Row incomplete</v>
      </c>
    </row>
    <row r="10" spans="2:9" ht="25.5" customHeight="1" x14ac:dyDescent="0.35">
      <c r="B10" s="372">
        <v>150</v>
      </c>
      <c r="C10" s="373" t="s">
        <v>112</v>
      </c>
      <c r="D10" s="95"/>
      <c r="E10" s="96"/>
      <c r="F10" s="493" t="str">
        <f>IF(AND(E10&lt;&gt;"",D10&lt;&gt;""),IF(D10&lt;&gt;0,(E10-D10)/'1.2'!D10,""),"")</f>
        <v/>
      </c>
      <c r="H10" s="89" t="str">
        <f>IF(COUNTA(D10:E10)&lt;&gt;2,"NOT OK",IF('1.2'!D10=E10,"WARNING","OK"))</f>
        <v>NOT OK</v>
      </c>
      <c r="I10" s="280" t="str">
        <f>IF(COUNTA(D10:E10)&lt;&gt;2,"Row incomplete",IF(D10=E10,"Same information for beginning and end of observation period",""))</f>
        <v>Row incomplete</v>
      </c>
    </row>
    <row r="11" spans="2:9" ht="25.5" customHeight="1" x14ac:dyDescent="0.35">
      <c r="B11" s="372">
        <v>160</v>
      </c>
      <c r="C11" s="373" t="s">
        <v>142</v>
      </c>
      <c r="D11" s="137"/>
      <c r="E11" s="138"/>
      <c r="F11" s="36"/>
      <c r="H11" s="531" t="str">
        <f>IF(OR(COUNTA(D11:E11)&lt;&gt;2,
I11="Modelling approach not in line with reported number of facility grades or pools in row 130 (which is less or equal 20).",
I11="Modelling approach not in line with reported number of facility grades or pools in row 130 (which is greater than 20)."),"NOT OK",
IF('1.2'!D11&lt;&gt;E11,"WARNING","OK"))</f>
        <v>NOT OK</v>
      </c>
      <c r="I11" s="530" t="str">
        <f>IFERROR(IF(COUNTA(D11:E11)&lt;&gt;2,"Row incomplete",
IF(OR(AND(D11="More than 20 facility grades or pools (including continuous LGD models)",COUNTA(D9),D9&lt;=20),
            AND(E11="More than 20 facility grades or pools (including continuous LGD models)",COUNTA(E9),E9&lt;=20)),
"Modelling approach not in line with reported number of facility grades or pools in row 130 (which is less or equal 20).",
IF(OR(AND(D11="Less than or equal to 20 facility grades or pools",COUNTA(D9),D9&gt;20),
            AND(E11="Less than or equal to 20 facility grades or pools",COUNTA(E9),E9&gt;20)),
"Modelling approach not in line with reported number of facility grades or pools in row 130 (which is greater than 20).",
IF(D11&lt;&gt;E11,"Different modelling approaches",
"")))),"")</f>
        <v>Row incomplete</v>
      </c>
    </row>
    <row r="12" spans="2:9" ht="25.25" customHeight="1" thickBot="1" x14ac:dyDescent="0.4">
      <c r="B12" s="374">
        <v>170</v>
      </c>
      <c r="C12" s="375" t="s">
        <v>192</v>
      </c>
      <c r="D12" s="139"/>
      <c r="E12" s="140"/>
      <c r="F12" s="87"/>
      <c r="H12" s="90" t="str">
        <f>IF(COUNTA(D12:E12)&lt;&gt;2,"NOT OK",IF('1.2'!D12&lt;&gt;E12,"WARNING","OK"))</f>
        <v>NOT OK</v>
      </c>
      <c r="I12" s="279" t="str">
        <f>IF(COUNTA(D12:E12)&lt;&gt;2,"Row incomplete",IF(D12&lt;&gt;E12,"Different estimation period",""))</f>
        <v>Row incomplete</v>
      </c>
    </row>
    <row r="13" spans="2:9" ht="12.75" customHeight="1" x14ac:dyDescent="0.35"/>
    <row r="15" spans="2:9" hidden="1" x14ac:dyDescent="0.35">
      <c r="D15" s="4" t="s">
        <v>399</v>
      </c>
      <c r="F15" s="4" t="s">
        <v>401</v>
      </c>
    </row>
    <row r="16" spans="2:9" hidden="1" x14ac:dyDescent="0.35">
      <c r="D16" s="4" t="s">
        <v>400</v>
      </c>
      <c r="F16" s="4" t="s">
        <v>402</v>
      </c>
    </row>
    <row r="18" spans="8:8" hidden="1" x14ac:dyDescent="0.35">
      <c r="H18" s="376"/>
    </row>
  </sheetData>
  <sheetProtection password="9BF7" sheet="1" objects="1" scenarios="1"/>
  <mergeCells count="4">
    <mergeCell ref="C5:C6"/>
    <mergeCell ref="B4:F4"/>
    <mergeCell ref="B2:F2"/>
    <mergeCell ref="H5:I5"/>
  </mergeCells>
  <conditionalFormatting sqref="H7:H12">
    <cfRule type="expression" dxfId="64" priority="1">
      <formula>H7="WARNING"</formula>
    </cfRule>
    <cfRule type="expression" dxfId="63" priority="2">
      <formula>H7="NOT OK"</formula>
    </cfRule>
    <cfRule type="expression" dxfId="62" priority="3">
      <formula>H7="OK"</formula>
    </cfRule>
  </conditionalFormatting>
  <dataValidations count="7">
    <dataValidation type="decimal" operator="greaterThanOrEqual" allowBlank="1" showInputMessage="1" showErrorMessage="1" error="Value should be non-negative" sqref="D13:E13 D7:E8" xr:uid="{00000000-0002-0000-0300-000000000000}">
      <formula1>0</formula1>
    </dataValidation>
    <dataValidation type="list" operator="greaterThanOrEqual" allowBlank="1" showInputMessage="1" showErrorMessage="1" error="Choose a list element. " sqref="E11" xr:uid="{00000000-0002-0000-0300-000001000000}">
      <formula1>$D$15:$D$16</formula1>
    </dataValidation>
    <dataValidation type="list" operator="greaterThanOrEqual" allowBlank="1" showInputMessage="1" showErrorMessage="1" error="Choose a list element._x000a_" sqref="D11" xr:uid="{00000000-0002-0000-0300-000002000000}">
      <formula1>$D$15:$D$16</formula1>
    </dataValidation>
    <dataValidation type="list" operator="greaterThanOrEqual" allowBlank="1" showInputMessage="1" showErrorMessage="1" error="Choose a list entry" sqref="D12:E12" xr:uid="{00000000-0002-0000-0300-000003000000}">
      <formula1>$F$15:$F$16</formula1>
    </dataValidation>
    <dataValidation type="whole" operator="greaterThanOrEqual" allowBlank="1" showInputMessage="1" showErrorMessage="1" error="Value should be non-negative integer_x000a_" sqref="E10 D9" xr:uid="{00000000-0002-0000-0300-000004000000}">
      <formula1>0</formula1>
    </dataValidation>
    <dataValidation type="whole" operator="greaterThanOrEqual" allowBlank="1" showInputMessage="1" showErrorMessage="1" error="Value should be non-negative integer" sqref="E9 D10" xr:uid="{00000000-0002-0000-0300-000005000000}">
      <formula1>0</formula1>
    </dataValidation>
    <dataValidation operator="greaterThanOrEqual" allowBlank="1" showInputMessage="1" showErrorMessage="1" error="Value should be non-negative" sqref="F7:F13" xr:uid="{00000000-0002-0000-0300-000006000000}"/>
  </dataValidations>
  <hyperlinks>
    <hyperlink ref="C8" location="Exposure_at_Default" display="EAD" xr:uid="{00000000-0004-0000-0300-000000000000}"/>
    <hyperlink ref="C7" location="Risk_Weighted_Exposure_Amount" display="RWA" xr:uid="{00000000-0004-0000-0300-000001000000}"/>
    <hyperlink ref="C11" location="Modelling_approach" display="Modelling approach " xr:uid="{00000000-0004-0000-0300-000002000000}"/>
    <hyperlink ref="C10" location="Number_of_facilities__application_portfolio" display="Number of facilities (application portfolio)" xr:uid="{00000000-0004-0000-0300-000003000000}"/>
    <hyperlink ref="C9" location="Number_of_Facility_Grades_or_Pools__K" display="Number of facility grades or pools" xr:uid="{00000000-0004-0000-0300-000004000000}"/>
    <hyperlink ref="C12" location="Estimation_period" display="Estimation period" xr:uid="{00000000-0004-0000-0300-000005000000}"/>
  </hyperlinks>
  <printOptions horizontalCentered="1"/>
  <pageMargins left="0.23622047244094491" right="0.23622047244094491" top="0.74803149606299213" bottom="0.74803149606299213" header="0.31496062992125984" footer="0.31496062992125984"/>
  <pageSetup paperSize="9" orientation="landscape" r:id="rId1"/>
  <headerFooter>
    <oddFoote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BI42"/>
  <sheetViews>
    <sheetView showGridLines="0" tabSelected="1" topLeftCell="AH1" zoomScaleNormal="100" workbookViewId="0">
      <selection activeCell="AS11" sqref="AS11"/>
    </sheetView>
  </sheetViews>
  <sheetFormatPr defaultColWidth="0" defaultRowHeight="13" zeroHeight="1" x14ac:dyDescent="0.35"/>
  <cols>
    <col min="1" max="1" width="5.6328125" style="5" customWidth="1"/>
    <col min="2" max="2" width="7.08984375" style="5" customWidth="1"/>
    <col min="3" max="3" width="17.08984375" style="378" customWidth="1"/>
    <col min="4" max="4" width="17.90625" style="378" customWidth="1"/>
    <col min="5" max="5" width="17.90625" style="5" customWidth="1"/>
    <col min="6" max="6" width="24.6328125" style="5" customWidth="1"/>
    <col min="7" max="8" width="17.90625" style="5" customWidth="1"/>
    <col min="9" max="20" width="10.6328125" style="5" customWidth="1"/>
    <col min="21" max="23" width="14.36328125" style="5" customWidth="1"/>
    <col min="24" max="24" width="5.6328125" style="5" customWidth="1"/>
    <col min="25" max="25" width="14.36328125" style="5" customWidth="1"/>
    <col min="26" max="26" width="75.90625" style="5" customWidth="1"/>
    <col min="27" max="36" width="14.36328125" style="5" customWidth="1"/>
    <col min="37" max="39" width="12.36328125" style="5" hidden="1" customWidth="1"/>
    <col min="40" max="40" width="5.6328125" style="5" customWidth="1"/>
    <col min="41" max="43" width="11.54296875" style="5" customWidth="1"/>
    <col min="44" max="44" width="10.6328125" style="5" customWidth="1"/>
    <col min="45" max="45" width="14.36328125" style="5" customWidth="1"/>
    <col min="46" max="46" width="5.6328125" style="5" customWidth="1"/>
    <col min="47" max="60" width="10.6328125" style="5" customWidth="1"/>
    <col min="61" max="61" width="5.6328125" style="5" customWidth="1"/>
    <col min="62" max="16384" width="10.6328125" style="5" hidden="1"/>
  </cols>
  <sheetData>
    <row r="1" spans="2:60" ht="12.75" customHeight="1" thickBot="1" x14ac:dyDescent="0.4">
      <c r="B1" s="377"/>
      <c r="C1" s="5"/>
      <c r="E1" s="378"/>
      <c r="F1" s="378"/>
      <c r="G1" s="378"/>
      <c r="H1" s="378"/>
      <c r="I1" s="378"/>
      <c r="J1" s="378"/>
      <c r="K1" s="378"/>
      <c r="L1" s="378"/>
      <c r="M1" s="378"/>
      <c r="N1" s="378"/>
      <c r="O1" s="378"/>
    </row>
    <row r="2" spans="2:60" s="379" customFormat="1" ht="13.5" customHeight="1" thickBot="1" x14ac:dyDescent="0.4">
      <c r="B2" s="635" t="s">
        <v>318</v>
      </c>
      <c r="C2" s="636"/>
      <c r="D2" s="636"/>
      <c r="E2" s="636"/>
      <c r="F2" s="636"/>
      <c r="G2" s="636"/>
      <c r="H2" s="636"/>
      <c r="I2" s="636"/>
      <c r="J2" s="636"/>
      <c r="K2" s="636"/>
      <c r="L2" s="636"/>
      <c r="M2" s="636"/>
      <c r="N2" s="636"/>
      <c r="O2" s="636"/>
      <c r="P2" s="636"/>
      <c r="Q2" s="636"/>
      <c r="R2" s="636"/>
      <c r="S2" s="636"/>
      <c r="T2" s="636"/>
      <c r="U2" s="636"/>
      <c r="V2" s="636"/>
      <c r="W2" s="637"/>
    </row>
    <row r="3" spans="2:60" ht="12.75" customHeight="1" thickBot="1" x14ac:dyDescent="0.4">
      <c r="B3" s="649"/>
      <c r="C3" s="649"/>
      <c r="D3" s="650"/>
      <c r="E3" s="650"/>
      <c r="F3" s="650"/>
      <c r="G3" s="650"/>
      <c r="H3" s="650"/>
      <c r="I3" s="650"/>
      <c r="J3" s="650"/>
      <c r="K3" s="650"/>
    </row>
    <row r="4" spans="2:60" ht="27.65" customHeight="1" thickBot="1" x14ac:dyDescent="0.4">
      <c r="B4" s="664"/>
      <c r="C4" s="665"/>
      <c r="D4" s="670" t="s">
        <v>177</v>
      </c>
      <c r="E4" s="671" t="s">
        <v>232</v>
      </c>
      <c r="F4" s="673" t="s">
        <v>288</v>
      </c>
      <c r="G4" s="673" t="s">
        <v>289</v>
      </c>
      <c r="H4" s="633" t="s">
        <v>290</v>
      </c>
      <c r="I4" s="651" t="s">
        <v>208</v>
      </c>
      <c r="J4" s="652"/>
      <c r="K4" s="652"/>
      <c r="L4" s="652"/>
      <c r="M4" s="652"/>
      <c r="N4" s="652"/>
      <c r="O4" s="652"/>
      <c r="P4" s="652"/>
      <c r="Q4" s="652"/>
      <c r="R4" s="652"/>
      <c r="S4" s="652"/>
      <c r="T4" s="653"/>
      <c r="U4" s="657" t="s">
        <v>231</v>
      </c>
      <c r="V4" s="647"/>
      <c r="W4" s="648"/>
    </row>
    <row r="5" spans="2:60" ht="20" customHeight="1" thickBot="1" x14ac:dyDescent="0.4">
      <c r="B5" s="666"/>
      <c r="C5" s="667"/>
      <c r="D5" s="659"/>
      <c r="E5" s="672" t="s">
        <v>8</v>
      </c>
      <c r="F5" s="674" t="s">
        <v>13</v>
      </c>
      <c r="G5" s="674" t="s">
        <v>13</v>
      </c>
      <c r="H5" s="634"/>
      <c r="I5" s="654"/>
      <c r="J5" s="655"/>
      <c r="K5" s="655"/>
      <c r="L5" s="655"/>
      <c r="M5" s="655"/>
      <c r="N5" s="655"/>
      <c r="O5" s="655"/>
      <c r="P5" s="655"/>
      <c r="Q5" s="655"/>
      <c r="R5" s="655"/>
      <c r="S5" s="655"/>
      <c r="T5" s="656"/>
      <c r="U5" s="658" t="s">
        <v>24</v>
      </c>
      <c r="V5" s="655" t="s">
        <v>223</v>
      </c>
      <c r="W5" s="660" t="s">
        <v>210</v>
      </c>
      <c r="Y5" s="594" t="s">
        <v>211</v>
      </c>
      <c r="Z5" s="640"/>
      <c r="AA5" s="640"/>
      <c r="AB5" s="640"/>
      <c r="AC5" s="640"/>
      <c r="AD5" s="640"/>
      <c r="AE5" s="640"/>
      <c r="AF5" s="640"/>
      <c r="AG5" s="640"/>
      <c r="AH5" s="640"/>
      <c r="AI5" s="640"/>
      <c r="AJ5" s="595"/>
      <c r="AK5" s="183"/>
      <c r="AL5" s="183"/>
      <c r="AM5" s="184"/>
      <c r="AR5" s="594" t="s">
        <v>205</v>
      </c>
      <c r="AS5" s="640"/>
      <c r="AT5" s="640"/>
      <c r="AU5" s="640"/>
      <c r="AV5" s="640"/>
      <c r="AW5" s="640"/>
      <c r="AX5" s="640"/>
      <c r="AY5" s="640"/>
      <c r="AZ5" s="640"/>
      <c r="BA5" s="640"/>
      <c r="BB5" s="640"/>
      <c r="BC5" s="640"/>
      <c r="BD5" s="640"/>
      <c r="BE5" s="640"/>
      <c r="BF5" s="640"/>
      <c r="BG5" s="640"/>
      <c r="BH5" s="595"/>
    </row>
    <row r="6" spans="2:60" ht="15" customHeight="1" thickBot="1" x14ac:dyDescent="0.4">
      <c r="B6" s="666"/>
      <c r="C6" s="667"/>
      <c r="D6" s="659"/>
      <c r="E6" s="672"/>
      <c r="F6" s="674"/>
      <c r="G6" s="674"/>
      <c r="H6" s="634"/>
      <c r="I6" s="380" t="s">
        <v>66</v>
      </c>
      <c r="J6" s="381" t="s">
        <v>67</v>
      </c>
      <c r="K6" s="381" t="s">
        <v>68</v>
      </c>
      <c r="L6" s="381" t="s">
        <v>69</v>
      </c>
      <c r="M6" s="381" t="s">
        <v>70</v>
      </c>
      <c r="N6" s="381" t="s">
        <v>71</v>
      </c>
      <c r="O6" s="381" t="s">
        <v>72</v>
      </c>
      <c r="P6" s="381" t="s">
        <v>73</v>
      </c>
      <c r="Q6" s="381" t="s">
        <v>74</v>
      </c>
      <c r="R6" s="381" t="s">
        <v>75</v>
      </c>
      <c r="S6" s="381" t="s">
        <v>352</v>
      </c>
      <c r="T6" s="382" t="s">
        <v>351</v>
      </c>
      <c r="U6" s="659"/>
      <c r="V6" s="674"/>
      <c r="W6" s="634"/>
      <c r="Y6" s="646" t="s">
        <v>80</v>
      </c>
      <c r="Z6" s="662" t="s">
        <v>81</v>
      </c>
      <c r="AA6" s="27"/>
      <c r="AB6" s="35"/>
      <c r="AC6" s="643" t="s">
        <v>212</v>
      </c>
      <c r="AD6" s="644"/>
      <c r="AE6" s="645"/>
      <c r="AF6" s="646" t="s">
        <v>213</v>
      </c>
      <c r="AG6" s="647"/>
      <c r="AH6" s="648"/>
      <c r="AI6" s="641" t="s">
        <v>214</v>
      </c>
      <c r="AJ6" s="638" t="s">
        <v>214</v>
      </c>
      <c r="AK6" s="34"/>
      <c r="AL6" s="29"/>
      <c r="AM6" s="282"/>
      <c r="AR6" s="6"/>
    </row>
    <row r="7" spans="2:60" ht="15" customHeight="1" thickBot="1" x14ac:dyDescent="0.4">
      <c r="B7" s="668"/>
      <c r="C7" s="669"/>
      <c r="D7" s="120" t="s">
        <v>1</v>
      </c>
      <c r="E7" s="366" t="s">
        <v>2</v>
      </c>
      <c r="F7" s="366" t="s">
        <v>3</v>
      </c>
      <c r="G7" s="366" t="s">
        <v>4</v>
      </c>
      <c r="H7" s="367" t="s">
        <v>5</v>
      </c>
      <c r="I7" s="365" t="s">
        <v>6</v>
      </c>
      <c r="J7" s="366" t="s">
        <v>35</v>
      </c>
      <c r="K7" s="366" t="s">
        <v>36</v>
      </c>
      <c r="L7" s="366" t="s">
        <v>37</v>
      </c>
      <c r="M7" s="366" t="s">
        <v>7</v>
      </c>
      <c r="N7" s="366" t="s">
        <v>78</v>
      </c>
      <c r="O7" s="366" t="s">
        <v>79</v>
      </c>
      <c r="P7" s="366" t="s">
        <v>95</v>
      </c>
      <c r="Q7" s="366" t="s">
        <v>96</v>
      </c>
      <c r="R7" s="366" t="s">
        <v>97</v>
      </c>
      <c r="S7" s="366" t="s">
        <v>98</v>
      </c>
      <c r="T7" s="383" t="s">
        <v>99</v>
      </c>
      <c r="U7" s="384" t="s">
        <v>100</v>
      </c>
      <c r="V7" s="366" t="s">
        <v>101</v>
      </c>
      <c r="W7" s="367" t="s">
        <v>102</v>
      </c>
      <c r="Y7" s="661"/>
      <c r="Z7" s="663"/>
      <c r="AA7" s="33" t="s">
        <v>233</v>
      </c>
      <c r="AB7" s="28" t="s">
        <v>291</v>
      </c>
      <c r="AC7" s="281" t="s">
        <v>131</v>
      </c>
      <c r="AD7" s="22" t="s">
        <v>132</v>
      </c>
      <c r="AE7" s="26" t="s">
        <v>345</v>
      </c>
      <c r="AF7" s="286" t="s">
        <v>139</v>
      </c>
      <c r="AG7" s="287" t="s">
        <v>140</v>
      </c>
      <c r="AH7" s="25" t="s">
        <v>346</v>
      </c>
      <c r="AI7" s="642"/>
      <c r="AJ7" s="639"/>
      <c r="AK7" s="23" t="s">
        <v>133</v>
      </c>
      <c r="AL7" s="28" t="s">
        <v>134</v>
      </c>
      <c r="AM7" s="24" t="s">
        <v>83</v>
      </c>
      <c r="AR7" s="594" t="s">
        <v>84</v>
      </c>
      <c r="AS7" s="640"/>
      <c r="AU7" s="63"/>
      <c r="AV7" s="578" t="s">
        <v>256</v>
      </c>
      <c r="AW7" s="578"/>
      <c r="AX7" s="578"/>
      <c r="AY7" s="578"/>
      <c r="AZ7" s="578"/>
      <c r="BA7" s="578"/>
      <c r="BB7" s="578"/>
      <c r="BC7" s="578"/>
      <c r="BD7" s="578"/>
      <c r="BE7" s="578"/>
      <c r="BF7" s="578"/>
      <c r="BG7" s="578"/>
      <c r="BH7" s="579"/>
    </row>
    <row r="8" spans="2:60" ht="14" customHeight="1" x14ac:dyDescent="0.3">
      <c r="B8" s="385" t="s">
        <v>7</v>
      </c>
      <c r="C8" s="386" t="s">
        <v>10</v>
      </c>
      <c r="D8" s="387" t="s">
        <v>10</v>
      </c>
      <c r="E8" s="97"/>
      <c r="F8" s="211"/>
      <c r="G8" s="211"/>
      <c r="H8" s="212"/>
      <c r="I8" s="98"/>
      <c r="J8" s="98"/>
      <c r="K8" s="98"/>
      <c r="L8" s="98"/>
      <c r="M8" s="98"/>
      <c r="N8" s="98"/>
      <c r="O8" s="98"/>
      <c r="P8" s="98"/>
      <c r="Q8" s="98"/>
      <c r="R8" s="98"/>
      <c r="S8" s="98"/>
      <c r="T8" s="98"/>
      <c r="U8" s="213"/>
      <c r="V8" s="211"/>
      <c r="W8" s="212"/>
      <c r="Y8" s="39" t="str">
        <f>IF(COUNTA(E8:W8)=0,"",
IF(F8&gt;G8, "NOT OK",
IF(OR('2.0'!AA8="NOT OK",AB8="NOT OK",AJ8="NOT OK",ISNUMBER(SEARCH("is not a weighted average of the segment values",Z8))),"NOT OK",IF(AND(OR(AE8="WARNING",AH8="WARNING"),E8&gt;0),"WARNING","OK"))))</f>
        <v/>
      </c>
      <c r="Z8" s="53" t="str">
        <f>IF(COUNTA(E8:W8)=0,"",IF('2.0'!AA8="NOT OK","Row incomplete. Check if zeros values are missing in the row.",IF(AB8="NOT OK","The number of facilities in buckets does not sum up to the total number.",IF(AJ8="NOT OK","The p-value of t-Test differs from ECB calculation.",IF(ABS(SUMPRODUCT(E10:E21,G10:G21)/E8-G8)&gt;0.00001,"Cell G8 is not a weighted average of the segment values.[ECB calculation: "&amp;ROUND(SUMPRODUCT(E10:E21,G10:G21)/E8,6)&amp;"]",IF(ABS(SUMPRODUCT(E10:E21,H10:H21)/E8-H8)&gt;0.00001,"Cell H8 is not a weighted average of the segment values.[ECB calculation: "&amp;ROUND(SUMPRODUCT(E10:E21,H10:H21)/E8,6)&amp;"]",IF(AE8="WARNING","The average LGD^R seems implausible with the given LGD realisation.",IF(AH8="WARNING","The variance of the LGD seems implausible with the given realisation.",IF(SUM(I10:I21)&lt;&gt;I8,"Cell I8 is not the sum of the segment values.[ECB calculation: "&amp;SUM(I10:I21)&amp;"]",IF(SUM(J10:J21)&lt;&gt;J8,"Cell J8 is not the sum of the segment values.[ECB calculation: "&amp;SUM(J10:J21)&amp;"]",IF(SUM(K10:K21)&lt;&gt;K8,"Cell K8 is not the sum of the segment values.[ECB calculation: "&amp;SUM(K10:K21)&amp;"]",IF(SUM(L10:L21)&lt;&gt;L8,"Cell L8 is not the sum of the segment values.[ECB calculation: "&amp;SUM(L10:L21)&amp;"]",IF(SUM(M10:M21)&lt;&gt;M8,"Cell M8 is not the sum of the segment values.[ECB calculation: "&amp;SUM(M10:M21)&amp;"]",IF(SUM(N10:N21)&lt;&gt;N8,"Cell N8 is not the sum of the segment values.[ECB calculation: "&amp;SUM(N10:N21)&amp;"]",IF(SUM(O10:O21)&lt;&gt;O8,"Cell O8 is not the sum of the segment values.[ECB calculation: "&amp;SUM(O10:O21)&amp;"]",IF(SUM(P10:P21)&lt;&gt;P8,"Cell P8 is not the sum of the segment values.[ECB calculation: "&amp;SUM(P10:P21)&amp;"]",IF(SUM(Q10:Q21)&lt;&gt;Q8,"Cell Q8 is not the sum of the segment values.[ECB calculation: "&amp;SUM(Q10:Q21)&amp;"]",IF(SUM(R10:R21)&lt;&gt;R8,"Cell R8 is not the sum of the segment values.[ECB calculation: "&amp;SUM(R10:R21)&amp;"]",IF(SUM(S10:S21)&lt;&gt;S8,"Cell S8 is not the sum of the segment values.[ECB calculation: "&amp;SUM(S10:S21)&amp;"]",IF(SUM(T10:T21)&lt;&gt;T8,"Cell T8 is not the sum of the segment values.[ECB calculation: "&amp;SUM(T10:T21)&amp;"]",IF(F8&gt;G8,"Cell F8 should be smaller or equal to Cell G8.","")))))))))))))))))))))</f>
        <v/>
      </c>
      <c r="AA8" s="257" t="str">
        <f>IF(OR(E8=0,COUNTA(E8:W8)=0),"",IF(COUNTA(E8,G8:W8)&gt;=18,"OK",IF('2.0'!E8=1,IF(COUNTA(E8,G8:W8)=15,"OK","NOT OK"),"NOT OK")))</f>
        <v/>
      </c>
      <c r="AB8" s="78" t="str">
        <f>IF(COUNTA(E8:W8)=0,"",IF(AND(E8=SUM(I8:T8),'2.0'!E8=SUM(E10:E21)),"OK","NOT OK"))</f>
        <v/>
      </c>
      <c r="AC8" s="185" t="str">
        <f t="array" ref="AC8">IFERROR(SUM(I8:T8*TRANSPOSE($AK$10:$AK$21))/SUM(I8:T8),"")</f>
        <v/>
      </c>
      <c r="AD8" s="186" t="str">
        <f t="array" ref="AD8">IFERROR(SUM(I8:T8*TRANSPOSE($AL$10:$AL$21))/SUM(I8:T8),"")</f>
        <v/>
      </c>
      <c r="AE8" s="78" t="str">
        <f>IF(COUNTA(E8:W8)=0,"",IFERROR(IF(AND('2.0'!H8&gt;=AC8,H8&lt;=AD8),"OK","WARNING"),""))</f>
        <v/>
      </c>
      <c r="AF8" s="193" t="str">
        <f>IF(COUNTA(E8:W8)=0,"",IFERROR('2.0'!AP30,""))</f>
        <v/>
      </c>
      <c r="AG8" s="194" t="str">
        <f>IF(COUNTA(E8:W8)=0,"",IFERROR('2.0'!AO30,""))</f>
        <v/>
      </c>
      <c r="AH8" s="79" t="str">
        <f>IF(COUNTA(E8:W8)=0,"",IFERROR(IF(AND('2.0'!U8&gt;=AF8,U8&lt;=AG8),"OK","WARNING"),""))</f>
        <v/>
      </c>
      <c r="AI8" s="185" t="str">
        <f>IFERROR(IF(COUNTA(E8:W8)=0,"",1-_xlfn.T.DIST(SQRT(E8)*(H8-G8)/SQRT('2.0'!U8),E8-1,TRUE)),"")</f>
        <v/>
      </c>
      <c r="AJ8" s="78" t="str">
        <f>IFERROR(IF(COUNTA(E8:W8)=0,"",IF(ABS('2.0'!W8-AI8)&gt;0.00001,"NOT OK","OK")),"")</f>
        <v/>
      </c>
      <c r="AK8" s="199"/>
      <c r="AL8" s="200"/>
      <c r="AM8" s="201"/>
      <c r="AR8" s="109" t="s">
        <v>8</v>
      </c>
      <c r="AS8" s="249">
        <f>SUM($I$10:$T$21)</f>
        <v>25000</v>
      </c>
      <c r="AU8" s="646" t="s">
        <v>8</v>
      </c>
      <c r="AV8" s="628" t="s">
        <v>85</v>
      </c>
      <c r="AW8" s="630"/>
      <c r="AX8" s="631"/>
      <c r="AY8" s="631"/>
      <c r="AZ8" s="631"/>
      <c r="BA8" s="631"/>
      <c r="BB8" s="631"/>
      <c r="BC8" s="631"/>
      <c r="BD8" s="631"/>
      <c r="BE8" s="631"/>
      <c r="BF8" s="631"/>
      <c r="BG8" s="631"/>
      <c r="BH8" s="632"/>
    </row>
    <row r="9" spans="2:60" ht="13.5" thickBot="1" x14ac:dyDescent="0.4">
      <c r="B9" s="388"/>
      <c r="C9" s="389"/>
      <c r="D9" s="390"/>
      <c r="E9" s="391"/>
      <c r="F9" s="392"/>
      <c r="G9" s="393"/>
      <c r="H9" s="394"/>
      <c r="I9" s="395"/>
      <c r="J9" s="396"/>
      <c r="K9" s="396"/>
      <c r="L9" s="396"/>
      <c r="M9" s="396"/>
      <c r="N9" s="396"/>
      <c r="O9" s="396"/>
      <c r="P9" s="396"/>
      <c r="Q9" s="396"/>
      <c r="R9" s="396"/>
      <c r="S9" s="396"/>
      <c r="T9" s="397"/>
      <c r="U9" s="398"/>
      <c r="V9" s="393"/>
      <c r="W9" s="394"/>
      <c r="Y9" s="15"/>
      <c r="Z9" s="38"/>
      <c r="AA9" s="15"/>
      <c r="AB9" s="14"/>
      <c r="AC9" s="187"/>
      <c r="AD9" s="188"/>
      <c r="AE9" s="14"/>
      <c r="AF9" s="195"/>
      <c r="AG9" s="196"/>
      <c r="AH9" s="37"/>
      <c r="AI9" s="187"/>
      <c r="AJ9" s="14"/>
      <c r="AK9" s="202"/>
      <c r="AL9" s="203"/>
      <c r="AM9" s="204"/>
      <c r="AR9" s="110" t="s">
        <v>86</v>
      </c>
      <c r="AS9" s="244">
        <f t="array" ref="AS9">POWER($AS$8,2)-SUMPRODUCT(AU10:AU21,AU10:AU21)</f>
        <v>560856534</v>
      </c>
      <c r="AU9" s="661"/>
      <c r="AV9" s="629"/>
      <c r="AW9" s="105">
        <v>1</v>
      </c>
      <c r="AX9" s="106">
        <v>2</v>
      </c>
      <c r="AY9" s="107">
        <v>3</v>
      </c>
      <c r="AZ9" s="106">
        <v>4</v>
      </c>
      <c r="BA9" s="107">
        <v>5</v>
      </c>
      <c r="BB9" s="106">
        <v>6</v>
      </c>
      <c r="BC9" s="107">
        <v>7</v>
      </c>
      <c r="BD9" s="106">
        <v>8</v>
      </c>
      <c r="BE9" s="107">
        <v>9</v>
      </c>
      <c r="BF9" s="106">
        <v>10</v>
      </c>
      <c r="BG9" s="107">
        <v>11</v>
      </c>
      <c r="BH9" s="108">
        <v>12</v>
      </c>
    </row>
    <row r="10" spans="2:60" x14ac:dyDescent="0.3">
      <c r="B10" s="399" t="s">
        <v>14</v>
      </c>
      <c r="C10" s="400" t="s">
        <v>165</v>
      </c>
      <c r="D10" s="401" t="s">
        <v>66</v>
      </c>
      <c r="E10" s="95"/>
      <c r="F10" s="392"/>
      <c r="G10" s="266"/>
      <c r="H10" s="267"/>
      <c r="I10" s="99">
        <v>1406</v>
      </c>
      <c r="J10" s="96">
        <v>130</v>
      </c>
      <c r="K10" s="96">
        <v>14</v>
      </c>
      <c r="L10" s="96">
        <v>2</v>
      </c>
      <c r="M10" s="96">
        <v>20</v>
      </c>
      <c r="N10" s="96">
        <v>1</v>
      </c>
      <c r="O10" s="96">
        <v>1</v>
      </c>
      <c r="P10" s="96">
        <v>0</v>
      </c>
      <c r="Q10" s="96">
        <v>3</v>
      </c>
      <c r="R10" s="96">
        <v>57</v>
      </c>
      <c r="S10" s="96">
        <v>0</v>
      </c>
      <c r="T10" s="100">
        <v>0</v>
      </c>
      <c r="U10" s="268"/>
      <c r="V10" s="266"/>
      <c r="W10" s="267"/>
      <c r="Y10" s="18" t="str">
        <f>IF(COUNTA(E10:W10)=0,"",IF(AND('2.0'!E10=0,COUNTA(H10:W10)&gt;0),"NOT OK",IF(OR(AA10="NOT OK",AB10="NOT OK",AJ10="NOT OK"),"NOT OK",IF(AND(OR(AE10="WARNING",AH10="WARNING"),E10&gt;0),"WARNING","OK"))))</f>
        <v>NOT OK</v>
      </c>
      <c r="Z10" s="38" t="str">
        <f>IF(OR(COUNTA(E10:W10)=0,AND('2.0'!E10=0,COUNTA(F10:W10)=0)),"",IF(AND(E10=0,COUNTA(H10:W10)&gt;0),"As number of facilities is zero, please leave columns H to W empty.",IF(AA10="NOT OK","Row incomplete. Check if zeros values are missing in the row.",IF(AB10="NOT OK","The number of facilities in buckets does not sum up to the total number.",IF(AJ10="NOT OK","The p-value of t-Test differs from ECB calculation.",IF(AE10="WARNING","The average LGD^R seems implausible with the given LGD realisation.",IF(AH10="WARNING","The variance of the LGD seems implausible with the given realisation.","")))))))</f>
        <v>As number of facilities is zero, please leave columns H to W empty.</v>
      </c>
      <c r="AA10" s="258" t="str">
        <f>IF(OR(E10=0,COUNTA(E10:W10)=0),"",IF(COUNTA(E10:W10)&gt;=18,"OK",IF('2.0'!E10=1,IF(COUNTA(E10:W10)=15,"OK","NOT OK"),"NOT OK")))</f>
        <v/>
      </c>
      <c r="AB10" s="20" t="str">
        <f>IF(COUNTA(E10:W10)=0,"",IF('2.0'!E10=SUM(I10:T10),"OK","NOT OK"))</f>
        <v>NOT OK</v>
      </c>
      <c r="AC10" s="189">
        <f t="array" ref="AC10">IFERROR(SUM(I10:T10*TRANSPOSE($AK$10:$AK$21))/SUM(I10:T10),"")</f>
        <v>3.8494492044063654E-2</v>
      </c>
      <c r="AD10" s="190">
        <f t="array" ref="AD10">IFERROR(SUM(I10:T10*TRANSPOSE($AL$10:$AL$21))/SUM(I10:T10),"")</f>
        <v>9.1493268053855575E-2</v>
      </c>
      <c r="AE10" s="19" t="str">
        <f>IF(COUNTA(H10:W10)=0,"",IFERROR(IF(AND('2.0'!H10&gt;=AC10,H10&lt;=AD10),"OK","WARNING"),""))</f>
        <v>WARNING</v>
      </c>
      <c r="AF10" s="197">
        <f>IF(COUNTA(H10:W10)=0,"",IFERROR('2.0'!AP31,""))</f>
        <v>2.4926515615431723E-2</v>
      </c>
      <c r="AG10" s="198">
        <f>IF(COUNTA(H10:W10)=0,"",IFERROR('2.0'!AO31,""))</f>
        <v>3.51837109614207E-2</v>
      </c>
      <c r="AH10" s="32" t="str">
        <f>IF(COUNTA(H10:W10)=0,"",IFERROR(IF(AND('2.0'!U10&gt;=AF10,U10&lt;=AG10),"OK","WARNING"),""))</f>
        <v>WARNING</v>
      </c>
      <c r="AI10" s="189" t="str">
        <f>IFERROR(IF(COUNTA(E10:W10)=0,"",1-_xlfn.T.DIST(SQRT(E10)*(H10-G10)/SQRT('2.0'!U10),E10-1,TRUE)),"")</f>
        <v/>
      </c>
      <c r="AJ10" s="20" t="str">
        <f>IFERROR(IF(COUNTA(E10:W10)=0,"",IF(ABS('2.0'!W10-AI10)&gt;0.00001,"NOT OK","OK")),"")</f>
        <v/>
      </c>
      <c r="AK10" s="205">
        <v>0</v>
      </c>
      <c r="AL10" s="206">
        <v>0.05</v>
      </c>
      <c r="AM10" s="207">
        <v>2.5000000000000001E-2</v>
      </c>
      <c r="AR10" s="110" t="s">
        <v>87</v>
      </c>
      <c r="AS10" s="250">
        <f t="array" ref="AS10">SUM((AW10:BH21)*$I$10:$T$21)</f>
        <v>195471380</v>
      </c>
      <c r="AU10" s="237">
        <f t="shared" ref="AU10:AU21" si="0">SUM(I10:T10)</f>
        <v>1634</v>
      </c>
      <c r="AV10" s="251">
        <v>1</v>
      </c>
      <c r="AW10" s="239">
        <f t="array" ref="AW10">(SUM(($AW$9:$BH$9&lt;AW$9)*($AV$10:$AV$21&lt;$AV10)*$I$10:$T$21)+SUM(($AW$9:$BH$9&gt;AW$9)*($AV$10:$AV$21&gt;$AV10)*$I$10:$T$21)-(SUM(($AW$9:$BH$9&gt;AW$9)*($AV$10:$AV$21&lt;$AV10)*$I$10:$T$21)+SUM(($AW$9:$BH$9&lt;AW$9)*($AV$10:$AV$21&gt;$AV10)*$I$10:$T$21)))*($AU10&gt;0)*(SUM(INDEX($I$10:$T$21,0,AW$9))&gt;0)</f>
        <v>19272</v>
      </c>
      <c r="AX10" s="239">
        <f t="array" ref="AX10">(SUM(($AW$9:$BH$9&lt;AX$9)*($AV$10:$AV$21&lt;$AV10)*$I$10:$T$21)+SUM(($AW$9:$BH$9&gt;AX$9)*($AV$10:$AV$21&gt;$AV10)*$I$10:$T$21)-(SUM(($AW$9:$BH$9&gt;AX$9)*($AV$10:$AV$21&lt;$AV10)*$I$10:$T$21)+SUM(($AW$9:$BH$9&lt;AX$9)*($AV$10:$AV$21&gt;$AV10)*$I$10:$T$21)))*($AU10&gt;0)*(SUM(INDEX($I$10:$T$21,0,AX$9))&gt;0)</f>
        <v>13708</v>
      </c>
      <c r="AY10" s="239">
        <f t="array" ref="AY10">(SUM(($AW$9:$BH$9&lt;AY$9)*($AV$10:$AV$21&lt;$AV10)*$I$10:$T$21)+SUM(($AW$9:$BH$9&gt;AY$9)*($AV$10:$AV$21&gt;$AV10)*$I$10:$T$21)-(SUM(($AW$9:$BH$9&gt;AY$9)*($AV$10:$AV$21&lt;$AV10)*$I$10:$T$21)+SUM(($AW$9:$BH$9&lt;AY$9)*($AV$10:$AV$21&gt;$AV10)*$I$10:$T$21)))*($AU10&gt;0)*(SUM(INDEX($I$10:$T$21,0,AY$9))&gt;0)</f>
        <v>11582</v>
      </c>
      <c r="AZ10" s="239">
        <f t="array" ref="AZ10">(SUM(($AW$9:$BH$9&lt;AZ$9)*($AV$10:$AV$21&lt;$AV10)*$I$10:$T$21)+SUM(($AW$9:$BH$9&gt;AZ$9)*($AV$10:$AV$21&gt;$AV10)*$I$10:$T$21)-(SUM(($AW$9:$BH$9&gt;AZ$9)*($AV$10:$AV$21&lt;$AV10)*$I$10:$T$21)+SUM(($AW$9:$BH$9&lt;AZ$9)*($AV$10:$AV$21&gt;$AV10)*$I$10:$T$21)))*($AU10&gt;0)*(SUM(INDEX($I$10:$T$21,0,AZ$9))&gt;0)</f>
        <v>10678</v>
      </c>
      <c r="BA10" s="239">
        <f t="array" ref="BA10">(SUM(($AW$9:$BH$9&lt;BA$9)*($AV$10:$AV$21&lt;$AV10)*$I$10:$T$21)+SUM(($AW$9:$BH$9&gt;BA$9)*($AV$10:$AV$21&gt;$AV10)*$I$10:$T$21)-(SUM(($AW$9:$BH$9&gt;BA$9)*($AV$10:$AV$21&lt;$AV10)*$I$10:$T$21)+SUM(($AW$9:$BH$9&lt;BA$9)*($AV$10:$AV$21&gt;$AV10)*$I$10:$T$21)))*($AU10&gt;0)*(SUM(INDEX($I$10:$T$21,0,BA$9))&gt;0)</f>
        <v>10090</v>
      </c>
      <c r="BB10" s="239">
        <f t="array" ref="BB10">(SUM(($AW$9:$BH$9&lt;BB$9)*($AV$10:$AV$21&lt;$AV10)*$I$10:$T$21)+SUM(($AW$9:$BH$9&gt;BB$9)*($AV$10:$AV$21&gt;$AV10)*$I$10:$T$21)-(SUM(($AW$9:$BH$9&gt;BB$9)*($AV$10:$AV$21&lt;$AV10)*$I$10:$T$21)+SUM(($AW$9:$BH$9&lt;BB$9)*($AV$10:$AV$21&gt;$AV10)*$I$10:$T$21)))*($AU10&gt;0)*(SUM(INDEX($I$10:$T$21,0,BB$9))&gt;0)</f>
        <v>9731</v>
      </c>
      <c r="BC10" s="239">
        <f t="array" ref="BC10">(SUM(($AW$9:$BH$9&lt;BC$9)*($AV$10:$AV$21&lt;$AV10)*$I$10:$T$21)+SUM(($AW$9:$BH$9&gt;BC$9)*($AV$10:$AV$21&gt;$AV10)*$I$10:$T$21)-(SUM(($AW$9:$BH$9&gt;BC$9)*($AV$10:$AV$21&lt;$AV10)*$I$10:$T$21)+SUM(($AW$9:$BH$9&lt;BC$9)*($AV$10:$AV$21&gt;$AV10)*$I$10:$T$21)))*($AU10&gt;0)*(SUM(INDEX($I$10:$T$21,0,BC$9))&gt;0)</f>
        <v>9668</v>
      </c>
      <c r="BD10" s="239">
        <f t="array" ref="BD10">(SUM(($AW$9:$BH$9&lt;BD$9)*($AV$10:$AV$21&lt;$AV10)*$I$10:$T$21)+SUM(($AW$9:$BH$9&gt;BD$9)*($AV$10:$AV$21&gt;$AV10)*$I$10:$T$21)-(SUM(($AW$9:$BH$9&gt;BD$9)*($AV$10:$AV$21&lt;$AV10)*$I$10:$T$21)+SUM(($AW$9:$BH$9&lt;BD$9)*($AV$10:$AV$21&gt;$AV10)*$I$10:$T$21)))*($AU10&gt;0)*(SUM(INDEX($I$10:$T$21,0,BD$9))&gt;0)</f>
        <v>9549</v>
      </c>
      <c r="BE10" s="239">
        <f t="array" ref="BE10">(SUM(($AW$9:$BH$9&lt;BE$9)*($AV$10:$AV$21&lt;$AV10)*$I$10:$T$21)+SUM(($AW$9:$BH$9&gt;BE$9)*($AV$10:$AV$21&gt;$AV10)*$I$10:$T$21)-(SUM(($AW$9:$BH$9&gt;BE$9)*($AV$10:$AV$21&lt;$AV10)*$I$10:$T$21)+SUM(($AW$9:$BH$9&lt;BE$9)*($AV$10:$AV$21&gt;$AV10)*$I$10:$T$21)))*($AU10&gt;0)*(SUM(INDEX($I$10:$T$21,0,BE$9))&gt;0)</f>
        <v>8197</v>
      </c>
      <c r="BF10" s="239">
        <f t="array" ref="BF10">(SUM(($AW$9:$BH$9&lt;BF$9)*($AV$10:$AV$21&lt;$AV10)*$I$10:$T$21)+SUM(($AW$9:$BH$9&gt;BF$9)*($AV$10:$AV$21&gt;$AV10)*$I$10:$T$21)-(SUM(($AW$9:$BH$9&gt;BF$9)*($AV$10:$AV$21&lt;$AV10)*$I$10:$T$21)+SUM(($AW$9:$BH$9&lt;BF$9)*($AV$10:$AV$21&gt;$AV10)*$I$10:$T$21)))*($AU10&gt;0)*(SUM(INDEX($I$10:$T$21,0,BF$9))&gt;0)</f>
        <v>3277</v>
      </c>
      <c r="BG10" s="239">
        <f t="array" ref="BG10">(SUM(($AW$9:$BH$9&lt;BG$9)*($AV$10:$AV$21&lt;$AV10)*$I$10:$T$21)+SUM(($AW$9:$BH$9&gt;BG$9)*($AV$10:$AV$21&gt;$AV10)*$I$10:$T$21)-(SUM(($AW$9:$BH$9&gt;BG$9)*($AV$10:$AV$21&lt;$AV10)*$I$10:$T$21)+SUM(($AW$9:$BH$9&lt;BG$9)*($AV$10:$AV$21&gt;$AV10)*$I$10:$T$21)))*($AU10&gt;0)*(SUM(INDEX($I$10:$T$21,0,BG$9))&gt;0)</f>
        <v>-9866</v>
      </c>
      <c r="BH10" s="240">
        <f t="array" ref="BH10">(SUM(($AW$9:$BH$9&lt;BH$9)*($AV$10:$AV$21&lt;$AV10)*$I$10:$T$21)+SUM(($AW$9:$BH$9&gt;BH$9)*($AV$10:$AV$21&gt;$AV10)*$I$10:$T$21)-(SUM(($AW$9:$BH$9&gt;BH$9)*($AV$10:$AV$21&lt;$AV10)*$I$10:$T$21)+SUM(($AW$9:$BH$9&lt;BH$9)*($AV$10:$AV$21&gt;$AV10)*$I$10:$T$21)))*($AU10&gt;0)*(SUM(INDEX($I$10:$T$21,0,BH$9))&gt;0)</f>
        <v>-21366</v>
      </c>
    </row>
    <row r="11" spans="2:60" x14ac:dyDescent="0.3">
      <c r="B11" s="119" t="s">
        <v>15</v>
      </c>
      <c r="C11" s="402" t="s">
        <v>166</v>
      </c>
      <c r="D11" s="401" t="s">
        <v>67</v>
      </c>
      <c r="E11" s="95"/>
      <c r="F11" s="392"/>
      <c r="G11" s="266"/>
      <c r="H11" s="267"/>
      <c r="I11" s="99">
        <v>584</v>
      </c>
      <c r="J11" s="96">
        <v>300</v>
      </c>
      <c r="K11" s="96">
        <v>320</v>
      </c>
      <c r="L11" s="96">
        <v>43</v>
      </c>
      <c r="M11" s="96">
        <v>8</v>
      </c>
      <c r="N11" s="96">
        <v>0</v>
      </c>
      <c r="O11" s="96">
        <v>0</v>
      </c>
      <c r="P11" s="96">
        <v>0</v>
      </c>
      <c r="Q11" s="96">
        <v>0</v>
      </c>
      <c r="R11" s="96">
        <v>0</v>
      </c>
      <c r="S11" s="96">
        <v>240</v>
      </c>
      <c r="T11" s="100">
        <v>0</v>
      </c>
      <c r="U11" s="268"/>
      <c r="V11" s="266"/>
      <c r="W11" s="267"/>
      <c r="Y11" s="18" t="str">
        <f>IF(COUNTA(E11:W11)=0,"",IF(AND('2.0'!E11=0,COUNTA(H11:W11)&gt;0),"NOT OK",IF(OR(AA11="NOT OK",AB11="NOT OK",AJ11="NOT OK"),"NOT OK",IF(AND(OR(AE11="WARNING",AH11="WARNING"),E11&gt;0),"WARNING","OK"))))</f>
        <v>NOT OK</v>
      </c>
      <c r="Z11" s="38" t="str">
        <f>IF(OR(COUNTA(E11:W11)=0,AND('2.0'!E11=0,COUNTA(F11:W11)=0)),"",IF(AND(E11=0,COUNTA(H11:W11)&gt;0),"As number of facilities is zero, please leave columns H to W empty.",IF(AA11="NOT OK","Row incomplete. Check if zeros values are missing in the row.",IF(AB11="NOT OK","The number of facilities in buckets does not sum up to the total number.",IF(AJ11="NOT OK","The p-value of t-Test differs from ECB calculation.",IF(AE11="WARNING","The average LGD^R seems implausible with the given LGD realisation.",IF(AH11="WARNING","The variance of the LGD seems implausible with the given realisation.","")))))))</f>
        <v>As number of facilities is zero, please leave columns H to W empty.</v>
      </c>
      <c r="AA11" s="258" t="str">
        <f>IF(OR(E11=0,COUNTA(E11:W11)=0),"",IF(COUNTA(E11:W11)&gt;=18,"OK",IF('2.0'!E11=1,IF(COUNTA(E11:W11)=15,"OK","NOT OK"),"NOT OK")))</f>
        <v/>
      </c>
      <c r="AB11" s="20" t="str">
        <f>IF(COUNTA(E11:W11)=0,"",IF('2.0'!E11=SUM(I11:T11),"OK","NOT OK"))</f>
        <v>NOT OK</v>
      </c>
      <c r="AC11" s="189">
        <f t="array" ref="AC11">IFERROR(SUM(I11:T11*TRANSPOSE($AK$10:$AK$21))/SUM(I11:T11),"")</f>
        <v>0.18327759197324414</v>
      </c>
      <c r="AD11" s="190">
        <f t="array" ref="AD11">IFERROR(SUM(I11:T11*TRANSPOSE($AL$10:$AL$21))/SUM(I11:T11),"")</f>
        <v>0.25371237458193979</v>
      </c>
      <c r="AE11" s="19" t="str">
        <f>IF(COUNTA(H11:W11)=0,"",IFERROR(IF(AND('2.0'!H11&gt;=AC11,H11&lt;=AD11),"OK","WARNING"),""))</f>
        <v>WARNING</v>
      </c>
      <c r="AF11" s="197">
        <f>IF(COUNTA(H11:W11)=0,"",IFERROR('2.0'!AP32,""))</f>
        <v>0.1343975903614458</v>
      </c>
      <c r="AG11" s="198">
        <f>IF(COUNTA(H11:W11)=0,"",IFERROR('2.0'!AO32,""))</f>
        <v>0.17564257028112451</v>
      </c>
      <c r="AH11" s="32" t="str">
        <f>IF(COUNTA(H11:W11)=0,"",IFERROR(IF(AND('2.0'!U11&gt;=AF11,U11&lt;=AG11),"OK","WARNING"),""))</f>
        <v>WARNING</v>
      </c>
      <c r="AI11" s="189" t="str">
        <f>IFERROR(IF(COUNTA(E11:W11)=0,"",1-_xlfn.T.DIST(SQRT(E11)*(H11-G11)/SQRT('2.0'!U11),E11-1,TRUE)),"")</f>
        <v/>
      </c>
      <c r="AJ11" s="20" t="str">
        <f>IFERROR(IF(COUNTA(E11:W11)=0,"",IF(ABS('2.0'!W11-AI11)&gt;0.00001,"NOT OK","OK")),"")</f>
        <v/>
      </c>
      <c r="AK11" s="205">
        <v>0.05</v>
      </c>
      <c r="AL11" s="206">
        <v>0.1</v>
      </c>
      <c r="AM11" s="207">
        <v>7.4999999999999997E-2</v>
      </c>
      <c r="AR11" s="110" t="s">
        <v>88</v>
      </c>
      <c r="AS11" s="235">
        <f>AS10/AS9</f>
        <v>0.34852296113216003</v>
      </c>
      <c r="AU11" s="241">
        <f t="shared" si="0"/>
        <v>1495</v>
      </c>
      <c r="AV11" s="252">
        <v>2</v>
      </c>
      <c r="AW11" s="243">
        <f t="array" ref="AW11">(SUM(($AW$9:$BH$9&lt;AW$9)*($AV$10:$AV$21&lt;$AV11)*$I$10:$T$21)+SUM(($AW$9:$BH$9&gt;AW$9)*($AV$10:$AV$21&gt;$AV11)*$I$10:$T$21)-(SUM(($AW$9:$BH$9&gt;AW$9)*($AV$10:$AV$21&lt;$AV11)*$I$10:$T$21)+SUM(($AW$9:$BH$9&lt;AW$9)*($AV$10:$AV$21&gt;$AV11)*$I$10:$T$21)))*($AU11&gt;0)*(SUM(INDEX($I$10:$T$21,0,AW$9))&gt;0)</f>
        <v>18133</v>
      </c>
      <c r="AX11" s="243">
        <f t="array" ref="AX11">(SUM(($AW$9:$BH$9&lt;AX$9)*($AV$10:$AV$21&lt;$AV11)*$I$10:$T$21)+SUM(($AW$9:$BH$9&gt;AX$9)*($AV$10:$AV$21&gt;$AV11)*$I$10:$T$21)-(SUM(($AW$9:$BH$9&gt;AX$9)*($AV$10:$AV$21&lt;$AV11)*$I$10:$T$21)+SUM(($AW$9:$BH$9&lt;AX$9)*($AV$10:$AV$21&gt;$AV11)*$I$10:$T$21)))*($AU11&gt;0)*(SUM(INDEX($I$10:$T$21,0,AX$9))&gt;0)</f>
        <v>14989</v>
      </c>
      <c r="AY11" s="243">
        <f t="array" ref="AY11">(SUM(($AW$9:$BH$9&lt;AY$9)*($AV$10:$AV$21&lt;$AV11)*$I$10:$T$21)+SUM(($AW$9:$BH$9&gt;AY$9)*($AV$10:$AV$21&gt;$AV11)*$I$10:$T$21)-(SUM(($AW$9:$BH$9&gt;AY$9)*($AV$10:$AV$21&lt;$AV11)*$I$10:$T$21)+SUM(($AW$9:$BH$9&lt;AY$9)*($AV$10:$AV$21&gt;$AV11)*$I$10:$T$21)))*($AU11&gt;0)*(SUM(INDEX($I$10:$T$21,0,AY$9))&gt;0)</f>
        <v>13627</v>
      </c>
      <c r="AZ11" s="243">
        <f t="array" ref="AZ11">(SUM(($AW$9:$BH$9&lt;AZ$9)*($AV$10:$AV$21&lt;$AV11)*$I$10:$T$21)+SUM(($AW$9:$BH$9&gt;AZ$9)*($AV$10:$AV$21&gt;$AV11)*$I$10:$T$21)-(SUM(($AW$9:$BH$9&gt;AZ$9)*($AV$10:$AV$21&lt;$AV11)*$I$10:$T$21)+SUM(($AW$9:$BH$9&lt;AZ$9)*($AV$10:$AV$21&gt;$AV11)*$I$10:$T$21)))*($AU11&gt;0)*(SUM(INDEX($I$10:$T$21,0,AZ$9))&gt;0)</f>
        <v>13102</v>
      </c>
      <c r="BA11" s="243">
        <f t="array" ref="BA11">(SUM(($AW$9:$BH$9&lt;BA$9)*($AV$10:$AV$21&lt;$AV11)*$I$10:$T$21)+SUM(($AW$9:$BH$9&gt;BA$9)*($AV$10:$AV$21&gt;$AV11)*$I$10:$T$21)-(SUM(($AW$9:$BH$9&gt;BA$9)*($AV$10:$AV$21&lt;$AV11)*$I$10:$T$21)+SUM(($AW$9:$BH$9&lt;BA$9)*($AV$10:$AV$21&gt;$AV11)*$I$10:$T$21)))*($AU11&gt;0)*(SUM(INDEX($I$10:$T$21,0,BA$9))&gt;0)</f>
        <v>12587</v>
      </c>
      <c r="BB11" s="243">
        <f t="array" ref="BB11">(SUM(($AW$9:$BH$9&lt;BB$9)*($AV$10:$AV$21&lt;$AV11)*$I$10:$T$21)+SUM(($AW$9:$BH$9&gt;BB$9)*($AV$10:$AV$21&gt;$AV11)*$I$10:$T$21)-(SUM(($AW$9:$BH$9&gt;BB$9)*($AV$10:$AV$21&lt;$AV11)*$I$10:$T$21)+SUM(($AW$9:$BH$9&lt;BB$9)*($AV$10:$AV$21&gt;$AV11)*$I$10:$T$21)))*($AU11&gt;0)*(SUM(INDEX($I$10:$T$21,0,BB$9))&gt;0)</f>
        <v>12257</v>
      </c>
      <c r="BC11" s="243">
        <f t="array" ref="BC11">(SUM(($AW$9:$BH$9&lt;BC$9)*($AV$10:$AV$21&lt;$AV11)*$I$10:$T$21)+SUM(($AW$9:$BH$9&gt;BC$9)*($AV$10:$AV$21&gt;$AV11)*$I$10:$T$21)-(SUM(($AW$9:$BH$9&gt;BC$9)*($AV$10:$AV$21&lt;$AV11)*$I$10:$T$21)+SUM(($AW$9:$BH$9&lt;BC$9)*($AV$10:$AV$21&gt;$AV11)*$I$10:$T$21)))*($AU11&gt;0)*(SUM(INDEX($I$10:$T$21,0,BC$9))&gt;0)</f>
        <v>12196</v>
      </c>
      <c r="BD11" s="243">
        <f t="array" ref="BD11">(SUM(($AW$9:$BH$9&lt;BD$9)*($AV$10:$AV$21&lt;$AV11)*$I$10:$T$21)+SUM(($AW$9:$BH$9&gt;BD$9)*($AV$10:$AV$21&gt;$AV11)*$I$10:$T$21)-(SUM(($AW$9:$BH$9&gt;BD$9)*($AV$10:$AV$21&lt;$AV11)*$I$10:$T$21)+SUM(($AW$9:$BH$9&lt;BD$9)*($AV$10:$AV$21&gt;$AV11)*$I$10:$T$21)))*($AU11&gt;0)*(SUM(INDEX($I$10:$T$21,0,BD$9))&gt;0)</f>
        <v>12078</v>
      </c>
      <c r="BE11" s="243">
        <f t="array" ref="BE11">(SUM(($AW$9:$BH$9&lt;BE$9)*($AV$10:$AV$21&lt;$AV11)*$I$10:$T$21)+SUM(($AW$9:$BH$9&gt;BE$9)*($AV$10:$AV$21&gt;$AV11)*$I$10:$T$21)-(SUM(($AW$9:$BH$9&gt;BE$9)*($AV$10:$AV$21&lt;$AV11)*$I$10:$T$21)+SUM(($AW$9:$BH$9&lt;BE$9)*($AV$10:$AV$21&gt;$AV11)*$I$10:$T$21)))*($AU11&gt;0)*(SUM(INDEX($I$10:$T$21,0,BE$9))&gt;0)</f>
        <v>10729</v>
      </c>
      <c r="BF11" s="243">
        <f t="array" ref="BF11">(SUM(($AW$9:$BH$9&lt;BF$9)*($AV$10:$AV$21&lt;$AV11)*$I$10:$T$21)+SUM(($AW$9:$BH$9&gt;BF$9)*($AV$10:$AV$21&gt;$AV11)*$I$10:$T$21)-(SUM(($AW$9:$BH$9&gt;BF$9)*($AV$10:$AV$21&lt;$AV11)*$I$10:$T$21)+SUM(($AW$9:$BH$9&lt;BF$9)*($AV$10:$AV$21&gt;$AV11)*$I$10:$T$21)))*($AU11&gt;0)*(SUM(INDEX($I$10:$T$21,0,BF$9))&gt;0)</f>
        <v>5869</v>
      </c>
      <c r="BG11" s="243">
        <f t="array" ref="BG11">(SUM(($AW$9:$BH$9&lt;BG$9)*($AV$10:$AV$21&lt;$AV11)*$I$10:$T$21)+SUM(($AW$9:$BH$9&gt;BG$9)*($AV$10:$AV$21&gt;$AV11)*$I$10:$T$21)-(SUM(($AW$9:$BH$9&gt;BG$9)*($AV$10:$AV$21&lt;$AV11)*$I$10:$T$21)+SUM(($AW$9:$BH$9&lt;BG$9)*($AV$10:$AV$21&gt;$AV11)*$I$10:$T$21)))*($AU11&gt;0)*(SUM(INDEX($I$10:$T$21,0,BG$9))&gt;0)</f>
        <v>-6977</v>
      </c>
      <c r="BH11" s="244">
        <f t="array" ref="BH11">(SUM(($AW$9:$BH$9&lt;BH$9)*($AV$10:$AV$21&lt;$AV11)*$I$10:$T$21)+SUM(($AW$9:$BH$9&gt;BH$9)*($AV$10:$AV$21&gt;$AV11)*$I$10:$T$21)-(SUM(($AW$9:$BH$9&gt;BH$9)*($AV$10:$AV$21&lt;$AV11)*$I$10:$T$21)+SUM(($AW$9:$BH$9&lt;BH$9)*($AV$10:$AV$21&gt;$AV11)*$I$10:$T$21)))*($AU11&gt;0)*(SUM(INDEX($I$10:$T$21,0,BH$9))&gt;0)</f>
        <v>-18237</v>
      </c>
    </row>
    <row r="12" spans="2:60" x14ac:dyDescent="0.3">
      <c r="B12" s="399" t="s">
        <v>16</v>
      </c>
      <c r="C12" s="402" t="s">
        <v>167</v>
      </c>
      <c r="D12" s="401" t="s">
        <v>68</v>
      </c>
      <c r="E12" s="95"/>
      <c r="F12" s="392"/>
      <c r="G12" s="266"/>
      <c r="H12" s="267"/>
      <c r="I12" s="99">
        <v>448</v>
      </c>
      <c r="J12" s="96">
        <v>500</v>
      </c>
      <c r="K12" s="96">
        <v>10</v>
      </c>
      <c r="L12" s="96">
        <v>6</v>
      </c>
      <c r="M12" s="96">
        <v>65</v>
      </c>
      <c r="N12" s="96">
        <v>0</v>
      </c>
      <c r="O12" s="96">
        <v>1</v>
      </c>
      <c r="P12" s="96">
        <v>0</v>
      </c>
      <c r="Q12" s="96">
        <v>1</v>
      </c>
      <c r="R12" s="96">
        <v>56</v>
      </c>
      <c r="S12" s="96">
        <v>354</v>
      </c>
      <c r="T12" s="100">
        <v>0</v>
      </c>
      <c r="U12" s="268"/>
      <c r="V12" s="266"/>
      <c r="W12" s="267"/>
      <c r="Y12" s="18" t="str">
        <f>IF(COUNTA(E12:W12)=0,"",IF(AND('2.0'!E12=0,COUNTA(H12:W12)&gt;0),"NOT OK",IF(OR(AA12="NOT OK",AB12="NOT OK",AJ12="NOT OK"),"NOT OK",IF(AND(OR(AE12="WARNING",AH12="WARNING"),E12&gt;0),"WARNING","OK"))))</f>
        <v>NOT OK</v>
      </c>
      <c r="Z12" s="38" t="str">
        <f>IF(OR(COUNTA(E12:W12)=0,AND('2.0'!E12=0,COUNTA(F12:W12)=0)),"",IF(AND(E12=0,COUNTA(H12:W12)&gt;0),"As number of facilities is zero, please leave columns H to W empty.",IF(AA12="NOT OK","Row incomplete. Check if zeros values are missing in the row.",IF(AB12="NOT OK","The number of facilities in buckets does not sum up to the total number.",IF(AJ12="NOT OK","The p-value of t-Test differs from ECB calculation.",IF(AE12="WARNING","The average LGD^R seems implausible with the given LGD realisation.",IF(AH12="WARNING","The variance of the LGD seems implausible with the given realisation.","")))))))</f>
        <v>As number of facilities is zero, please leave columns H to W empty.</v>
      </c>
      <c r="AA12" s="258" t="str">
        <f>IF(OR(E12=0,COUNTA(E12:W12)=0),"",IF(COUNTA(E12:W12)&gt;=18,"OK",IF('2.0'!E12=1,IF(COUNTA(E12:W12)=15,"OK","NOT OK"),"NOT OK")))</f>
        <v/>
      </c>
      <c r="AB12" s="20" t="str">
        <f>IF(COUNTA(E12:W12)=0,"",IF('2.0'!E12=SUM(I12:T12),"OK","NOT OK"))</f>
        <v>NOT OK</v>
      </c>
      <c r="AC12" s="189">
        <f t="array" ref="AC12">IFERROR(SUM(I12:T12*TRANSPOSE($AK$10:$AK$21))/SUM(I12:T12),"")</f>
        <v>0.28542678695350454</v>
      </c>
      <c r="AD12" s="190">
        <f t="array" ref="AD12">IFERROR(SUM(I12:T12*TRANSPOSE($AL$10:$AL$21))/SUM(I12:T12),"")</f>
        <v>0.35253296321998612</v>
      </c>
      <c r="AE12" s="19" t="str">
        <f>IF(COUNTA(H12:W12)=0,"",IFERROR(IF(AND('2.0'!H12&gt;=AC12,H12&lt;=AD12),"OK","WARNING"),""))</f>
        <v>WARNING</v>
      </c>
      <c r="AF12" s="197">
        <f>IF(COUNTA(H12:W12)=0,"",IFERROR('2.0'!AP33,""))</f>
        <v>0.22969444444444445</v>
      </c>
      <c r="AG12" s="198">
        <f>IF(COUNTA(H12:W12)=0,"",IFERROR('2.0'!AO33,""))</f>
        <v>0.29015277777777776</v>
      </c>
      <c r="AH12" s="32" t="str">
        <f>IF(COUNTA(H12:W12)=0,"",IFERROR(IF(AND('2.0'!U12&gt;=AF12,U12&lt;=AG12),"OK","WARNING"),""))</f>
        <v>WARNING</v>
      </c>
      <c r="AI12" s="189" t="str">
        <f>IFERROR(IF(COUNTA(E12:W12)=0,"",1-_xlfn.T.DIST(SQRT(E12)*(H12-G12)/SQRT('2.0'!U12),E12-1,TRUE)),"")</f>
        <v/>
      </c>
      <c r="AJ12" s="20" t="str">
        <f>IFERROR(IF(COUNTA(E12:W12)=0,"",IF(ABS('2.0'!W12-AI12)&gt;0.00001,"NOT OK","OK")),"")</f>
        <v/>
      </c>
      <c r="AK12" s="205">
        <v>0.1</v>
      </c>
      <c r="AL12" s="206">
        <v>0.2</v>
      </c>
      <c r="AM12" s="207">
        <v>0.15</v>
      </c>
      <c r="AR12" s="110" t="s">
        <v>89</v>
      </c>
      <c r="AS12" s="235">
        <f t="array" ref="AS12">(AS11+1)/2</f>
        <v>0.67426148056608004</v>
      </c>
      <c r="AU12" s="241">
        <f t="shared" si="0"/>
        <v>1441</v>
      </c>
      <c r="AV12" s="252">
        <v>3</v>
      </c>
      <c r="AW12" s="243">
        <f t="array" ref="AW12">(SUM(($AW$9:$BH$9&lt;AW$9)*($AV$10:$AV$21&lt;$AV12)*$I$10:$T$21)+SUM(($AW$9:$BH$9&gt;AW$9)*($AV$10:$AV$21&gt;$AV12)*$I$10:$T$21)-(SUM(($AW$9:$BH$9&gt;AW$9)*($AV$10:$AV$21&lt;$AV12)*$I$10:$T$21)+SUM(($AW$9:$BH$9&lt;AW$9)*($AV$10:$AV$21&gt;$AV12)*$I$10:$T$21)))*($AU12&gt;0)*(SUM(INDEX($I$10:$T$21,0,AW$9))&gt;0)</f>
        <v>16229</v>
      </c>
      <c r="AX12" s="243">
        <f t="array" ref="AX12">(SUM(($AW$9:$BH$9&lt;AX$9)*($AV$10:$AV$21&lt;$AV12)*$I$10:$T$21)+SUM(($AW$9:$BH$9&gt;AX$9)*($AV$10:$AV$21&gt;$AV12)*$I$10:$T$21)-(SUM(($AW$9:$BH$9&gt;AX$9)*($AV$10:$AV$21&lt;$AV12)*$I$10:$T$21)+SUM(($AW$9:$BH$9&lt;AX$9)*($AV$10:$AV$21&gt;$AV12)*$I$10:$T$21)))*($AU12&gt;0)*(SUM(INDEX($I$10:$T$21,0,AX$9))&gt;0)</f>
        <v>14917</v>
      </c>
      <c r="AY12" s="243">
        <f t="array" ref="AY12">(SUM(($AW$9:$BH$9&lt;AY$9)*($AV$10:$AV$21&lt;$AV12)*$I$10:$T$21)+SUM(($AW$9:$BH$9&gt;AY$9)*($AV$10:$AV$21&gt;$AV12)*$I$10:$T$21)-(SUM(($AW$9:$BH$9&gt;AY$9)*($AV$10:$AV$21&lt;$AV12)*$I$10:$T$21)+SUM(($AW$9:$BH$9&lt;AY$9)*($AV$10:$AV$21&gt;$AV12)*$I$10:$T$21)))*($AU12&gt;0)*(SUM(INDEX($I$10:$T$21,0,AY$9))&gt;0)</f>
        <v>14685</v>
      </c>
      <c r="AZ12" s="243">
        <f t="array" ref="AZ12">(SUM(($AW$9:$BH$9&lt;AZ$9)*($AV$10:$AV$21&lt;$AV12)*$I$10:$T$21)+SUM(($AW$9:$BH$9&gt;AZ$9)*($AV$10:$AV$21&gt;$AV12)*$I$10:$T$21)-(SUM(($AW$9:$BH$9&gt;AZ$9)*($AV$10:$AV$21&lt;$AV12)*$I$10:$T$21)+SUM(($AW$9:$BH$9&lt;AZ$9)*($AV$10:$AV$21&gt;$AV12)*$I$10:$T$21)))*($AU12&gt;0)*(SUM(INDEX($I$10:$T$21,0,AZ$9))&gt;0)</f>
        <v>14539</v>
      </c>
      <c r="BA12" s="243">
        <f t="array" ref="BA12">(SUM(($AW$9:$BH$9&lt;BA$9)*($AV$10:$AV$21&lt;$AV12)*$I$10:$T$21)+SUM(($AW$9:$BH$9&gt;BA$9)*($AV$10:$AV$21&gt;$AV12)*$I$10:$T$21)-(SUM(($AW$9:$BH$9&gt;BA$9)*($AV$10:$AV$21&lt;$AV12)*$I$10:$T$21)+SUM(($AW$9:$BH$9&lt;BA$9)*($AV$10:$AV$21&gt;$AV12)*$I$10:$T$21)))*($AU12&gt;0)*(SUM(INDEX($I$10:$T$21,0,BA$9))&gt;0)</f>
        <v>14146</v>
      </c>
      <c r="BB12" s="243">
        <f t="array" ref="BB12">(SUM(($AW$9:$BH$9&lt;BB$9)*($AV$10:$AV$21&lt;$AV12)*$I$10:$T$21)+SUM(($AW$9:$BH$9&gt;BB$9)*($AV$10:$AV$21&gt;$AV12)*$I$10:$T$21)-(SUM(($AW$9:$BH$9&gt;BB$9)*($AV$10:$AV$21&lt;$AV12)*$I$10:$T$21)+SUM(($AW$9:$BH$9&lt;BB$9)*($AV$10:$AV$21&gt;$AV12)*$I$10:$T$21)))*($AU12&gt;0)*(SUM(INDEX($I$10:$T$21,0,BB$9))&gt;0)</f>
        <v>13889</v>
      </c>
      <c r="BC12" s="243">
        <f t="array" ref="BC12">(SUM(($AW$9:$BH$9&lt;BC$9)*($AV$10:$AV$21&lt;$AV12)*$I$10:$T$21)+SUM(($AW$9:$BH$9&gt;BC$9)*($AV$10:$AV$21&gt;$AV12)*$I$10:$T$21)-(SUM(($AW$9:$BH$9&gt;BC$9)*($AV$10:$AV$21&lt;$AV12)*$I$10:$T$21)+SUM(($AW$9:$BH$9&lt;BC$9)*($AV$10:$AV$21&gt;$AV12)*$I$10:$T$21)))*($AU12&gt;0)*(SUM(INDEX($I$10:$T$21,0,BC$9))&gt;0)</f>
        <v>13829</v>
      </c>
      <c r="BD12" s="243">
        <f t="array" ref="BD12">(SUM(($AW$9:$BH$9&lt;BD$9)*($AV$10:$AV$21&lt;$AV12)*$I$10:$T$21)+SUM(($AW$9:$BH$9&gt;BD$9)*($AV$10:$AV$21&gt;$AV12)*$I$10:$T$21)-(SUM(($AW$9:$BH$9&gt;BD$9)*($AV$10:$AV$21&lt;$AV12)*$I$10:$T$21)+SUM(($AW$9:$BH$9&lt;BD$9)*($AV$10:$AV$21&gt;$AV12)*$I$10:$T$21)))*($AU12&gt;0)*(SUM(INDEX($I$10:$T$21,0,BD$9))&gt;0)</f>
        <v>13712</v>
      </c>
      <c r="BE12" s="243">
        <f t="array" ref="BE12">(SUM(($AW$9:$BH$9&lt;BE$9)*($AV$10:$AV$21&lt;$AV12)*$I$10:$T$21)+SUM(($AW$9:$BH$9&gt;BE$9)*($AV$10:$AV$21&gt;$AV12)*$I$10:$T$21)-(SUM(($AW$9:$BH$9&gt;BE$9)*($AV$10:$AV$21&lt;$AV12)*$I$10:$T$21)+SUM(($AW$9:$BH$9&lt;BE$9)*($AV$10:$AV$21&gt;$AV12)*$I$10:$T$21)))*($AU12&gt;0)*(SUM(INDEX($I$10:$T$21,0,BE$9))&gt;0)</f>
        <v>12364</v>
      </c>
      <c r="BF12" s="243">
        <f t="array" ref="BF12">(SUM(($AW$9:$BH$9&lt;BF$9)*($AV$10:$AV$21&lt;$AV12)*$I$10:$T$21)+SUM(($AW$9:$BH$9&gt;BF$9)*($AV$10:$AV$21&gt;$AV12)*$I$10:$T$21)-(SUM(($AW$9:$BH$9&gt;BF$9)*($AV$10:$AV$21&lt;$AV12)*$I$10:$T$21)+SUM(($AW$9:$BH$9&lt;BF$9)*($AV$10:$AV$21&gt;$AV12)*$I$10:$T$21)))*($AU12&gt;0)*(SUM(INDEX($I$10:$T$21,0,BF$9))&gt;0)</f>
        <v>7561</v>
      </c>
      <c r="BG12" s="243">
        <f t="array" ref="BG12">(SUM(($AW$9:$BH$9&lt;BG$9)*($AV$10:$AV$21&lt;$AV12)*$I$10:$T$21)+SUM(($AW$9:$BH$9&gt;BG$9)*($AV$10:$AV$21&gt;$AV12)*$I$10:$T$21)-(SUM(($AW$9:$BH$9&gt;BG$9)*($AV$10:$AV$21&lt;$AV12)*$I$10:$T$21)+SUM(($AW$9:$BH$9&lt;BG$9)*($AV$10:$AV$21&gt;$AV12)*$I$10:$T$21)))*($AU12&gt;0)*(SUM(INDEX($I$10:$T$21,0,BG$9))&gt;0)</f>
        <v>-4635</v>
      </c>
      <c r="BH12" s="244">
        <f t="array" ref="BH12">(SUM(($AW$9:$BH$9&lt;BH$9)*($AV$10:$AV$21&lt;$AV12)*$I$10:$T$21)+SUM(($AW$9:$BH$9&gt;BH$9)*($AV$10:$AV$21&gt;$AV12)*$I$10:$T$21)-(SUM(($AW$9:$BH$9&gt;BH$9)*($AV$10:$AV$21&lt;$AV12)*$I$10:$T$21)+SUM(($AW$9:$BH$9&lt;BH$9)*($AV$10:$AV$21&gt;$AV12)*$I$10:$T$21)))*($AU12&gt;0)*(SUM(INDEX($I$10:$T$21,0,BH$9))&gt;0)</f>
        <v>-15301</v>
      </c>
    </row>
    <row r="13" spans="2:60" ht="13.5" thickBot="1" x14ac:dyDescent="0.35">
      <c r="B13" s="119" t="s">
        <v>17</v>
      </c>
      <c r="C13" s="402" t="s">
        <v>168</v>
      </c>
      <c r="D13" s="401" t="s">
        <v>69</v>
      </c>
      <c r="E13" s="95"/>
      <c r="F13" s="392"/>
      <c r="G13" s="266"/>
      <c r="H13" s="267"/>
      <c r="I13" s="99">
        <v>1530</v>
      </c>
      <c r="J13" s="96">
        <v>50</v>
      </c>
      <c r="K13" s="96">
        <v>140</v>
      </c>
      <c r="L13" s="96">
        <v>70</v>
      </c>
      <c r="M13" s="96">
        <v>45</v>
      </c>
      <c r="N13" s="96">
        <v>0</v>
      </c>
      <c r="O13" s="96">
        <v>5</v>
      </c>
      <c r="P13" s="96">
        <v>9</v>
      </c>
      <c r="Q13" s="96">
        <v>20</v>
      </c>
      <c r="R13" s="96">
        <v>0</v>
      </c>
      <c r="S13" s="96">
        <v>9</v>
      </c>
      <c r="T13" s="100">
        <v>0</v>
      </c>
      <c r="U13" s="268"/>
      <c r="V13" s="266"/>
      <c r="W13" s="267"/>
      <c r="Y13" s="18" t="str">
        <f>IF(COUNTA(E13:W13)=0,"",IF(AND('2.0'!E13=0,COUNTA(H13:W13)&gt;0),"NOT OK",IF(OR(AA13="NOT OK",AB13="NOT OK",AJ13="NOT OK"),"NOT OK",IF(AND(OR(AE13="WARNING",AH13="WARNING"),E13&gt;0),"WARNING","OK"))))</f>
        <v>NOT OK</v>
      </c>
      <c r="Z13" s="38" t="str">
        <f>IF(OR(COUNTA(E13:W13)=0,AND('2.0'!E13=0,COUNTA(F13:W13)=0)),"",IF(AND(E13=0,COUNTA(H13:W13)&gt;0),"As number of facilities is zero, please leave columns H to W empty.",IF(AA13="NOT OK","Row incomplete. Check if zeros values are missing in the row.",IF(AB13="NOT OK","The number of facilities in buckets does not sum up to the total number.",IF(AJ13="NOT OK","The p-value of t-Test differs from ECB calculation.",IF(AE13="WARNING","The average LGD^R seems implausible with the given LGD realisation.",IF(AH13="WARNING","The variance of the LGD seems implausible with the given realisation.","")))))))</f>
        <v>As number of facilities is zero, please leave columns H to W empty.</v>
      </c>
      <c r="AA13" s="258" t="str">
        <f>IF(OR(E13=0,COUNTA(E13:W13)=0),"",IF(COUNTA(E13:W13)&gt;=18,"OK",IF('2.0'!E13=1,IF(COUNTA(E13:W13)=15,"OK","NOT OK"),"NOT OK")))</f>
        <v/>
      </c>
      <c r="AB13" s="20" t="str">
        <f>IF(COUNTA(E13:W13)=0,"",IF('2.0'!E13=SUM(I13:T13),"OK","NOT OK"))</f>
        <v>NOT OK</v>
      </c>
      <c r="AC13" s="189">
        <f t="array" ref="AC13">IFERROR(SUM(I13:T13*TRANSPOSE($AK$10:$AK$21))/SUM(I13:T13),"")</f>
        <v>3.9403620873269436E-2</v>
      </c>
      <c r="AD13" s="190">
        <f t="array" ref="AD13">IFERROR(SUM(I13:T13*TRANSPOSE($AL$10:$AL$21))/SUM(I13:T13),"")</f>
        <v>9.7337593184238555E-2</v>
      </c>
      <c r="AE13" s="19" t="str">
        <f>IF(COUNTA(H13:W13)=0,"",IFERROR(IF(AND('2.0'!H13&gt;=AC13,H13&lt;=AD13),"OK","WARNING"),""))</f>
        <v>WARNING</v>
      </c>
      <c r="AF13" s="197">
        <f>IF(COUNTA(H13:W13)=0,"",IFERROR('2.0'!AP34,""))</f>
        <v>1.5958977091102822E-2</v>
      </c>
      <c r="AG13" s="198">
        <f>IF(COUNTA(H13:W13)=0,"",IFERROR('2.0'!AO34,""))</f>
        <v>2.7402770378263192E-2</v>
      </c>
      <c r="AH13" s="32" t="str">
        <f>IF(COUNTA(H13:W13)=0,"",IFERROR(IF(AND('2.0'!U13&gt;=AF13,U13&lt;=AG13),"OK","WARNING"),""))</f>
        <v>WARNING</v>
      </c>
      <c r="AI13" s="189" t="str">
        <f>IFERROR(IF(COUNTA(E13:W13)=0,"",1-_xlfn.T.DIST(SQRT(E13)*(H13-G13)/SQRT('2.0'!U13),E13-1,TRUE)),"")</f>
        <v/>
      </c>
      <c r="AJ13" s="20" t="str">
        <f>IFERROR(IF(COUNTA(E13:W13)=0,"",IF(ABS('2.0'!W13-AI13)&gt;0.00001,"NOT OK","OK")),"")</f>
        <v/>
      </c>
      <c r="AK13" s="205">
        <v>0.2</v>
      </c>
      <c r="AL13" s="206">
        <v>0.3</v>
      </c>
      <c r="AM13" s="207">
        <v>0.25</v>
      </c>
      <c r="AR13" s="111" t="s">
        <v>90</v>
      </c>
      <c r="AS13" s="236">
        <f t="array" ref="AS13">1/POWER($AS$9,2)*SQRT(SUM($I$10:$T$21*POWER($AS$9*AW10:BH21-$AS$10*($AS$8-$AU$10:$AU$21),2)))</f>
        <v>2.1621099443508637E-3</v>
      </c>
      <c r="AU13" s="241">
        <f t="shared" si="0"/>
        <v>1878</v>
      </c>
      <c r="AV13" s="252">
        <v>4</v>
      </c>
      <c r="AW13" s="243">
        <f t="array" ref="AW13">(SUM(($AW$9:$BH$9&lt;AW$9)*($AV$10:$AV$21&lt;$AV13)*$I$10:$T$21)+SUM(($AW$9:$BH$9&gt;AW$9)*($AV$10:$AV$21&gt;$AV13)*$I$10:$T$21)-(SUM(($AW$9:$BH$9&gt;AW$9)*($AV$10:$AV$21&lt;$AV13)*$I$10:$T$21)+SUM(($AW$9:$BH$9&lt;AW$9)*($AV$10:$AV$21&gt;$AV13)*$I$10:$T$21)))*($AU13&gt;0)*(SUM(INDEX($I$10:$T$21,0,AW$9))&gt;0)</f>
        <v>14888</v>
      </c>
      <c r="AX13" s="243">
        <f t="array" ref="AX13">(SUM(($AW$9:$BH$9&lt;AX$9)*($AV$10:$AV$21&lt;$AV13)*$I$10:$T$21)+SUM(($AW$9:$BH$9&gt;AX$9)*($AV$10:$AV$21&gt;$AV13)*$I$10:$T$21)-(SUM(($AW$9:$BH$9&gt;AX$9)*($AV$10:$AV$21&lt;$AV13)*$I$10:$T$21)+SUM(($AW$9:$BH$9&lt;AX$9)*($AV$10:$AV$21&gt;$AV13)*$I$10:$T$21)))*($AU13&gt;0)*(SUM(INDEX($I$10:$T$21,0,AX$9))&gt;0)</f>
        <v>16104</v>
      </c>
      <c r="AY13" s="243">
        <f t="array" ref="AY13">(SUM(($AW$9:$BH$9&lt;AY$9)*($AV$10:$AV$21&lt;$AV13)*$I$10:$T$21)+SUM(($AW$9:$BH$9&gt;AY$9)*($AV$10:$AV$21&gt;$AV13)*$I$10:$T$21)-(SUM(($AW$9:$BH$9&gt;AY$9)*($AV$10:$AV$21&lt;$AV13)*$I$10:$T$21)+SUM(($AW$9:$BH$9&lt;AY$9)*($AV$10:$AV$21&gt;$AV13)*$I$10:$T$21)))*($AU13&gt;0)*(SUM(INDEX($I$10:$T$21,0,AY$9))&gt;0)</f>
        <v>16572</v>
      </c>
      <c r="AZ13" s="243">
        <f t="array" ref="AZ13">(SUM(($AW$9:$BH$9&lt;AZ$9)*($AV$10:$AV$21&lt;$AV13)*$I$10:$T$21)+SUM(($AW$9:$BH$9&gt;AZ$9)*($AV$10:$AV$21&gt;$AV13)*$I$10:$T$21)-(SUM(($AW$9:$BH$9&gt;AZ$9)*($AV$10:$AV$21&lt;$AV13)*$I$10:$T$21)+SUM(($AW$9:$BH$9&lt;AZ$9)*($AV$10:$AV$21&gt;$AV13)*$I$10:$T$21)))*($AU13&gt;0)*(SUM(INDEX($I$10:$T$21,0,AZ$9))&gt;0)</f>
        <v>16652</v>
      </c>
      <c r="BA13" s="243">
        <f t="array" ref="BA13">(SUM(($AW$9:$BH$9&lt;BA$9)*($AV$10:$AV$21&lt;$AV13)*$I$10:$T$21)+SUM(($AW$9:$BH$9&gt;BA$9)*($AV$10:$AV$21&gt;$AV13)*$I$10:$T$21)-(SUM(($AW$9:$BH$9&gt;BA$9)*($AV$10:$AV$21&lt;$AV13)*$I$10:$T$21)+SUM(($AW$9:$BH$9&lt;BA$9)*($AV$10:$AV$21&gt;$AV13)*$I$10:$T$21)))*($AU13&gt;0)*(SUM(INDEX($I$10:$T$21,0,BA$9))&gt;0)</f>
        <v>16445</v>
      </c>
      <c r="BB13" s="243">
        <f t="array" ref="BB13">(SUM(($AW$9:$BH$9&lt;BB$9)*($AV$10:$AV$21&lt;$AV13)*$I$10:$T$21)+SUM(($AW$9:$BH$9&gt;BB$9)*($AV$10:$AV$21&gt;$AV13)*$I$10:$T$21)-(SUM(($AW$9:$BH$9&gt;BB$9)*($AV$10:$AV$21&lt;$AV13)*$I$10:$T$21)+SUM(($AW$9:$BH$9&lt;BB$9)*($AV$10:$AV$21&gt;$AV13)*$I$10:$T$21)))*($AU13&gt;0)*(SUM(INDEX($I$10:$T$21,0,BB$9))&gt;0)</f>
        <v>16298</v>
      </c>
      <c r="BC13" s="243">
        <f t="array" ref="BC13">(SUM(($AW$9:$BH$9&lt;BC$9)*($AV$10:$AV$21&lt;$AV13)*$I$10:$T$21)+SUM(($AW$9:$BH$9&gt;BC$9)*($AV$10:$AV$21&gt;$AV13)*$I$10:$T$21)-(SUM(($AW$9:$BH$9&gt;BC$9)*($AV$10:$AV$21&lt;$AV13)*$I$10:$T$21)+SUM(($AW$9:$BH$9&lt;BC$9)*($AV$10:$AV$21&gt;$AV13)*$I$10:$T$21)))*($AU13&gt;0)*(SUM(INDEX($I$10:$T$21,0,BC$9))&gt;0)</f>
        <v>16244</v>
      </c>
      <c r="BD13" s="243">
        <f t="array" ref="BD13">(SUM(($AW$9:$BH$9&lt;BD$9)*($AV$10:$AV$21&lt;$AV13)*$I$10:$T$21)+SUM(($AW$9:$BH$9&gt;BD$9)*($AV$10:$AV$21&gt;$AV13)*$I$10:$T$21)-(SUM(($AW$9:$BH$9&gt;BD$9)*($AV$10:$AV$21&lt;$AV13)*$I$10:$T$21)+SUM(($AW$9:$BH$9&lt;BD$9)*($AV$10:$AV$21&gt;$AV13)*$I$10:$T$21)))*($AU13&gt;0)*(SUM(INDEX($I$10:$T$21,0,BD$9))&gt;0)</f>
        <v>16142</v>
      </c>
      <c r="BE13" s="243">
        <f t="array" ref="BE13">(SUM(($AW$9:$BH$9&lt;BE$9)*($AV$10:$AV$21&lt;$AV13)*$I$10:$T$21)+SUM(($AW$9:$BH$9&gt;BE$9)*($AV$10:$AV$21&gt;$AV13)*$I$10:$T$21)-(SUM(($AW$9:$BH$9&gt;BE$9)*($AV$10:$AV$21&lt;$AV13)*$I$10:$T$21)+SUM(($AW$9:$BH$9&lt;BE$9)*($AV$10:$AV$21&gt;$AV13)*$I$10:$T$21)))*($AU13&gt;0)*(SUM(INDEX($I$10:$T$21,0,BE$9))&gt;0)</f>
        <v>14824</v>
      </c>
      <c r="BF13" s="243">
        <f t="array" ref="BF13">(SUM(($AW$9:$BH$9&lt;BF$9)*($AV$10:$AV$21&lt;$AV13)*$I$10:$T$21)+SUM(($AW$9:$BH$9&gt;BF$9)*($AV$10:$AV$21&gt;$AV13)*$I$10:$T$21)-(SUM(($AW$9:$BH$9&gt;BF$9)*($AV$10:$AV$21&lt;$AV13)*$I$10:$T$21)+SUM(($AW$9:$BH$9&lt;BF$9)*($AV$10:$AV$21&gt;$AV13)*$I$10:$T$21)))*($AU13&gt;0)*(SUM(INDEX($I$10:$T$21,0,BF$9))&gt;0)</f>
        <v>10098</v>
      </c>
      <c r="BG13" s="243">
        <f t="array" ref="BG13">(SUM(($AW$9:$BH$9&lt;BG$9)*($AV$10:$AV$21&lt;$AV13)*$I$10:$T$21)+SUM(($AW$9:$BH$9&gt;BG$9)*($AV$10:$AV$21&gt;$AV13)*$I$10:$T$21)-(SUM(($AW$9:$BH$9&gt;BG$9)*($AV$10:$AV$21&lt;$AV13)*$I$10:$T$21)+SUM(($AW$9:$BH$9&lt;BG$9)*($AV$10:$AV$21&gt;$AV13)*$I$10:$T$21)))*($AU13&gt;0)*(SUM(INDEX($I$10:$T$21,0,BG$9))&gt;0)</f>
        <v>-1679</v>
      </c>
      <c r="BH13" s="244">
        <f t="array" ref="BH13">(SUM(($AW$9:$BH$9&lt;BH$9)*($AV$10:$AV$21&lt;$AV13)*$I$10:$T$21)+SUM(($AW$9:$BH$9&gt;BH$9)*($AV$10:$AV$21&gt;$AV13)*$I$10:$T$21)-(SUM(($AW$9:$BH$9&gt;BH$9)*($AV$10:$AV$21&lt;$AV13)*$I$10:$T$21)+SUM(($AW$9:$BH$9&lt;BH$9)*($AV$10:$AV$21&gt;$AV13)*$I$10:$T$21)))*($AU13&gt;0)*(SUM(INDEX($I$10:$T$21,0,BH$9))&gt;0)</f>
        <v>-11982</v>
      </c>
    </row>
    <row r="14" spans="2:60" ht="14.5" x14ac:dyDescent="0.35">
      <c r="B14" s="399" t="s">
        <v>18</v>
      </c>
      <c r="C14" s="402" t="s">
        <v>169</v>
      </c>
      <c r="D14" s="401" t="s">
        <v>70</v>
      </c>
      <c r="E14" s="95"/>
      <c r="F14" s="392"/>
      <c r="G14" s="266"/>
      <c r="H14" s="267"/>
      <c r="I14" s="99">
        <v>200</v>
      </c>
      <c r="J14" s="96">
        <v>100</v>
      </c>
      <c r="K14" s="96">
        <v>10</v>
      </c>
      <c r="L14" s="96">
        <v>10</v>
      </c>
      <c r="M14" s="96">
        <v>80</v>
      </c>
      <c r="N14" s="96">
        <v>7</v>
      </c>
      <c r="O14" s="96">
        <v>3</v>
      </c>
      <c r="P14" s="96">
        <v>15</v>
      </c>
      <c r="Q14" s="96">
        <v>34</v>
      </c>
      <c r="R14" s="96">
        <v>5</v>
      </c>
      <c r="S14" s="96">
        <v>604</v>
      </c>
      <c r="T14" s="100">
        <v>0</v>
      </c>
      <c r="U14" s="268"/>
      <c r="V14" s="266"/>
      <c r="W14" s="267"/>
      <c r="Y14" s="18" t="str">
        <f>IF(COUNTA(E14:W14)=0,"",IF(AND('2.0'!E14=0,COUNTA(H14:W14)&gt;0),"NOT OK",IF(OR(AA14="NOT OK",AB14="NOT OK",AJ14="NOT OK"),"NOT OK",IF(AND(OR(AE14="WARNING",AH14="WARNING"),E14&gt;0),"WARNING","OK"))))</f>
        <v>NOT OK</v>
      </c>
      <c r="Z14" s="38" t="str">
        <f>IF(OR(COUNTA(E14:W14)=0,AND('2.0'!E14=0,COUNTA(F14:W14)=0)),"",IF(AND(E14=0,COUNTA(H14:W14)&gt;0),"As number of facilities is zero, please leave columns H to W empty.",IF(AA14="NOT OK","Row incomplete. Check if zeros values are missing in the row.",IF(AB14="NOT OK","The number of facilities in buckets does not sum up to the total number.",IF(AJ14="NOT OK","The p-value of t-Test differs from ECB calculation.",IF(AE14="WARNING","The average LGD^R seems implausible with the given LGD realisation.",IF(AH14="WARNING","The variance of the LGD seems implausible with the given realisation.","")))))))</f>
        <v>As number of facilities is zero, please leave columns H to W empty.</v>
      </c>
      <c r="AA14" s="258" t="str">
        <f>IF(OR(E14=0,COUNTA(E14:W14)=0),"",IF(COUNTA(E14:W14)&gt;=18,"OK",IF('2.0'!E14=1,IF(COUNTA(E14:W14)=15,"OK","NOT OK"),"NOT OK")))</f>
        <v/>
      </c>
      <c r="AB14" s="20" t="str">
        <f>IF(COUNTA(E14:W14)=0,"",IF('2.0'!E14=SUM(I14:T14),"OK","NOT OK"))</f>
        <v>NOT OK</v>
      </c>
      <c r="AC14" s="189">
        <f t="array" ref="AC14">IFERROR(SUM(I14:T14*TRANSPOSE($AK$10:$AK$21))/SUM(I14:T14),"")</f>
        <v>0.57743445692883899</v>
      </c>
      <c r="AD14" s="190">
        <f t="array" ref="AD14">IFERROR(SUM(I14:T14*TRANSPOSE($AL$10:$AL$21))/SUM(I14:T14),"")</f>
        <v>0.66338951310861427</v>
      </c>
      <c r="AE14" s="19" t="str">
        <f>IF(COUNTA(H14:W14)=0,"",IFERROR(IF(AND('2.0'!H14&gt;=AC14,H14&lt;=AD14),"OK","WARNING"),""))</f>
        <v>WARNING</v>
      </c>
      <c r="AF14" s="197">
        <f>IF(COUNTA(H14:W14)=0,"",IFERROR('2.0'!AP35,""))</f>
        <v>0.49139643861293353</v>
      </c>
      <c r="AG14" s="198">
        <f>IF(COUNTA(H14:W14)=0,"",IFERROR('2.0'!AO35,""))</f>
        <v>0.61442361761949393</v>
      </c>
      <c r="AH14" s="32" t="str">
        <f>IF(COUNTA(H14:W14)=0,"",IFERROR(IF(AND('2.0'!U14&gt;=AF14,U14&lt;=AG14),"OK","WARNING"),""))</f>
        <v>WARNING</v>
      </c>
      <c r="AI14" s="189" t="str">
        <f>IFERROR(IF(COUNTA(E14:W14)=0,"",1-_xlfn.T.DIST(SQRT(E14)*(H14-G14)/SQRT('2.0'!U14),E14-1,TRUE)),"")</f>
        <v/>
      </c>
      <c r="AJ14" s="20" t="str">
        <f>IFERROR(IF(COUNTA(E14:W14)=0,"",IF(ABS('2.0'!W14-AI14)&gt;0.00001,"NOT OK","OK")),"")</f>
        <v/>
      </c>
      <c r="AK14" s="205">
        <v>0.3</v>
      </c>
      <c r="AL14" s="206">
        <v>0.4</v>
      </c>
      <c r="AM14" s="207">
        <v>0.35</v>
      </c>
      <c r="AR14" s="4"/>
      <c r="AU14" s="241">
        <f t="shared" si="0"/>
        <v>1068</v>
      </c>
      <c r="AV14" s="252">
        <v>5</v>
      </c>
      <c r="AW14" s="243">
        <f t="array" ref="AW14">(SUM(($AW$9:$BH$9&lt;AW$9)*($AV$10:$AV$21&lt;$AV14)*$I$10:$T$21)+SUM(($AW$9:$BH$9&gt;AW$9)*($AV$10:$AV$21&gt;$AV14)*$I$10:$T$21)-(SUM(($AW$9:$BH$9&gt;AW$9)*($AV$10:$AV$21&lt;$AV14)*$I$10:$T$21)+SUM(($AW$9:$BH$9&lt;AW$9)*($AV$10:$AV$21&gt;$AV14)*$I$10:$T$21)))*($AU14&gt;0)*(SUM(INDEX($I$10:$T$21,0,AW$9))&gt;0)</f>
        <v>13672</v>
      </c>
      <c r="AX14" s="243">
        <f t="array" ref="AX14">(SUM(($AW$9:$BH$9&lt;AX$9)*($AV$10:$AV$21&lt;$AV14)*$I$10:$T$21)+SUM(($AW$9:$BH$9&gt;AX$9)*($AV$10:$AV$21&gt;$AV14)*$I$10:$T$21)-(SUM(($AW$9:$BH$9&gt;AX$9)*($AV$10:$AV$21&lt;$AV14)*$I$10:$T$21)+SUM(($AW$9:$BH$9&lt;AX$9)*($AV$10:$AV$21&gt;$AV14)*$I$10:$T$21)))*($AU14&gt;0)*(SUM(INDEX($I$10:$T$21,0,AX$9))&gt;0)</f>
        <v>16768</v>
      </c>
      <c r="AY14" s="243">
        <f t="array" ref="AY14">(SUM(($AW$9:$BH$9&lt;AY$9)*($AV$10:$AV$21&lt;$AV14)*$I$10:$T$21)+SUM(($AW$9:$BH$9&gt;AY$9)*($AV$10:$AV$21&gt;$AV14)*$I$10:$T$21)-(SUM(($AW$9:$BH$9&gt;AY$9)*($AV$10:$AV$21&lt;$AV14)*$I$10:$T$21)+SUM(($AW$9:$BH$9&lt;AY$9)*($AV$10:$AV$21&gt;$AV14)*$I$10:$T$21)))*($AU14&gt;0)*(SUM(INDEX($I$10:$T$21,0,AY$9))&gt;0)</f>
        <v>17536</v>
      </c>
      <c r="AZ14" s="243">
        <f t="array" ref="AZ14">(SUM(($AW$9:$BH$9&lt;AZ$9)*($AV$10:$AV$21&lt;$AV14)*$I$10:$T$21)+SUM(($AW$9:$BH$9&gt;AZ$9)*($AV$10:$AV$21&gt;$AV14)*$I$10:$T$21)-(SUM(($AW$9:$BH$9&gt;AZ$9)*($AV$10:$AV$21&lt;$AV14)*$I$10:$T$21)+SUM(($AW$9:$BH$9&lt;AZ$9)*($AV$10:$AV$21&gt;$AV14)*$I$10:$T$21)))*($AU14&gt;0)*(SUM(INDEX($I$10:$T$21,0,AZ$9))&gt;0)</f>
        <v>17846</v>
      </c>
      <c r="BA14" s="243">
        <f t="array" ref="BA14">(SUM(($AW$9:$BH$9&lt;BA$9)*($AV$10:$AV$21&lt;$AV14)*$I$10:$T$21)+SUM(($AW$9:$BH$9&gt;BA$9)*($AV$10:$AV$21&gt;$AV14)*$I$10:$T$21)-(SUM(($AW$9:$BH$9&gt;BA$9)*($AV$10:$AV$21&lt;$AV14)*$I$10:$T$21)+SUM(($AW$9:$BH$9&lt;BA$9)*($AV$10:$AV$21&gt;$AV14)*$I$10:$T$21)))*($AU14&gt;0)*(SUM(INDEX($I$10:$T$21,0,BA$9))&gt;0)</f>
        <v>17844</v>
      </c>
      <c r="BB14" s="243">
        <f t="array" ref="BB14">(SUM(($AW$9:$BH$9&lt;BB$9)*($AV$10:$AV$21&lt;$AV14)*$I$10:$T$21)+SUM(($AW$9:$BH$9&gt;BB$9)*($AV$10:$AV$21&gt;$AV14)*$I$10:$T$21)-(SUM(($AW$9:$BH$9&gt;BB$9)*($AV$10:$AV$21&lt;$AV14)*$I$10:$T$21)+SUM(($AW$9:$BH$9&lt;BB$9)*($AV$10:$AV$21&gt;$AV14)*$I$10:$T$21)))*($AU14&gt;0)*(SUM(INDEX($I$10:$T$21,0,BB$9))&gt;0)</f>
        <v>17829</v>
      </c>
      <c r="BC14" s="243">
        <f t="array" ref="BC14">(SUM(($AW$9:$BH$9&lt;BC$9)*($AV$10:$AV$21&lt;$AV14)*$I$10:$T$21)+SUM(($AW$9:$BH$9&gt;BC$9)*($AV$10:$AV$21&gt;$AV14)*$I$10:$T$21)-(SUM(($AW$9:$BH$9&gt;BC$9)*($AV$10:$AV$21&lt;$AV14)*$I$10:$T$21)+SUM(($AW$9:$BH$9&lt;BC$9)*($AV$10:$AV$21&gt;$AV14)*$I$10:$T$21)))*($AU14&gt;0)*(SUM(INDEX($I$10:$T$21,0,BC$9))&gt;0)</f>
        <v>17790</v>
      </c>
      <c r="BD14" s="243">
        <f t="array" ref="BD14">(SUM(($AW$9:$BH$9&lt;BD$9)*($AV$10:$AV$21&lt;$AV14)*$I$10:$T$21)+SUM(($AW$9:$BH$9&gt;BD$9)*($AV$10:$AV$21&gt;$AV14)*$I$10:$T$21)-(SUM(($AW$9:$BH$9&gt;BD$9)*($AV$10:$AV$21&lt;$AV14)*$I$10:$T$21)+SUM(($AW$9:$BH$9&lt;BD$9)*($AV$10:$AV$21&gt;$AV14)*$I$10:$T$21)))*($AU14&gt;0)*(SUM(INDEX($I$10:$T$21,0,BD$9))&gt;0)</f>
        <v>17720</v>
      </c>
      <c r="BE14" s="243">
        <f t="array" ref="BE14">(SUM(($AW$9:$BH$9&lt;BE$9)*($AV$10:$AV$21&lt;$AV14)*$I$10:$T$21)+SUM(($AW$9:$BH$9&gt;BE$9)*($AV$10:$AV$21&gt;$AV14)*$I$10:$T$21)-(SUM(($AW$9:$BH$9&gt;BE$9)*($AV$10:$AV$21&lt;$AV14)*$I$10:$T$21)+SUM(($AW$9:$BH$9&lt;BE$9)*($AV$10:$AV$21&gt;$AV14)*$I$10:$T$21)))*($AU14&gt;0)*(SUM(INDEX($I$10:$T$21,0,BE$9))&gt;0)</f>
        <v>16480</v>
      </c>
      <c r="BF14" s="243">
        <f t="array" ref="BF14">(SUM(($AW$9:$BH$9&lt;BF$9)*($AV$10:$AV$21&lt;$AV14)*$I$10:$T$21)+SUM(($AW$9:$BH$9&gt;BF$9)*($AV$10:$AV$21&gt;$AV14)*$I$10:$T$21)-(SUM(($AW$9:$BH$9&gt;BF$9)*($AV$10:$AV$21&lt;$AV14)*$I$10:$T$21)+SUM(($AW$9:$BH$9&lt;BF$9)*($AV$10:$AV$21&gt;$AV14)*$I$10:$T$21)))*($AU14&gt;0)*(SUM(INDEX($I$10:$T$21,0,BF$9))&gt;0)</f>
        <v>11813</v>
      </c>
      <c r="BG14" s="243">
        <f t="array" ref="BG14">(SUM(($AW$9:$BH$9&lt;BG$9)*($AV$10:$AV$21&lt;$AV14)*$I$10:$T$21)+SUM(($AW$9:$BH$9&gt;BG$9)*($AV$10:$AV$21&gt;$AV14)*$I$10:$T$21)-(SUM(($AW$9:$BH$9&gt;BG$9)*($AV$10:$AV$21&lt;$AV14)*$I$10:$T$21)+SUM(($AW$9:$BH$9&lt;BG$9)*($AV$10:$AV$21&gt;$AV14)*$I$10:$T$21)))*($AU14&gt;0)*(SUM(INDEX($I$10:$T$21,0,BG$9))&gt;0)</f>
        <v>654</v>
      </c>
      <c r="BH14" s="244">
        <f t="array" ref="BH14">(SUM(($AW$9:$BH$9&lt;BH$9)*($AV$10:$AV$21&lt;$AV14)*$I$10:$T$21)+SUM(($AW$9:$BH$9&gt;BH$9)*($AV$10:$AV$21&gt;$AV14)*$I$10:$T$21)-(SUM(($AW$9:$BH$9&gt;BH$9)*($AV$10:$AV$21&lt;$AV14)*$I$10:$T$21)+SUM(($AW$9:$BH$9&lt;BH$9)*($AV$10:$AV$21&gt;$AV14)*$I$10:$T$21)))*($AU14&gt;0)*(SUM(INDEX($I$10:$T$21,0,BH$9))&gt;0)</f>
        <v>-9036</v>
      </c>
    </row>
    <row r="15" spans="2:60" ht="14.5" x14ac:dyDescent="0.35">
      <c r="B15" s="119" t="s">
        <v>19</v>
      </c>
      <c r="C15" s="402" t="s">
        <v>170</v>
      </c>
      <c r="D15" s="401" t="s">
        <v>71</v>
      </c>
      <c r="E15" s="95"/>
      <c r="F15" s="392"/>
      <c r="G15" s="266"/>
      <c r="H15" s="267"/>
      <c r="I15" s="99">
        <v>584</v>
      </c>
      <c r="J15" s="96">
        <v>120</v>
      </c>
      <c r="K15" s="96">
        <v>104</v>
      </c>
      <c r="L15" s="96">
        <v>50</v>
      </c>
      <c r="M15" s="96">
        <v>40</v>
      </c>
      <c r="N15" s="96">
        <v>1</v>
      </c>
      <c r="O15" s="96">
        <v>7</v>
      </c>
      <c r="P15" s="96">
        <v>2</v>
      </c>
      <c r="Q15" s="96">
        <v>87</v>
      </c>
      <c r="R15" s="96">
        <v>67</v>
      </c>
      <c r="S15" s="96">
        <v>364</v>
      </c>
      <c r="T15" s="100">
        <v>0</v>
      </c>
      <c r="U15" s="268"/>
      <c r="V15" s="266"/>
      <c r="W15" s="267"/>
      <c r="Y15" s="18" t="str">
        <f>IF(COUNTA(E15:W15)=0,"",IF(AND('2.0'!E15=0,COUNTA(H15:W15)&gt;0),"NOT OK",IF(OR(AA15="NOT OK",AB15="NOT OK",AJ15="NOT OK"),"NOT OK",IF(AND(OR(AE15="WARNING",AH15="WARNING"),E15&gt;0),"WARNING","OK"))))</f>
        <v>NOT OK</v>
      </c>
      <c r="Z15" s="38" t="str">
        <f>IF(OR(COUNTA(E15:W15)=0,AND('2.0'!E15=0,COUNTA(F15:W15)=0)),"",IF(AND(E15=0,COUNTA(H15:W15)&gt;0),"As number of facilities is zero, please leave columns H to W empty.",IF(AA15="NOT OK","Row incomplete. Check if zeros values are missing in the row.",IF(AB15="NOT OK","The number of facilities in buckets does not sum up to the total number.",IF(AJ15="NOT OK","The p-value of t-Test differs from ECB calculation.",IF(AE15="WARNING","The average LGD^R seems implausible with the given LGD realisation.",IF(AH15="WARNING","The variance of the LGD seems implausible with the given realisation.","")))))))</f>
        <v>As number of facilities is zero, please leave columns H to W empty.</v>
      </c>
      <c r="AA15" s="258" t="str">
        <f>IF(OR(E15=0,COUNTA(E15:W15)=0),"",IF(COUNTA(E15:W15)&gt;=18,"OK",IF('2.0'!E15=1,IF(COUNTA(E15:W15)=15,"OK","NOT OK"),"NOT OK")))</f>
        <v/>
      </c>
      <c r="AB15" s="20" t="str">
        <f>IF(COUNTA(E15:W15)=0,"",IF('2.0'!E15=SUM(I15:T15),"OK","NOT OK"))</f>
        <v>NOT OK</v>
      </c>
      <c r="AC15" s="189">
        <f t="array" ref="AC15">IFERROR(SUM(I15:T15*TRANSPOSE($AK$10:$AK$21))/SUM(I15:T15),"")</f>
        <v>0.34053295932678823</v>
      </c>
      <c r="AD15" s="190">
        <f t="array" ref="AD15">IFERROR(SUM(I15:T15*TRANSPOSE($AL$10:$AL$21))/SUM(I15:T15),"")</f>
        <v>0.41584852734922861</v>
      </c>
      <c r="AE15" s="19" t="str">
        <f>IF(COUNTA(H15:W15)=0,"",IFERROR(IF(AND('2.0'!H15&gt;=AC15,H15&lt;=AD15),"OK","WARNING"),""))</f>
        <v>WARNING</v>
      </c>
      <c r="AF15" s="197">
        <f>IF(COUNTA(H15:W15)=0,"",IFERROR('2.0'!AP36,""))</f>
        <v>0.27362807017543866</v>
      </c>
      <c r="AG15" s="198">
        <f>IF(COUNTA(H15:W15)=0,"",IFERROR('2.0'!AO36,""))</f>
        <v>0.34766315789473684</v>
      </c>
      <c r="AH15" s="32" t="str">
        <f>IF(COUNTA(H15:W15)=0,"",IFERROR(IF(AND('2.0'!U15&gt;=AF15,U15&lt;=AG15),"OK","WARNING"),""))</f>
        <v>WARNING</v>
      </c>
      <c r="AI15" s="189" t="str">
        <f>IFERROR(IF(COUNTA(E15:W15)=0,"",1-_xlfn.T.DIST(SQRT(E15)*(H15-G15)/SQRT('2.0'!U15),E15-1,TRUE)),"")</f>
        <v/>
      </c>
      <c r="AJ15" s="20" t="str">
        <f>IFERROR(IF(COUNTA(E15:W15)=0,"",IF(ABS('2.0'!W15-AI15)&gt;0.00001,"NOT OK","OK")),"")</f>
        <v/>
      </c>
      <c r="AK15" s="205">
        <v>0.4</v>
      </c>
      <c r="AL15" s="206">
        <v>0.5</v>
      </c>
      <c r="AM15" s="207">
        <v>0.45</v>
      </c>
      <c r="AR15" s="4"/>
      <c r="AU15" s="241">
        <f t="shared" si="0"/>
        <v>1426</v>
      </c>
      <c r="AV15" s="252">
        <v>6</v>
      </c>
      <c r="AW15" s="243">
        <f t="array" ref="AW15">(SUM(($AW$9:$BH$9&lt;AW$9)*($AV$10:$AV$21&lt;$AV15)*$I$10:$T$21)+SUM(($AW$9:$BH$9&gt;AW$9)*($AV$10:$AV$21&gt;$AV15)*$I$10:$T$21)-(SUM(($AW$9:$BH$9&gt;AW$9)*($AV$10:$AV$21&lt;$AV15)*$I$10:$T$21)+SUM(($AW$9:$BH$9&lt;AW$9)*($AV$10:$AV$21&gt;$AV15)*$I$10:$T$21)))*($AU15&gt;0)*(SUM(INDEX($I$10:$T$21,0,AW$9))&gt;0)</f>
        <v>11962</v>
      </c>
      <c r="AX15" s="243">
        <f t="array" ref="AX15">(SUM(($AW$9:$BH$9&lt;AX$9)*($AV$10:$AV$21&lt;$AV15)*$I$10:$T$21)+SUM(($AW$9:$BH$9&gt;AX$9)*($AV$10:$AV$21&gt;$AV15)*$I$10:$T$21)-(SUM(($AW$9:$BH$9&gt;AX$9)*($AV$10:$AV$21&lt;$AV15)*$I$10:$T$21)+SUM(($AW$9:$BH$9&lt;AX$9)*($AV$10:$AV$21&gt;$AV15)*$I$10:$T$21)))*($AU15&gt;0)*(SUM(INDEX($I$10:$T$21,0,AX$9))&gt;0)</f>
        <v>16062</v>
      </c>
      <c r="AY15" s="243">
        <f t="array" ref="AY15">(SUM(($AW$9:$BH$9&lt;AY$9)*($AV$10:$AV$21&lt;$AV15)*$I$10:$T$21)+SUM(($AW$9:$BH$9&gt;AY$9)*($AV$10:$AV$21&gt;$AV15)*$I$10:$T$21)-(SUM(($AW$9:$BH$9&gt;AY$9)*($AV$10:$AV$21&lt;$AV15)*$I$10:$T$21)+SUM(($AW$9:$BH$9&lt;AY$9)*($AV$10:$AV$21&gt;$AV15)*$I$10:$T$21)))*($AU15&gt;0)*(SUM(INDEX($I$10:$T$21,0,AY$9))&gt;0)</f>
        <v>17164</v>
      </c>
      <c r="AZ15" s="243">
        <f t="array" ref="AZ15">(SUM(($AW$9:$BH$9&lt;AZ$9)*($AV$10:$AV$21&lt;$AV15)*$I$10:$T$21)+SUM(($AW$9:$BH$9&gt;AZ$9)*($AV$10:$AV$21&gt;$AV15)*$I$10:$T$21)-(SUM(($AW$9:$BH$9&gt;AZ$9)*($AV$10:$AV$21&lt;$AV15)*$I$10:$T$21)+SUM(($AW$9:$BH$9&lt;AZ$9)*($AV$10:$AV$21&gt;$AV15)*$I$10:$T$21)))*($AU15&gt;0)*(SUM(INDEX($I$10:$T$21,0,AZ$9))&gt;0)</f>
        <v>17648</v>
      </c>
      <c r="BA15" s="243">
        <f t="array" ref="BA15">(SUM(($AW$9:$BH$9&lt;BA$9)*($AV$10:$AV$21&lt;$AV15)*$I$10:$T$21)+SUM(($AW$9:$BH$9&gt;BA$9)*($AV$10:$AV$21&gt;$AV15)*$I$10:$T$21)-(SUM(($AW$9:$BH$9&gt;BA$9)*($AV$10:$AV$21&lt;$AV15)*$I$10:$T$21)+SUM(($AW$9:$BH$9&lt;BA$9)*($AV$10:$AV$21&gt;$AV15)*$I$10:$T$21)))*($AU15&gt;0)*(SUM(INDEX($I$10:$T$21,0,BA$9))&gt;0)</f>
        <v>17826</v>
      </c>
      <c r="BB15" s="243">
        <f t="array" ref="BB15">(SUM(($AW$9:$BH$9&lt;BB$9)*($AV$10:$AV$21&lt;$AV15)*$I$10:$T$21)+SUM(($AW$9:$BH$9&gt;BB$9)*($AV$10:$AV$21&gt;$AV15)*$I$10:$T$21)-(SUM(($AW$9:$BH$9&gt;BB$9)*($AV$10:$AV$21&lt;$AV15)*$I$10:$T$21)+SUM(($AW$9:$BH$9&lt;BB$9)*($AV$10:$AV$21&gt;$AV15)*$I$10:$T$21)))*($AU15&gt;0)*(SUM(INDEX($I$10:$T$21,0,BB$9))&gt;0)</f>
        <v>17939</v>
      </c>
      <c r="BC15" s="243">
        <f t="array" ref="BC15">(SUM(($AW$9:$BH$9&lt;BC$9)*($AV$10:$AV$21&lt;$AV15)*$I$10:$T$21)+SUM(($AW$9:$BH$9&gt;BC$9)*($AV$10:$AV$21&gt;$AV15)*$I$10:$T$21)-(SUM(($AW$9:$BH$9&gt;BC$9)*($AV$10:$AV$21&lt;$AV15)*$I$10:$T$21)+SUM(($AW$9:$BH$9&lt;BC$9)*($AV$10:$AV$21&gt;$AV15)*$I$10:$T$21)))*($AU15&gt;0)*(SUM(INDEX($I$10:$T$21,0,BC$9))&gt;0)</f>
        <v>17918</v>
      </c>
      <c r="BD15" s="243">
        <f t="array" ref="BD15">(SUM(($AW$9:$BH$9&lt;BD$9)*($AV$10:$AV$21&lt;$AV15)*$I$10:$T$21)+SUM(($AW$9:$BH$9&gt;BD$9)*($AV$10:$AV$21&gt;$AV15)*$I$10:$T$21)-(SUM(($AW$9:$BH$9&gt;BD$9)*($AV$10:$AV$21&lt;$AV15)*$I$10:$T$21)+SUM(($AW$9:$BH$9&lt;BD$9)*($AV$10:$AV$21&gt;$AV15)*$I$10:$T$21)))*($AU15&gt;0)*(SUM(INDEX($I$10:$T$21,0,BD$9))&gt;0)</f>
        <v>17875</v>
      </c>
      <c r="BE15" s="243">
        <f t="array" ref="BE15">(SUM(($AW$9:$BH$9&lt;BE$9)*($AV$10:$AV$21&lt;$AV15)*$I$10:$T$21)+SUM(($AW$9:$BH$9&gt;BE$9)*($AV$10:$AV$21&gt;$AV15)*$I$10:$T$21)-(SUM(($AW$9:$BH$9&gt;BE$9)*($AV$10:$AV$21&lt;$AV15)*$I$10:$T$21)+SUM(($AW$9:$BH$9&lt;BE$9)*($AV$10:$AV$21&gt;$AV15)*$I$10:$T$21)))*($AU15&gt;0)*(SUM(INDEX($I$10:$T$21,0,BE$9))&gt;0)</f>
        <v>16773</v>
      </c>
      <c r="BF15" s="243">
        <f t="array" ref="BF15">(SUM(($AW$9:$BH$9&lt;BF$9)*($AV$10:$AV$21&lt;$AV15)*$I$10:$T$21)+SUM(($AW$9:$BH$9&gt;BF$9)*($AV$10:$AV$21&gt;$AV15)*$I$10:$T$21)-(SUM(($AW$9:$BH$9&gt;BF$9)*($AV$10:$AV$21&lt;$AV15)*$I$10:$T$21)+SUM(($AW$9:$BH$9&lt;BF$9)*($AV$10:$AV$21&gt;$AV15)*$I$10:$T$21)))*($AU15&gt;0)*(SUM(INDEX($I$10:$T$21,0,BF$9))&gt;0)</f>
        <v>12299</v>
      </c>
      <c r="BG15" s="243">
        <f t="array" ref="BG15">(SUM(($AW$9:$BH$9&lt;BG$9)*($AV$10:$AV$21&lt;$AV15)*$I$10:$T$21)+SUM(($AW$9:$BH$9&gt;BG$9)*($AV$10:$AV$21&gt;$AV15)*$I$10:$T$21)-(SUM(($AW$9:$BH$9&gt;BG$9)*($AV$10:$AV$21&lt;$AV15)*$I$10:$T$21)+SUM(($AW$9:$BH$9&lt;BG$9)*($AV$10:$AV$21&gt;$AV15)*$I$10:$T$21)))*($AU15&gt;0)*(SUM(INDEX($I$10:$T$21,0,BG$9))&gt;0)</f>
        <v>2180</v>
      </c>
      <c r="BH15" s="244">
        <f t="array" ref="BH15">(SUM(($AW$9:$BH$9&lt;BH$9)*($AV$10:$AV$21&lt;$AV15)*$I$10:$T$21)+SUM(($AW$9:$BH$9&gt;BH$9)*($AV$10:$AV$21&gt;$AV15)*$I$10:$T$21)-(SUM(($AW$9:$BH$9&gt;BH$9)*($AV$10:$AV$21&lt;$AV15)*$I$10:$T$21)+SUM(($AW$9:$BH$9&lt;BH$9)*($AV$10:$AV$21&gt;$AV15)*$I$10:$T$21)))*($AU15&gt;0)*(SUM(INDEX($I$10:$T$21,0,BH$9))&gt;0)</f>
        <v>-6542</v>
      </c>
    </row>
    <row r="16" spans="2:60" ht="14.5" x14ac:dyDescent="0.35">
      <c r="B16" s="399" t="s">
        <v>20</v>
      </c>
      <c r="C16" s="402" t="s">
        <v>171</v>
      </c>
      <c r="D16" s="401" t="s">
        <v>72</v>
      </c>
      <c r="E16" s="95"/>
      <c r="F16" s="392"/>
      <c r="G16" s="266"/>
      <c r="H16" s="267"/>
      <c r="I16" s="99">
        <v>25</v>
      </c>
      <c r="J16" s="96">
        <v>30</v>
      </c>
      <c r="K16" s="96">
        <v>20</v>
      </c>
      <c r="L16" s="96">
        <v>19</v>
      </c>
      <c r="M16" s="96">
        <v>55</v>
      </c>
      <c r="N16" s="96">
        <v>7</v>
      </c>
      <c r="O16" s="96">
        <v>15</v>
      </c>
      <c r="P16" s="96">
        <v>20</v>
      </c>
      <c r="Q16" s="96">
        <v>35</v>
      </c>
      <c r="R16" s="96">
        <v>15</v>
      </c>
      <c r="S16" s="96">
        <v>699</v>
      </c>
      <c r="T16" s="100">
        <v>8</v>
      </c>
      <c r="U16" s="268"/>
      <c r="V16" s="266"/>
      <c r="W16" s="267"/>
      <c r="Y16" s="18" t="str">
        <f>IF(COUNTA(E16:W16)=0,"",IF(AND('2.0'!E16=0,COUNTA(H16:W16)&gt;0),"NOT OK",IF(OR(AA16="NOT OK",AB16="NOT OK",AJ16="NOT OK"),"NOT OK",IF(AND(OR(AE16="WARNING",AH16="WARNING"),E16&gt;0),"WARNING","OK"))))</f>
        <v>NOT OK</v>
      </c>
      <c r="Z16" s="38" t="str">
        <f>IF(OR(COUNTA(E16:W16)=0,AND('2.0'!E16=0,COUNTA(F16:W16)=0)),"",IF(AND(E16=0,COUNTA(H16:W16)&gt;0),"As number of facilities is zero, please leave columns H to W empty.",IF(AA16="NOT OK","Row incomplete. Check if zeros values are missing in the row.",IF(AB16="NOT OK","The number of facilities in buckets does not sum up to the total number.",IF(AJ16="NOT OK","The p-value of t-Test differs from ECB calculation.",IF(AE16="WARNING","The average LGD^R seems implausible with the given LGD realisation.",IF(AH16="WARNING","The variance of the LGD seems implausible with the given realisation.","")))))))</f>
        <v>As number of facilities is zero, please leave columns H to W empty.</v>
      </c>
      <c r="AA16" s="258" t="str">
        <f>IF(OR(E16=0,COUNTA(E16:W16)=0),"",IF(COUNTA(E16:W16)&gt;=18,"OK",IF('2.0'!E16=1,IF(COUNTA(E16:W16)=15,"OK","NOT OK"),"NOT OK")))</f>
        <v/>
      </c>
      <c r="AB16" s="20" t="str">
        <f>IF(COUNTA(E16:W16)=0,"",IF('2.0'!E16=SUM(I16:T16),"OK","NOT OK"))</f>
        <v>NOT OK</v>
      </c>
      <c r="AC16" s="189">
        <f t="array" ref="AC16">IFERROR(SUM(I16:T16*TRANSPOSE($AK$10:$AK$21))/SUM(I16:T16),"")</f>
        <v>0.75917721518987347</v>
      </c>
      <c r="AD16" s="190">
        <f t="array" ref="AD16">IFERROR(SUM(I16:T16*TRANSPOSE($AL$10:$AL$21))/SUM(I16:T16),"")</f>
        <v>0.87231012658227858</v>
      </c>
      <c r="AE16" s="19" t="str">
        <f>IF(COUNTA(H16:W16)=0,"",IFERROR(IF(AND('2.0'!H16&gt;=AC16,H16&lt;=AD16),"OK","WARNING"),""))</f>
        <v>WARNING</v>
      </c>
      <c r="AF16" s="197">
        <f>IF(COUNTA(H16:W16)=0,"",IFERROR('2.0'!AP37,""))</f>
        <v>0.65363780359028512</v>
      </c>
      <c r="AG16" s="198">
        <f>IF(COUNTA(H16:W16)=0,"",IFERROR('2.0'!AO37,""))</f>
        <v>0.88085797254487863</v>
      </c>
      <c r="AH16" s="32" t="str">
        <f>IF(COUNTA(H16:W16)=0,"",IFERROR(IF(AND('2.0'!U16&gt;=AF16,U16&lt;=AG16),"OK","WARNING"),""))</f>
        <v>WARNING</v>
      </c>
      <c r="AI16" s="189" t="str">
        <f>IFERROR(IF(COUNTA(E16:W16)=0,"",1-_xlfn.T.DIST(SQRT(E16)*(H16-G16)/SQRT('2.0'!U16),E16-1,TRUE)),"")</f>
        <v/>
      </c>
      <c r="AJ16" s="20" t="str">
        <f>IFERROR(IF(COUNTA(E16:W16)=0,"",IF(ABS('2.0'!W16-AI16)&gt;0.00001,"NOT OK","OK")),"")</f>
        <v/>
      </c>
      <c r="AK16" s="205">
        <v>0.5</v>
      </c>
      <c r="AL16" s="206">
        <v>0.6</v>
      </c>
      <c r="AM16" s="207">
        <v>0.55000000000000004</v>
      </c>
      <c r="AR16" s="4"/>
      <c r="AU16" s="241">
        <f t="shared" si="0"/>
        <v>948</v>
      </c>
      <c r="AV16" s="252">
        <v>7</v>
      </c>
      <c r="AW16" s="243">
        <f t="array" ref="AW16">(SUM(($AW$9:$BH$9&lt;AW$9)*($AV$10:$AV$21&lt;$AV16)*$I$10:$T$21)+SUM(($AW$9:$BH$9&gt;AW$9)*($AV$10:$AV$21&gt;$AV16)*$I$10:$T$21)-(SUM(($AW$9:$BH$9&gt;AW$9)*($AV$10:$AV$21&lt;$AV16)*$I$10:$T$21)+SUM(($AW$9:$BH$9&lt;AW$9)*($AV$10:$AV$21&gt;$AV16)*$I$10:$T$21)))*($AU16&gt;0)*(SUM(INDEX($I$10:$T$21,0,AW$9))&gt;0)</f>
        <v>10197</v>
      </c>
      <c r="AX16" s="243">
        <f t="array" ref="AX16">(SUM(($AW$9:$BH$9&lt;AX$9)*($AV$10:$AV$21&lt;$AV16)*$I$10:$T$21)+SUM(($AW$9:$BH$9&gt;AX$9)*($AV$10:$AV$21&gt;$AV16)*$I$10:$T$21)-(SUM(($AW$9:$BH$9&gt;AX$9)*($AV$10:$AV$21&lt;$AV16)*$I$10:$T$21)+SUM(($AW$9:$BH$9&lt;AX$9)*($AV$10:$AV$21&gt;$AV16)*$I$10:$T$21)))*($AU16&gt;0)*(SUM(INDEX($I$10:$T$21,0,AX$9))&gt;0)</f>
        <v>15056</v>
      </c>
      <c r="AY16" s="243">
        <f t="array" ref="AY16">(SUM(($AW$9:$BH$9&lt;AY$9)*($AV$10:$AV$21&lt;$AV16)*$I$10:$T$21)+SUM(($AW$9:$BH$9&gt;AY$9)*($AV$10:$AV$21&gt;$AV16)*$I$10:$T$21)-(SUM(($AW$9:$BH$9&gt;AY$9)*($AV$10:$AV$21&lt;$AV16)*$I$10:$T$21)+SUM(($AW$9:$BH$9&lt;AY$9)*($AV$10:$AV$21&gt;$AV16)*$I$10:$T$21)))*($AU16&gt;0)*(SUM(INDEX($I$10:$T$21,0,AY$9))&gt;0)</f>
        <v>16432</v>
      </c>
      <c r="AZ16" s="243">
        <f t="array" ref="AZ16">(SUM(($AW$9:$BH$9&lt;AZ$9)*($AV$10:$AV$21&lt;$AV16)*$I$10:$T$21)+SUM(($AW$9:$BH$9&gt;AZ$9)*($AV$10:$AV$21&gt;$AV16)*$I$10:$T$21)-(SUM(($AW$9:$BH$9&gt;AZ$9)*($AV$10:$AV$21&lt;$AV16)*$I$10:$T$21)+SUM(($AW$9:$BH$9&lt;AZ$9)*($AV$10:$AV$21&gt;$AV16)*$I$10:$T$21)))*($AU16&gt;0)*(SUM(INDEX($I$10:$T$21,0,AZ$9))&gt;0)</f>
        <v>17109</v>
      </c>
      <c r="BA16" s="243">
        <f t="array" ref="BA16">(SUM(($AW$9:$BH$9&lt;BA$9)*($AV$10:$AV$21&lt;$AV16)*$I$10:$T$21)+SUM(($AW$9:$BH$9&gt;BA$9)*($AV$10:$AV$21&gt;$AV16)*$I$10:$T$21)-(SUM(($AW$9:$BH$9&gt;BA$9)*($AV$10:$AV$21&lt;$AV16)*$I$10:$T$21)+SUM(($AW$9:$BH$9&lt;BA$9)*($AV$10:$AV$21&gt;$AV16)*$I$10:$T$21)))*($AU16&gt;0)*(SUM(INDEX($I$10:$T$21,0,BA$9))&gt;0)</f>
        <v>17451</v>
      </c>
      <c r="BB16" s="243">
        <f t="array" ref="BB16">(SUM(($AW$9:$BH$9&lt;BB$9)*($AV$10:$AV$21&lt;$AV16)*$I$10:$T$21)+SUM(($AW$9:$BH$9&gt;BB$9)*($AV$10:$AV$21&gt;$AV16)*$I$10:$T$21)-(SUM(($AW$9:$BH$9&gt;BB$9)*($AV$10:$AV$21&lt;$AV16)*$I$10:$T$21)+SUM(($AW$9:$BH$9&lt;BB$9)*($AV$10:$AV$21&gt;$AV16)*$I$10:$T$21)))*($AU16&gt;0)*(SUM(INDEX($I$10:$T$21,0,BB$9))&gt;0)</f>
        <v>17667</v>
      </c>
      <c r="BC16" s="243">
        <f t="array" ref="BC16">(SUM(($AW$9:$BH$9&lt;BC$9)*($AV$10:$AV$21&lt;$AV16)*$I$10:$T$21)+SUM(($AW$9:$BH$9&gt;BC$9)*($AV$10:$AV$21&gt;$AV16)*$I$10:$T$21)-(SUM(($AW$9:$BH$9&gt;BC$9)*($AV$10:$AV$21&lt;$AV16)*$I$10:$T$21)+SUM(($AW$9:$BH$9&lt;BC$9)*($AV$10:$AV$21&gt;$AV16)*$I$10:$T$21)))*($AU16&gt;0)*(SUM(INDEX($I$10:$T$21,0,BC$9))&gt;0)</f>
        <v>17676</v>
      </c>
      <c r="BD16" s="243">
        <f t="array" ref="BD16">(SUM(($AW$9:$BH$9&lt;BD$9)*($AV$10:$AV$21&lt;$AV16)*$I$10:$T$21)+SUM(($AW$9:$BH$9&gt;BD$9)*($AV$10:$AV$21&gt;$AV16)*$I$10:$T$21)-(SUM(($AW$9:$BH$9&gt;BD$9)*($AV$10:$AV$21&lt;$AV16)*$I$10:$T$21)+SUM(($AW$9:$BH$9&lt;BD$9)*($AV$10:$AV$21&gt;$AV16)*$I$10:$T$21)))*($AU16&gt;0)*(SUM(INDEX($I$10:$T$21,0,BD$9))&gt;0)</f>
        <v>17677</v>
      </c>
      <c r="BE16" s="243">
        <f t="array" ref="BE16">(SUM(($AW$9:$BH$9&lt;BE$9)*($AV$10:$AV$21&lt;$AV16)*$I$10:$T$21)+SUM(($AW$9:$BH$9&gt;BE$9)*($AV$10:$AV$21&gt;$AV16)*$I$10:$T$21)-(SUM(($AW$9:$BH$9&gt;BE$9)*($AV$10:$AV$21&lt;$AV16)*$I$10:$T$21)+SUM(($AW$9:$BH$9&lt;BE$9)*($AV$10:$AV$21&gt;$AV16)*$I$10:$T$21)))*($AU16&gt;0)*(SUM(INDEX($I$10:$T$21,0,BE$9))&gt;0)</f>
        <v>16719</v>
      </c>
      <c r="BF16" s="243">
        <f t="array" ref="BF16">(SUM(($AW$9:$BH$9&lt;BF$9)*($AV$10:$AV$21&lt;$AV16)*$I$10:$T$21)+SUM(($AW$9:$BH$9&gt;BF$9)*($AV$10:$AV$21&gt;$AV16)*$I$10:$T$21)-(SUM(($AW$9:$BH$9&gt;BF$9)*($AV$10:$AV$21&lt;$AV16)*$I$10:$T$21)+SUM(($AW$9:$BH$9&lt;BF$9)*($AV$10:$AV$21&gt;$AV16)*$I$10:$T$21)))*($AU16&gt;0)*(SUM(INDEX($I$10:$T$21,0,BF$9))&gt;0)</f>
        <v>12449</v>
      </c>
      <c r="BG16" s="243">
        <f t="array" ref="BG16">(SUM(($AW$9:$BH$9&lt;BG$9)*($AV$10:$AV$21&lt;$AV16)*$I$10:$T$21)+SUM(($AW$9:$BH$9&gt;BG$9)*($AV$10:$AV$21&gt;$AV16)*$I$10:$T$21)-(SUM(($AW$9:$BH$9&gt;BG$9)*($AV$10:$AV$21&lt;$AV16)*$I$10:$T$21)+SUM(($AW$9:$BH$9&lt;BG$9)*($AV$10:$AV$21&gt;$AV16)*$I$10:$T$21)))*($AU16&gt;0)*(SUM(INDEX($I$10:$T$21,0,BG$9))&gt;0)</f>
        <v>3475</v>
      </c>
      <c r="BH16" s="244">
        <f t="array" ref="BH16">(SUM(($AW$9:$BH$9&lt;BH$9)*($AV$10:$AV$21&lt;$AV16)*$I$10:$T$21)+SUM(($AW$9:$BH$9&gt;BH$9)*($AV$10:$AV$21&gt;$AV16)*$I$10:$T$21)-(SUM(($AW$9:$BH$9&gt;BH$9)*($AV$10:$AV$21&lt;$AV16)*$I$10:$T$21)+SUM(($AW$9:$BH$9&lt;BH$9)*($AV$10:$AV$21&gt;$AV16)*$I$10:$T$21)))*($AU16&gt;0)*(SUM(INDEX($I$10:$T$21,0,BH$9))&gt;0)</f>
        <v>-4176</v>
      </c>
    </row>
    <row r="17" spans="2:60" ht="14.5" x14ac:dyDescent="0.35">
      <c r="B17" s="119" t="s">
        <v>21</v>
      </c>
      <c r="C17" s="402" t="s">
        <v>172</v>
      </c>
      <c r="D17" s="401" t="s">
        <v>73</v>
      </c>
      <c r="E17" s="95"/>
      <c r="F17" s="392"/>
      <c r="G17" s="266"/>
      <c r="H17" s="267"/>
      <c r="I17" s="99">
        <v>200</v>
      </c>
      <c r="J17" s="96">
        <v>0</v>
      </c>
      <c r="K17" s="96">
        <v>30</v>
      </c>
      <c r="L17" s="96">
        <v>8</v>
      </c>
      <c r="M17" s="96">
        <v>37</v>
      </c>
      <c r="N17" s="96">
        <v>3</v>
      </c>
      <c r="O17" s="96">
        <v>7</v>
      </c>
      <c r="P17" s="96">
        <v>5</v>
      </c>
      <c r="Q17" s="96">
        <v>80</v>
      </c>
      <c r="R17" s="96">
        <v>77</v>
      </c>
      <c r="S17" s="96">
        <v>1250</v>
      </c>
      <c r="T17" s="100">
        <v>32</v>
      </c>
      <c r="U17" s="268"/>
      <c r="V17" s="266"/>
      <c r="W17" s="267"/>
      <c r="Y17" s="18" t="str">
        <f>IF(COUNTA(E17:W17)=0,"",IF(AND('2.0'!E17=0,COUNTA(H17:W17)&gt;0),"NOT OK",IF(OR(AA17="NOT OK",AB17="NOT OK",AJ17="NOT OK"),"NOT OK",IF(AND(OR(AE17="WARNING",AH17="WARNING"),E17&gt;0),"WARNING","OK"))))</f>
        <v>NOT OK</v>
      </c>
      <c r="Z17" s="38" t="str">
        <f>IF(OR(COUNTA(E17:W17)=0,AND('2.0'!E17=0,COUNTA(F17:W17)=0)),"",IF(AND(E17=0,COUNTA(H17:W17)&gt;0),"As number of facilities is zero, please leave columns H to W empty.",IF(AA17="NOT OK","Row incomplete. Check if zeros values are missing in the row.",IF(AB17="NOT OK","The number of facilities in buckets does not sum up to the total number.",IF(AJ17="NOT OK","The p-value of t-Test differs from ECB calculation.",IF(AE17="WARNING","The average LGD^R seems implausible with the given LGD realisation.",IF(AH17="WARNING","The variance of the LGD seems implausible with the given realisation.","")))))))</f>
        <v>As number of facilities is zero, please leave columns H to W empty.</v>
      </c>
      <c r="AA17" s="258" t="str">
        <f>IF(OR(E17=0,COUNTA(E17:W17)=0),"",IF(COUNTA(E17:W17)&gt;=18,"OK",IF('2.0'!E17=1,IF(COUNTA(E17:W17)=15,"OK","NOT OK"),"NOT OK")))</f>
        <v/>
      </c>
      <c r="AB17" s="20" t="str">
        <f>IF(COUNTA(E17:W17)=0,"",IF('2.0'!E17=SUM(I17:T17),"OK","NOT OK"))</f>
        <v>NOT OK</v>
      </c>
      <c r="AC17" s="189">
        <f t="array" ref="AC17">IFERROR(SUM(I17:T17*TRANSPOSE($AK$10:$AK$21))/SUM(I17:T17),"")</f>
        <v>0.75072296124927707</v>
      </c>
      <c r="AD17" s="190">
        <f t="array" ref="AD17">IFERROR(SUM(I17:T17*TRANSPOSE($AL$10:$AL$21))/SUM(I17:T17),"")</f>
        <v>0.88010410641989589</v>
      </c>
      <c r="AE17" s="19" t="str">
        <f>IF(COUNTA(H17:W17)=0,"",IFERROR(IF(AND('2.0'!H17&gt;=AC17,H17&lt;=AD17),"OK","WARNING"),""))</f>
        <v>WARNING</v>
      </c>
      <c r="AF17" s="197">
        <f>IF(COUNTA(H17:W17)=0,"",IFERROR('2.0'!AP38,""))</f>
        <v>0.66027777777777785</v>
      </c>
      <c r="AG17" s="198">
        <f>IF(COUNTA(H17:W17)=0,"",IFERROR('2.0'!AO38,""))</f>
        <v>0.96390625000000008</v>
      </c>
      <c r="AH17" s="32" t="str">
        <f>IF(COUNTA(H17:W17)=0,"",IFERROR(IF(AND('2.0'!U17&gt;=AF17,U17&lt;=AG17),"OK","WARNING"),""))</f>
        <v>WARNING</v>
      </c>
      <c r="AI17" s="189" t="str">
        <f>IFERROR(IF(COUNTA(E17:W17)=0,"",1-_xlfn.T.DIST(SQRT(E17)*(H17-G17)/SQRT('2.0'!U17),E17-1,TRUE)),"")</f>
        <v/>
      </c>
      <c r="AJ17" s="20" t="str">
        <f>IFERROR(IF(COUNTA(E17:W17)=0,"",IF(ABS('2.0'!W17-AI17)&gt;0.00001,"NOT OK","OK")),"")</f>
        <v/>
      </c>
      <c r="AK17" s="205">
        <v>0.6</v>
      </c>
      <c r="AL17" s="206">
        <v>0.7</v>
      </c>
      <c r="AM17" s="207">
        <v>0.65</v>
      </c>
      <c r="AR17" s="4"/>
      <c r="AU17" s="241">
        <f t="shared" si="0"/>
        <v>1729</v>
      </c>
      <c r="AV17" s="252">
        <v>8</v>
      </c>
      <c r="AW17" s="243">
        <f t="array" ref="AW17">(SUM(($AW$9:$BH$9&lt;AW$9)*($AV$10:$AV$21&lt;$AV17)*$I$10:$T$21)+SUM(($AW$9:$BH$9&gt;AW$9)*($AV$10:$AV$21&gt;$AV17)*$I$10:$T$21)-(SUM(($AW$9:$BH$9&gt;AW$9)*($AV$10:$AV$21&lt;$AV17)*$I$10:$T$21)+SUM(($AW$9:$BH$9&lt;AW$9)*($AV$10:$AV$21&gt;$AV17)*$I$10:$T$21)))*($AU17&gt;0)*(SUM(INDEX($I$10:$T$21,0,AW$9))&gt;0)</f>
        <v>7745</v>
      </c>
      <c r="AX17" s="243">
        <f t="array" ref="AX17">(SUM(($AW$9:$BH$9&lt;AX$9)*($AV$10:$AV$21&lt;$AV17)*$I$10:$T$21)+SUM(($AW$9:$BH$9&gt;AX$9)*($AV$10:$AV$21&gt;$AV17)*$I$10:$T$21)-(SUM(($AW$9:$BH$9&gt;AX$9)*($AV$10:$AV$21&lt;$AV17)*$I$10:$T$21)+SUM(($AW$9:$BH$9&lt;AX$9)*($AV$10:$AV$21&gt;$AV17)*$I$10:$T$21)))*($AU17&gt;0)*(SUM(INDEX($I$10:$T$21,0,AX$9))&gt;0)</f>
        <v>12859</v>
      </c>
      <c r="AY17" s="243">
        <f t="array" ref="AY17">(SUM(($AW$9:$BH$9&lt;AY$9)*($AV$10:$AV$21&lt;$AV17)*$I$10:$T$21)+SUM(($AW$9:$BH$9&gt;AY$9)*($AV$10:$AV$21&gt;$AV17)*$I$10:$T$21)-(SUM(($AW$9:$BH$9&gt;AY$9)*($AV$10:$AV$21&lt;$AV17)*$I$10:$T$21)+SUM(($AW$9:$BH$9&lt;AY$9)*($AV$10:$AV$21&gt;$AV17)*$I$10:$T$21)))*($AU17&gt;0)*(SUM(INDEX($I$10:$T$21,0,AY$9))&gt;0)</f>
        <v>14315</v>
      </c>
      <c r="AZ17" s="243">
        <f t="array" ref="AZ17">(SUM(($AW$9:$BH$9&lt;AZ$9)*($AV$10:$AV$21&lt;$AV17)*$I$10:$T$21)+SUM(($AW$9:$BH$9&gt;AZ$9)*($AV$10:$AV$21&gt;$AV17)*$I$10:$T$21)-(SUM(($AW$9:$BH$9&gt;AZ$9)*($AV$10:$AV$21&lt;$AV17)*$I$10:$T$21)+SUM(($AW$9:$BH$9&lt;AZ$9)*($AV$10:$AV$21&gt;$AV17)*$I$10:$T$21)))*($AU17&gt;0)*(SUM(INDEX($I$10:$T$21,0,AZ$9))&gt;0)</f>
        <v>15069</v>
      </c>
      <c r="BA17" s="243">
        <f t="array" ref="BA17">(SUM(($AW$9:$BH$9&lt;BA$9)*($AV$10:$AV$21&lt;$AV17)*$I$10:$T$21)+SUM(($AW$9:$BH$9&gt;BA$9)*($AV$10:$AV$21&gt;$AV17)*$I$10:$T$21)-(SUM(($AW$9:$BH$9&gt;BA$9)*($AV$10:$AV$21&lt;$AV17)*$I$10:$T$21)+SUM(($AW$9:$BH$9&lt;BA$9)*($AV$10:$AV$21&gt;$AV17)*$I$10:$T$21)))*($AU17&gt;0)*(SUM(INDEX($I$10:$T$21,0,BA$9))&gt;0)</f>
        <v>15530</v>
      </c>
      <c r="BB17" s="243">
        <f t="array" ref="BB17">(SUM(($AW$9:$BH$9&lt;BB$9)*($AV$10:$AV$21&lt;$AV17)*$I$10:$T$21)+SUM(($AW$9:$BH$9&gt;BB$9)*($AV$10:$AV$21&gt;$AV17)*$I$10:$T$21)-(SUM(($AW$9:$BH$9&gt;BB$9)*($AV$10:$AV$21&lt;$AV17)*$I$10:$T$21)+SUM(($AW$9:$BH$9&lt;BB$9)*($AV$10:$AV$21&gt;$AV17)*$I$10:$T$21)))*($AU17&gt;0)*(SUM(INDEX($I$10:$T$21,0,BB$9))&gt;0)</f>
        <v>15848</v>
      </c>
      <c r="BC17" s="243">
        <f t="array" ref="BC17">(SUM(($AW$9:$BH$9&lt;BC$9)*($AV$10:$AV$21&lt;$AV17)*$I$10:$T$21)+SUM(($AW$9:$BH$9&gt;BC$9)*($AV$10:$AV$21&gt;$AV17)*$I$10:$T$21)-(SUM(($AW$9:$BH$9&gt;BC$9)*($AV$10:$AV$21&lt;$AV17)*$I$10:$T$21)+SUM(($AW$9:$BH$9&lt;BC$9)*($AV$10:$AV$21&gt;$AV17)*$I$10:$T$21)))*($AU17&gt;0)*(SUM(INDEX($I$10:$T$21,0,BC$9))&gt;0)</f>
        <v>15889</v>
      </c>
      <c r="BD17" s="243">
        <f t="array" ref="BD17">(SUM(($AW$9:$BH$9&lt;BD$9)*($AV$10:$AV$21&lt;$AV17)*$I$10:$T$21)+SUM(($AW$9:$BH$9&gt;BD$9)*($AV$10:$AV$21&gt;$AV17)*$I$10:$T$21)-(SUM(($AW$9:$BH$9&gt;BD$9)*($AV$10:$AV$21&lt;$AV17)*$I$10:$T$21)+SUM(($AW$9:$BH$9&lt;BD$9)*($AV$10:$AV$21&gt;$AV17)*$I$10:$T$21)))*($AU17&gt;0)*(SUM(INDEX($I$10:$T$21,0,BD$9))&gt;0)</f>
        <v>15937</v>
      </c>
      <c r="BE17" s="243">
        <f t="array" ref="BE17">(SUM(($AW$9:$BH$9&lt;BE$9)*($AV$10:$AV$21&lt;$AV17)*$I$10:$T$21)+SUM(($AW$9:$BH$9&gt;BE$9)*($AV$10:$AV$21&gt;$AV17)*$I$10:$T$21)-(SUM(($AW$9:$BH$9&gt;BE$9)*($AV$10:$AV$21&lt;$AV17)*$I$10:$T$21)+SUM(($AW$9:$BH$9&lt;BE$9)*($AV$10:$AV$21&gt;$AV17)*$I$10:$T$21)))*($AU17&gt;0)*(SUM(INDEX($I$10:$T$21,0,BE$9))&gt;0)</f>
        <v>15119</v>
      </c>
      <c r="BF17" s="243">
        <f t="array" ref="BF17">(SUM(($AW$9:$BH$9&lt;BF$9)*($AV$10:$AV$21&lt;$AV17)*$I$10:$T$21)+SUM(($AW$9:$BH$9&gt;BF$9)*($AV$10:$AV$21&gt;$AV17)*$I$10:$T$21)-(SUM(($AW$9:$BH$9&gt;BF$9)*($AV$10:$AV$21&lt;$AV17)*$I$10:$T$21)+SUM(($AW$9:$BH$9&lt;BF$9)*($AV$10:$AV$21&gt;$AV17)*$I$10:$T$21)))*($AU17&gt;0)*(SUM(INDEX($I$10:$T$21,0,BF$9))&gt;0)</f>
        <v>11056</v>
      </c>
      <c r="BG17" s="243">
        <f t="array" ref="BG17">(SUM(($AW$9:$BH$9&lt;BG$9)*($AV$10:$AV$21&lt;$AV17)*$I$10:$T$21)+SUM(($AW$9:$BH$9&gt;BG$9)*($AV$10:$AV$21&gt;$AV17)*$I$10:$T$21)-(SUM(($AW$9:$BH$9&gt;BG$9)*($AV$10:$AV$21&lt;$AV17)*$I$10:$T$21)+SUM(($AW$9:$BH$9&lt;BG$9)*($AV$10:$AV$21&gt;$AV17)*$I$10:$T$21)))*($AU17&gt;0)*(SUM(INDEX($I$10:$T$21,0,BG$9))&gt;0)</f>
        <v>4123</v>
      </c>
      <c r="BH17" s="244">
        <f t="array" ref="BH17">(SUM(($AW$9:$BH$9&lt;BH$9)*($AV$10:$AV$21&lt;$AV17)*$I$10:$T$21)+SUM(($AW$9:$BH$9&gt;BH$9)*($AV$10:$AV$21&gt;$AV17)*$I$10:$T$21)-(SUM(($AW$9:$BH$9&gt;BH$9)*($AV$10:$AV$21&lt;$AV17)*$I$10:$T$21)+SUM(($AW$9:$BH$9&lt;BH$9)*($AV$10:$AV$21&gt;$AV17)*$I$10:$T$21)))*($AU17&gt;0)*(SUM(INDEX($I$10:$T$21,0,BH$9))&gt;0)</f>
        <v>-1539</v>
      </c>
    </row>
    <row r="18" spans="2:60" ht="14.5" x14ac:dyDescent="0.35">
      <c r="B18" s="399" t="s">
        <v>22</v>
      </c>
      <c r="C18" s="402" t="s">
        <v>173</v>
      </c>
      <c r="D18" s="401" t="s">
        <v>74</v>
      </c>
      <c r="E18" s="95"/>
      <c r="F18" s="392"/>
      <c r="G18" s="266"/>
      <c r="H18" s="267"/>
      <c r="I18" s="99">
        <v>54</v>
      </c>
      <c r="J18" s="96">
        <v>32</v>
      </c>
      <c r="K18" s="96">
        <v>0</v>
      </c>
      <c r="L18" s="96">
        <v>42</v>
      </c>
      <c r="M18" s="96">
        <v>10</v>
      </c>
      <c r="N18" s="96">
        <v>1</v>
      </c>
      <c r="O18" s="96">
        <v>1</v>
      </c>
      <c r="P18" s="96">
        <v>15</v>
      </c>
      <c r="Q18" s="96">
        <v>600</v>
      </c>
      <c r="R18" s="96">
        <v>548</v>
      </c>
      <c r="S18" s="96">
        <v>2008</v>
      </c>
      <c r="T18" s="100">
        <v>564</v>
      </c>
      <c r="U18" s="268"/>
      <c r="V18" s="266"/>
      <c r="W18" s="267"/>
      <c r="Y18" s="18" t="str">
        <f>IF(COUNTA(E18:W18)=0,"",IF(AND('2.0'!E18=0,COUNTA(H18:W18)&gt;0),"NOT OK",IF(OR(AA18="NOT OK",AB18="NOT OK",AJ18="NOT OK"),"NOT OK",IF(AND(OR(AE18="WARNING",AH18="WARNING"),E18&gt;0),"WARNING","OK"))))</f>
        <v>NOT OK</v>
      </c>
      <c r="Z18" s="38" t="str">
        <f>IF(OR(COUNTA(E18:W18)=0,AND('2.0'!E18=0,COUNTA(F18:W18)=0)),"",IF(AND(E18=0,COUNTA(H18:W18)&gt;0),"As number of facilities is zero, please leave columns H to W empty.",IF(AA18="NOT OK","Row incomplete. Check if zeros values are missing in the row.",IF(AB18="NOT OK","The number of facilities in buckets does not sum up to the total number.",IF(AJ18="NOT OK","The p-value of t-Test differs from ECB calculation.",IF(AE18="WARNING","The average LGD^R seems implausible with the given LGD realisation.",IF(AH18="WARNING","The variance of the LGD seems implausible with the given realisation.","")))))))</f>
        <v>As number of facilities is zero, please leave columns H to W empty.</v>
      </c>
      <c r="AA18" s="258" t="str">
        <f>IF(OR(E18=0,COUNTA(E18:W18)=0),"",IF(COUNTA(E18:W18)&gt;=18,"OK",IF('2.0'!E18=1,IF(COUNTA(E18:W18)=15,"OK","NOT OK"),"NOT OK")))</f>
        <v/>
      </c>
      <c r="AB18" s="20" t="str">
        <f>IF(COUNTA(E18:W18)=0,"",IF('2.0'!E18=SUM(I18:T18),"OK","NOT OK"))</f>
        <v>NOT OK</v>
      </c>
      <c r="AC18" s="189">
        <f t="array" ref="AC18">IFERROR(SUM(I18:T18*TRANSPOSE($AK$10:$AK$21))/SUM(I18:T18),"")</f>
        <v>0.83935483870967742</v>
      </c>
      <c r="AD18" s="190">
        <f t="array" ref="AD18">IFERROR(SUM(I18:T18*TRANSPOSE($AL$10:$AL$21))/SUM(I18:T18),"")</f>
        <v>1.2147870967741936</v>
      </c>
      <c r="AE18" s="19" t="str">
        <f>IF(COUNTA(H18:W18)=0,"",IFERROR(IF(AND('2.0'!H18&gt;=AC18,H18&lt;=AD18),"OK","WARNING"),""))</f>
        <v>WARNING</v>
      </c>
      <c r="AF18" s="197">
        <f>IF(COUNTA(H18:W18)=0,"",IFERROR('2.0'!AP39,""))</f>
        <v>0.73403975219411466</v>
      </c>
      <c r="AG18" s="198">
        <f>IF(COUNTA(H18:W18)=0,"",IFERROR('2.0'!AO39,""))</f>
        <v>2.0458634486319052</v>
      </c>
      <c r="AH18" s="32" t="str">
        <f>IF(COUNTA(H18:W18)=0,"",IFERROR(IF(AND('2.0'!U18&gt;=AF18,U18&lt;=AG18),"OK","WARNING"),""))</f>
        <v>WARNING</v>
      </c>
      <c r="AI18" s="189" t="str">
        <f>IFERROR(IF(COUNTA(E18:W18)=0,"",1-_xlfn.T.DIST(SQRT(E18)*(H18-G18)/SQRT('2.0'!U18),E18-1,TRUE)),"")</f>
        <v/>
      </c>
      <c r="AJ18" s="20" t="str">
        <f>IFERROR(IF(COUNTA(E18:W18)=0,"",IF(ABS('2.0'!W18-AI18)&gt;0.00001,"NOT OK","OK")),"")</f>
        <v/>
      </c>
      <c r="AK18" s="205">
        <v>0.7</v>
      </c>
      <c r="AL18" s="206">
        <v>0.8</v>
      </c>
      <c r="AM18" s="207">
        <v>0.75</v>
      </c>
      <c r="AR18" s="4"/>
      <c r="AU18" s="241">
        <f t="shared" si="0"/>
        <v>3875</v>
      </c>
      <c r="AV18" s="252">
        <v>9</v>
      </c>
      <c r="AW18" s="243">
        <f t="array" ref="AW18">(SUM(($AW$9:$BH$9&lt;AW$9)*($AV$10:$AV$21&lt;$AV18)*$I$10:$T$21)+SUM(($AW$9:$BH$9&gt;AW$9)*($AV$10:$AV$21&gt;$AV18)*$I$10:$T$21)-(SUM(($AW$9:$BH$9&gt;AW$9)*($AV$10:$AV$21&lt;$AV18)*$I$10:$T$21)+SUM(($AW$9:$BH$9&lt;AW$9)*($AV$10:$AV$21&gt;$AV18)*$I$10:$T$21)))*($AU18&gt;0)*(SUM(INDEX($I$10:$T$21,0,AW$9))&gt;0)</f>
        <v>2395</v>
      </c>
      <c r="AX18" s="243">
        <f t="array" ref="AX18">(SUM(($AW$9:$BH$9&lt;AX$9)*($AV$10:$AV$21&lt;$AV18)*$I$10:$T$21)+SUM(($AW$9:$BH$9&gt;AX$9)*($AV$10:$AV$21&gt;$AV18)*$I$10:$T$21)-(SUM(($AW$9:$BH$9&gt;AX$9)*($AV$10:$AV$21&lt;$AV18)*$I$10:$T$21)+SUM(($AW$9:$BH$9&lt;AX$9)*($AV$10:$AV$21&gt;$AV18)*$I$10:$T$21)))*($AU18&gt;0)*(SUM(INDEX($I$10:$T$21,0,AX$9))&gt;0)</f>
        <v>7795</v>
      </c>
      <c r="AY18" s="243">
        <f t="array" ref="AY18">(SUM(($AW$9:$BH$9&lt;AY$9)*($AV$10:$AV$21&lt;$AV18)*$I$10:$T$21)+SUM(($AW$9:$BH$9&gt;AY$9)*($AV$10:$AV$21&gt;$AV18)*$I$10:$T$21)-(SUM(($AW$9:$BH$9&gt;AY$9)*($AV$10:$AV$21&lt;$AV18)*$I$10:$T$21)+SUM(($AW$9:$BH$9&lt;AY$9)*($AV$10:$AV$21&gt;$AV18)*$I$10:$T$21)))*($AU18&gt;0)*(SUM(INDEX($I$10:$T$21,0,AY$9))&gt;0)</f>
        <v>9313</v>
      </c>
      <c r="AZ18" s="243">
        <f t="array" ref="AZ18">(SUM(($AW$9:$BH$9&lt;AZ$9)*($AV$10:$AV$21&lt;$AV18)*$I$10:$T$21)+SUM(($AW$9:$BH$9&gt;AZ$9)*($AV$10:$AV$21&gt;$AV18)*$I$10:$T$21)-(SUM(($AW$9:$BH$9&gt;AZ$9)*($AV$10:$AV$21&lt;$AV18)*$I$10:$T$21)+SUM(($AW$9:$BH$9&lt;AZ$9)*($AV$10:$AV$21&gt;$AV18)*$I$10:$T$21)))*($AU18&gt;0)*(SUM(INDEX($I$10:$T$21,0,AZ$9))&gt;0)</f>
        <v>10147</v>
      </c>
      <c r="BA18" s="243">
        <f t="array" ref="BA18">(SUM(($AW$9:$BH$9&lt;BA$9)*($AV$10:$AV$21&lt;$AV18)*$I$10:$T$21)+SUM(($AW$9:$BH$9&gt;BA$9)*($AV$10:$AV$21&gt;$AV18)*$I$10:$T$21)-(SUM(($AW$9:$BH$9&gt;BA$9)*($AV$10:$AV$21&lt;$AV18)*$I$10:$T$21)+SUM(($AW$9:$BH$9&lt;BA$9)*($AV$10:$AV$21&gt;$AV18)*$I$10:$T$21)))*($AU18&gt;0)*(SUM(INDEX($I$10:$T$21,0,BA$9))&gt;0)</f>
        <v>10705</v>
      </c>
      <c r="BB18" s="243">
        <f t="array" ref="BB18">(SUM(($AW$9:$BH$9&lt;BB$9)*($AV$10:$AV$21&lt;$AV18)*$I$10:$T$21)+SUM(($AW$9:$BH$9&gt;BB$9)*($AV$10:$AV$21&gt;$AV18)*$I$10:$T$21)-(SUM(($AW$9:$BH$9&gt;BB$9)*($AV$10:$AV$21&lt;$AV18)*$I$10:$T$21)+SUM(($AW$9:$BH$9&lt;BB$9)*($AV$10:$AV$21&gt;$AV18)*$I$10:$T$21)))*($AU18&gt;0)*(SUM(INDEX($I$10:$T$21,0,BB$9))&gt;0)</f>
        <v>11074</v>
      </c>
      <c r="BC18" s="243">
        <f t="array" ref="BC18">(SUM(($AW$9:$BH$9&lt;BC$9)*($AV$10:$AV$21&lt;$AV18)*$I$10:$T$21)+SUM(($AW$9:$BH$9&gt;BC$9)*($AV$10:$AV$21&gt;$AV18)*$I$10:$T$21)-(SUM(($AW$9:$BH$9&gt;BC$9)*($AV$10:$AV$21&lt;$AV18)*$I$10:$T$21)+SUM(($AW$9:$BH$9&lt;BC$9)*($AV$10:$AV$21&gt;$AV18)*$I$10:$T$21)))*($AU18&gt;0)*(SUM(INDEX($I$10:$T$21,0,BC$9))&gt;0)</f>
        <v>11127</v>
      </c>
      <c r="BD18" s="243">
        <f t="array" ref="BD18">(SUM(($AW$9:$BH$9&lt;BD$9)*($AV$10:$AV$21&lt;$AV18)*$I$10:$T$21)+SUM(($AW$9:$BH$9&gt;BD$9)*($AV$10:$AV$21&gt;$AV18)*$I$10:$T$21)-(SUM(($AW$9:$BH$9&gt;BD$9)*($AV$10:$AV$21&lt;$AV18)*$I$10:$T$21)+SUM(($AW$9:$BH$9&lt;BD$9)*($AV$10:$AV$21&gt;$AV18)*$I$10:$T$21)))*($AU18&gt;0)*(SUM(INDEX($I$10:$T$21,0,BD$9))&gt;0)</f>
        <v>11203</v>
      </c>
      <c r="BE18" s="243">
        <f t="array" ref="BE18">(SUM(($AW$9:$BH$9&lt;BE$9)*($AV$10:$AV$21&lt;$AV18)*$I$10:$T$21)+SUM(($AW$9:$BH$9&gt;BE$9)*($AV$10:$AV$21&gt;$AV18)*$I$10:$T$21)-(SUM(($AW$9:$BH$9&gt;BE$9)*($AV$10:$AV$21&lt;$AV18)*$I$10:$T$21)+SUM(($AW$9:$BH$9&lt;BE$9)*($AV$10:$AV$21&gt;$AV18)*$I$10:$T$21)))*($AU18&gt;0)*(SUM(INDEX($I$10:$T$21,0,BE$9))&gt;0)</f>
        <v>11085</v>
      </c>
      <c r="BF18" s="243">
        <f t="array" ref="BF18">(SUM(($AW$9:$BH$9&lt;BF$9)*($AV$10:$AV$21&lt;$AV18)*$I$10:$T$21)+SUM(($AW$9:$BH$9&gt;BF$9)*($AV$10:$AV$21&gt;$AV18)*$I$10:$T$21)-(SUM(($AW$9:$BH$9&gt;BF$9)*($AV$10:$AV$21&lt;$AV18)*$I$10:$T$21)+SUM(($AW$9:$BH$9&lt;BF$9)*($AV$10:$AV$21&gt;$AV18)*$I$10:$T$21)))*($AU18&gt;0)*(SUM(INDEX($I$10:$T$21,0,BF$9))&gt;0)</f>
        <v>8327</v>
      </c>
      <c r="BG18" s="243">
        <f t="array" ref="BG18">(SUM(($AW$9:$BH$9&lt;BG$9)*($AV$10:$AV$21&lt;$AV18)*$I$10:$T$21)+SUM(($AW$9:$BH$9&gt;BG$9)*($AV$10:$AV$21&gt;$AV18)*$I$10:$T$21)-(SUM(($AW$9:$BH$9&gt;BG$9)*($AV$10:$AV$21&lt;$AV18)*$I$10:$T$21)+SUM(($AW$9:$BH$9&lt;BG$9)*($AV$10:$AV$21&gt;$AV18)*$I$10:$T$21)))*($AU18&gt;0)*(SUM(INDEX($I$10:$T$21,0,BG$9))&gt;0)</f>
        <v>5277</v>
      </c>
      <c r="BH18" s="244">
        <f t="array" ref="BH18">(SUM(($AW$9:$BH$9&lt;BH$9)*($AV$10:$AV$21&lt;$AV18)*$I$10:$T$21)+SUM(($AW$9:$BH$9&gt;BH$9)*($AV$10:$AV$21&gt;$AV18)*$I$10:$T$21)-(SUM(($AW$9:$BH$9&gt;BH$9)*($AV$10:$AV$21&lt;$AV18)*$I$10:$T$21)+SUM(($AW$9:$BH$9&lt;BH$9)*($AV$10:$AV$21&gt;$AV18)*$I$10:$T$21)))*($AU18&gt;0)*(SUM(INDEX($I$10:$T$21,0,BH$9))&gt;0)</f>
        <v>3469</v>
      </c>
    </row>
    <row r="19" spans="2:60" ht="14.5" x14ac:dyDescent="0.35">
      <c r="B19" s="119" t="s">
        <v>12</v>
      </c>
      <c r="C19" s="402" t="s">
        <v>174</v>
      </c>
      <c r="D19" s="401" t="s">
        <v>75</v>
      </c>
      <c r="E19" s="95"/>
      <c r="F19" s="392"/>
      <c r="G19" s="266"/>
      <c r="H19" s="267"/>
      <c r="I19" s="99">
        <v>30</v>
      </c>
      <c r="J19" s="96">
        <v>0</v>
      </c>
      <c r="K19" s="96">
        <v>2</v>
      </c>
      <c r="L19" s="96">
        <v>0</v>
      </c>
      <c r="M19" s="96">
        <v>0</v>
      </c>
      <c r="N19" s="96">
        <v>0</v>
      </c>
      <c r="O19" s="96">
        <v>3</v>
      </c>
      <c r="P19" s="96">
        <v>0</v>
      </c>
      <c r="Q19" s="96">
        <v>100</v>
      </c>
      <c r="R19" s="96">
        <v>854</v>
      </c>
      <c r="S19" s="96">
        <v>2564</v>
      </c>
      <c r="T19" s="100">
        <v>566</v>
      </c>
      <c r="U19" s="268"/>
      <c r="V19" s="266"/>
      <c r="W19" s="267"/>
      <c r="Y19" s="18" t="str">
        <f>IF(COUNTA(E19:W19)=0,"",IF(AND('2.0'!E19=0,COUNTA(H19:W19)&gt;0),"NOT OK",IF(OR(AA19="NOT OK",AB19="NOT OK",AJ19="NOT OK"),"NOT OK",IF(AND(OR(AE19="WARNING",AH19="WARNING"),E19&gt;0),"WARNING","OK"))))</f>
        <v>NOT OK</v>
      </c>
      <c r="Z19" s="38" t="str">
        <f>IF(OR(COUNTA(E19:W19)=0,AND('2.0'!E19=0,COUNTA(F19:W19)=0)),"",IF(AND(E19=0,COUNTA(H19:W19)&gt;0),"As number of facilities is zero, please leave columns H to W empty.",IF(AA19="NOT OK","Row incomplete. Check if zeros values are missing in the row.",IF(AB19="NOT OK","The number of facilities in buckets does not sum up to the total number.",IF(AJ19="NOT OK","The p-value of t-Test differs from ECB calculation.",IF(AE19="WARNING","The average LGD^R seems implausible with the given LGD realisation.",IF(AH19="WARNING","The variance of the LGD seems implausible with the given realisation.","")))))))</f>
        <v>As number of facilities is zero, please leave columns H to W empty.</v>
      </c>
      <c r="AA19" s="258" t="str">
        <f>IF(OR(E19=0,COUNTA(E19:W19)=0),"",IF(COUNTA(E19:W19)&gt;=18,"OK",IF('2.0'!E19=1,IF(COUNTA(E19:W19)=15,"OK","NOT OK"),"NOT OK")))</f>
        <v/>
      </c>
      <c r="AB19" s="20" t="str">
        <f>IF(COUNTA(E19:W19)=0,"",IF('2.0'!E19=SUM(I19:T19),"OK","NOT OK"))</f>
        <v>NOT OK</v>
      </c>
      <c r="AC19" s="189">
        <f t="array" ref="AC19">IFERROR(SUM(I19:T19*TRANSPOSE($AK$10:$AK$21))/SUM(I19:T19),"")</f>
        <v>0.8809176984705025</v>
      </c>
      <c r="AD19" s="190">
        <f t="array" ref="AD19">IFERROR(SUM(I19:T19*TRANSPOSE($AL$10:$AL$21))/SUM(I19:T19),"")</f>
        <v>1.2416363194950231</v>
      </c>
      <c r="AE19" s="19" t="str">
        <f>IF(COUNTA(H19:W19)=0,"",IFERROR(IF(AND('2.0'!H19&gt;=AC19,H19&lt;=AD19),"OK","WARNING"),""))</f>
        <v>WARNING</v>
      </c>
      <c r="AF19" s="197">
        <f>IF(COUNTA(H19:W19)=0,"",IFERROR('2.0'!AP40,""))</f>
        <v>0.78658814958717826</v>
      </c>
      <c r="AG19" s="198">
        <f>IF(COUNTA(H19:W19)=0,"",IFERROR('2.0'!AO40,""))</f>
        <v>2.0434616318601262</v>
      </c>
      <c r="AH19" s="32" t="str">
        <f>IF(COUNTA(H19:W19)=0,"",IFERROR(IF(AND('2.0'!U19&gt;=AF19,U19&lt;=AG19),"OK","WARNING"),""))</f>
        <v>WARNING</v>
      </c>
      <c r="AI19" s="189" t="str">
        <f>IFERROR(IF(COUNTA(E19:W19)=0,"",1-_xlfn.T.DIST(SQRT(E19)*(H19-G19)/SQRT('2.0'!U19),E19-1,TRUE)),"")</f>
        <v/>
      </c>
      <c r="AJ19" s="20" t="str">
        <f>IFERROR(IF(COUNTA(E19:W19)=0,"",IF(ABS('2.0'!W19-AI19)&gt;0.00001,"NOT OK","OK")),"")</f>
        <v/>
      </c>
      <c r="AK19" s="205">
        <v>0.8</v>
      </c>
      <c r="AL19" s="206">
        <v>0.9</v>
      </c>
      <c r="AM19" s="207">
        <v>0.85</v>
      </c>
      <c r="AR19" s="4"/>
      <c r="AU19" s="241">
        <f t="shared" si="0"/>
        <v>4119</v>
      </c>
      <c r="AV19" s="252">
        <v>10</v>
      </c>
      <c r="AW19" s="243">
        <f t="array" ref="AW19">(SUM(($AW$9:$BH$9&lt;AW$9)*($AV$10:$AV$21&lt;$AV19)*$I$10:$T$21)+SUM(($AW$9:$BH$9&gt;AW$9)*($AV$10:$AV$21&gt;$AV19)*$I$10:$T$21)-(SUM(($AW$9:$BH$9&gt;AW$9)*($AV$10:$AV$21&lt;$AV19)*$I$10:$T$21)+SUM(($AW$9:$BH$9&lt;AW$9)*($AV$10:$AV$21&gt;$AV19)*$I$10:$T$21)))*($AU19&gt;0)*(SUM(INDEX($I$10:$T$21,0,AW$9))&gt;0)</f>
        <v>-5515</v>
      </c>
      <c r="AX19" s="243">
        <f t="array" ref="AX19">(SUM(($AW$9:$BH$9&lt;AX$9)*($AV$10:$AV$21&lt;$AV19)*$I$10:$T$21)+SUM(($AW$9:$BH$9&gt;AX$9)*($AV$10:$AV$21&gt;$AV19)*$I$10:$T$21)-(SUM(($AW$9:$BH$9&gt;AX$9)*($AV$10:$AV$21&lt;$AV19)*$I$10:$T$21)+SUM(($AW$9:$BH$9&lt;AX$9)*($AV$10:$AV$21&gt;$AV19)*$I$10:$T$21)))*($AU19&gt;0)*(SUM(INDEX($I$10:$T$21,0,AX$9))&gt;0)</f>
        <v>1</v>
      </c>
      <c r="AY19" s="243">
        <f t="array" ref="AY19">(SUM(($AW$9:$BH$9&lt;AY$9)*($AV$10:$AV$21&lt;$AV19)*$I$10:$T$21)+SUM(($AW$9:$BH$9&gt;AY$9)*($AV$10:$AV$21&gt;$AV19)*$I$10:$T$21)-(SUM(($AW$9:$BH$9&gt;AY$9)*($AV$10:$AV$21&lt;$AV19)*$I$10:$T$21)+SUM(($AW$9:$BH$9&lt;AY$9)*($AV$10:$AV$21&gt;$AV19)*$I$10:$T$21)))*($AU19&gt;0)*(SUM(INDEX($I$10:$T$21,0,AY$9))&gt;0)</f>
        <v>1553</v>
      </c>
      <c r="AZ19" s="243">
        <f t="array" ref="AZ19">(SUM(($AW$9:$BH$9&lt;AZ$9)*($AV$10:$AV$21&lt;$AV19)*$I$10:$T$21)+SUM(($AW$9:$BH$9&gt;AZ$9)*($AV$10:$AV$21&gt;$AV19)*$I$10:$T$21)-(SUM(($AW$9:$BH$9&gt;AZ$9)*($AV$10:$AV$21&lt;$AV19)*$I$10:$T$21)+SUM(($AW$9:$BH$9&lt;AZ$9)*($AV$10:$AV$21&gt;$AV19)*$I$10:$T$21)))*($AU19&gt;0)*(SUM(INDEX($I$10:$T$21,0,AZ$9))&gt;0)</f>
        <v>2431</v>
      </c>
      <c r="BA19" s="243">
        <f t="array" ref="BA19">(SUM(($AW$9:$BH$9&lt;BA$9)*($AV$10:$AV$21&lt;$AV19)*$I$10:$T$21)+SUM(($AW$9:$BH$9&gt;BA$9)*($AV$10:$AV$21&gt;$AV19)*$I$10:$T$21)-(SUM(($AW$9:$BH$9&gt;BA$9)*($AV$10:$AV$21&lt;$AV19)*$I$10:$T$21)+SUM(($AW$9:$BH$9&lt;BA$9)*($AV$10:$AV$21&gt;$AV19)*$I$10:$T$21)))*($AU19&gt;0)*(SUM(INDEX($I$10:$T$21,0,BA$9))&gt;0)</f>
        <v>3041</v>
      </c>
      <c r="BB19" s="243">
        <f t="array" ref="BB19">(SUM(($AW$9:$BH$9&lt;BB$9)*($AV$10:$AV$21&lt;$AV19)*$I$10:$T$21)+SUM(($AW$9:$BH$9&gt;BB$9)*($AV$10:$AV$21&gt;$AV19)*$I$10:$T$21)-(SUM(($AW$9:$BH$9&gt;BB$9)*($AV$10:$AV$21&lt;$AV19)*$I$10:$T$21)+SUM(($AW$9:$BH$9&lt;BB$9)*($AV$10:$AV$21&gt;$AV19)*$I$10:$T$21)))*($AU19&gt;0)*(SUM(INDEX($I$10:$T$21,0,BB$9))&gt;0)</f>
        <v>3421</v>
      </c>
      <c r="BC19" s="243">
        <f t="array" ref="BC19">(SUM(($AW$9:$BH$9&lt;BC$9)*($AV$10:$AV$21&lt;$AV19)*$I$10:$T$21)+SUM(($AW$9:$BH$9&gt;BC$9)*($AV$10:$AV$21&gt;$AV19)*$I$10:$T$21)-(SUM(($AW$9:$BH$9&gt;BC$9)*($AV$10:$AV$21&lt;$AV19)*$I$10:$T$21)+SUM(($AW$9:$BH$9&lt;BC$9)*($AV$10:$AV$21&gt;$AV19)*$I$10:$T$21)))*($AU19&gt;0)*(SUM(INDEX($I$10:$T$21,0,BC$9))&gt;0)</f>
        <v>3479</v>
      </c>
      <c r="BD19" s="243">
        <f t="array" ref="BD19">(SUM(($AW$9:$BH$9&lt;BD$9)*($AV$10:$AV$21&lt;$AV19)*$I$10:$T$21)+SUM(($AW$9:$BH$9&gt;BD$9)*($AV$10:$AV$21&gt;$AV19)*$I$10:$T$21)-(SUM(($AW$9:$BH$9&gt;BD$9)*($AV$10:$AV$21&lt;$AV19)*$I$10:$T$21)+SUM(($AW$9:$BH$9&lt;BD$9)*($AV$10:$AV$21&gt;$AV19)*$I$10:$T$21)))*($AU19&gt;0)*(SUM(INDEX($I$10:$T$21,0,BD$9))&gt;0)</f>
        <v>3574</v>
      </c>
      <c r="BE19" s="243">
        <f t="array" ref="BE19">(SUM(($AW$9:$BH$9&lt;BE$9)*($AV$10:$AV$21&lt;$AV19)*$I$10:$T$21)+SUM(($AW$9:$BH$9&gt;BE$9)*($AV$10:$AV$21&gt;$AV19)*$I$10:$T$21)-(SUM(($AW$9:$BH$9&gt;BE$9)*($AV$10:$AV$21&lt;$AV19)*$I$10:$T$21)+SUM(($AW$9:$BH$9&lt;BE$9)*($AV$10:$AV$21&gt;$AV19)*$I$10:$T$21)))*($AU19&gt;0)*(SUM(INDEX($I$10:$T$21,0,BE$9))&gt;0)</f>
        <v>4171</v>
      </c>
      <c r="BF19" s="243">
        <f t="array" ref="BF19">(SUM(($AW$9:$BH$9&lt;BF$9)*($AV$10:$AV$21&lt;$AV19)*$I$10:$T$21)+SUM(($AW$9:$BH$9&gt;BF$9)*($AV$10:$AV$21&gt;$AV19)*$I$10:$T$21)-(SUM(($AW$9:$BH$9&gt;BF$9)*($AV$10:$AV$21&lt;$AV19)*$I$10:$T$21)+SUM(($AW$9:$BH$9&lt;BF$9)*($AV$10:$AV$21&gt;$AV19)*$I$10:$T$21)))*($AU19&gt;0)*(SUM(INDEX($I$10:$T$21,0,BF$9))&gt;0)</f>
        <v>3515</v>
      </c>
      <c r="BG19" s="243">
        <f t="array" ref="BG19">(SUM(($AW$9:$BH$9&lt;BG$9)*($AV$10:$AV$21&lt;$AV19)*$I$10:$T$21)+SUM(($AW$9:$BH$9&gt;BG$9)*($AV$10:$AV$21&gt;$AV19)*$I$10:$T$21)-(SUM(($AW$9:$BH$9&gt;BG$9)*($AV$10:$AV$21&lt;$AV19)*$I$10:$T$21)+SUM(($AW$9:$BH$9&lt;BG$9)*($AV$10:$AV$21&gt;$AV19)*$I$10:$T$21)))*($AU19&gt;0)*(SUM(INDEX($I$10:$T$21,0,BG$9))&gt;0)</f>
        <v>6439</v>
      </c>
      <c r="BH19" s="244">
        <f t="array" ref="BH19">(SUM(($AW$9:$BH$9&lt;BH$9)*($AV$10:$AV$21&lt;$AV19)*$I$10:$T$21)+SUM(($AW$9:$BH$9&gt;BH$9)*($AV$10:$AV$21&gt;$AV19)*$I$10:$T$21)-(SUM(($AW$9:$BH$9&gt;BH$9)*($AV$10:$AV$21&lt;$AV19)*$I$10:$T$21)+SUM(($AW$9:$BH$9&lt;BH$9)*($AV$10:$AV$21&gt;$AV19)*$I$10:$T$21)))*($AU19&gt;0)*(SUM(INDEX($I$10:$T$21,0,BH$9))&gt;0)</f>
        <v>10333</v>
      </c>
    </row>
    <row r="20" spans="2:60" ht="14.5" x14ac:dyDescent="0.35">
      <c r="B20" s="119" t="s">
        <v>23</v>
      </c>
      <c r="C20" s="402" t="s">
        <v>175</v>
      </c>
      <c r="D20" s="401" t="s">
        <v>352</v>
      </c>
      <c r="E20" s="95"/>
      <c r="F20" s="392"/>
      <c r="G20" s="266"/>
      <c r="H20" s="267"/>
      <c r="I20" s="99">
        <v>39</v>
      </c>
      <c r="J20" s="96">
        <v>0</v>
      </c>
      <c r="K20" s="96">
        <v>18</v>
      </c>
      <c r="L20" s="96">
        <v>0</v>
      </c>
      <c r="M20" s="96">
        <v>0</v>
      </c>
      <c r="N20" s="96">
        <v>0</v>
      </c>
      <c r="O20" s="96">
        <v>2</v>
      </c>
      <c r="P20" s="96">
        <v>9</v>
      </c>
      <c r="Q20" s="96">
        <v>284</v>
      </c>
      <c r="R20" s="96">
        <v>798</v>
      </c>
      <c r="S20" s="96">
        <v>1286</v>
      </c>
      <c r="T20" s="100">
        <v>56</v>
      </c>
      <c r="U20" s="268"/>
      <c r="V20" s="266"/>
      <c r="W20" s="267"/>
      <c r="Y20" s="18" t="str">
        <f>IF(COUNTA(E20:W20)=0,"",IF(AND('2.0'!E20=0,COUNTA(H20:W20)&gt;0),"NOT OK",IF(OR(AA20="NOT OK",AB20="NOT OK",AJ20="NOT OK"),"NOT OK",IF(AND(OR(AE20="WARNING",AH20="WARNING"),E20&gt;0),"WARNING","OK"))))</f>
        <v>NOT OK</v>
      </c>
      <c r="Z20" s="38" t="str">
        <f>IF(OR(COUNTA(E20:W20)=0,AND('2.0'!E20=0,COUNTA(F20:W20)=0)),"",IF(AND(E20=0,COUNTA(H20:W20)&gt;0),"As number of facilities is zero, please leave columns H to W empty.",IF(AA20="NOT OK","Row incomplete. Check if zeros values are missing in the row.",IF(AB20="NOT OK","The number of facilities in buckets does not sum up to the total number.",IF(AJ20="NOT OK","The p-value of t-Test differs from ECB calculation.",IF(AE20="WARNING","The average LGD^R seems implausible with the given LGD realisation.",IF(AH20="WARNING","The variance of the LGD seems implausible with the given realisation.","")))))))</f>
        <v>As number of facilities is zero, please leave columns H to W empty.</v>
      </c>
      <c r="AA20" s="258" t="str">
        <f>IF(OR(E20=0,COUNTA(E20:W20)=0),"",IF(COUNTA(E20:W20)&gt;=18,"OK",IF('2.0'!E20=1,IF(COUNTA(E20:W20)=15,"OK","NOT OK"),"NOT OK")))</f>
        <v/>
      </c>
      <c r="AB20" s="20" t="str">
        <f>IF(COUNTA(E20:W20)=0,"",IF('2.0'!E20=SUM(I20:T20),"OK","NOT OK"))</f>
        <v>NOT OK</v>
      </c>
      <c r="AC20" s="189">
        <f t="array" ref="AC20">IFERROR(SUM(I20:T20*TRANSPOSE($AK$10:$AK$21))/SUM(I20:T20),"")</f>
        <v>0.82616372391653303</v>
      </c>
      <c r="AD20" s="190">
        <f t="array" ref="AD20">IFERROR(SUM(I20:T20*TRANSPOSE($AL$10:$AL$21))/SUM(I20:T20),"")</f>
        <v>0.96807784911717487</v>
      </c>
      <c r="AE20" s="19" t="str">
        <f>IF(COUNTA(H20:W20)=0,"",IFERROR(IF(AND('2.0'!H20&gt;=AC20,H20&lt;=AD20),"OK","WARNING"),""))</f>
        <v>WARNING</v>
      </c>
      <c r="AF20" s="197">
        <f>IF(COUNTA(H20:W20)=0,"",IFERROR('2.0'!AP41,""))</f>
        <v>0.70311521477318351</v>
      </c>
      <c r="AG20" s="198">
        <f>IF(COUNTA(H20:W20)=0,"",IFERROR('2.0'!AO41,""))</f>
        <v>1.0534273384183059</v>
      </c>
      <c r="AH20" s="32" t="str">
        <f>IF(COUNTA(H20:W20)=0,"",IFERROR(IF(AND('2.0'!U20&gt;=AF20,U20&lt;=AG20),"OK","WARNING"),""))</f>
        <v>WARNING</v>
      </c>
      <c r="AI20" s="189" t="str">
        <f>IFERROR(IF(COUNTA(E20:W20)=0,"",1-_xlfn.T.DIST(SQRT(E20)*(H20-G20)/SQRT('2.0'!U20),E20-1,TRUE)),"")</f>
        <v/>
      </c>
      <c r="AJ20" s="20" t="str">
        <f>IFERROR(IF(COUNTA(E20:W20)=0,"",IF(ABS('2.0'!W20-AI20)&gt;0.00001,"NOT OK","OK")),"")</f>
        <v/>
      </c>
      <c r="AK20" s="205">
        <v>0.9</v>
      </c>
      <c r="AL20" s="206">
        <v>1</v>
      </c>
      <c r="AM20" s="207">
        <v>0.95</v>
      </c>
      <c r="AR20" s="4"/>
      <c r="AU20" s="241">
        <f t="shared" si="0"/>
        <v>2492</v>
      </c>
      <c r="AV20" s="252">
        <v>11</v>
      </c>
      <c r="AW20" s="243">
        <f t="array" ref="AW20">(SUM(($AW$9:$BH$9&lt;AW$9)*($AV$10:$AV$21&lt;$AV20)*$I$10:$T$21)+SUM(($AW$9:$BH$9&gt;AW$9)*($AV$10:$AV$21&gt;$AV20)*$I$10:$T$21)-(SUM(($AW$9:$BH$9&gt;AW$9)*($AV$10:$AV$21&lt;$AV20)*$I$10:$T$21)+SUM(($AW$9:$BH$9&lt;AW$9)*($AV$10:$AV$21&gt;$AV20)*$I$10:$T$21)))*($AU20&gt;0)*(SUM(INDEX($I$10:$T$21,0,AW$9))&gt;0)</f>
        <v>-12057</v>
      </c>
      <c r="AX20" s="243">
        <f t="array" ref="AX20">(SUM(($AW$9:$BH$9&lt;AX$9)*($AV$10:$AV$21&lt;$AV20)*$I$10:$T$21)+SUM(($AW$9:$BH$9&gt;AX$9)*($AV$10:$AV$21&gt;$AV20)*$I$10:$T$21)-(SUM(($AW$9:$BH$9&gt;AX$9)*($AV$10:$AV$21&lt;$AV20)*$I$10:$T$21)+SUM(($AW$9:$BH$9&lt;AX$9)*($AV$10:$AV$21&gt;$AV20)*$I$10:$T$21)))*($AU20&gt;0)*(SUM(INDEX($I$10:$T$21,0,AX$9))&gt;0)</f>
        <v>-6472</v>
      </c>
      <c r="AY20" s="243">
        <f t="array" ref="AY20">(SUM(($AW$9:$BH$9&lt;AY$9)*($AV$10:$AV$21&lt;$AV20)*$I$10:$T$21)+SUM(($AW$9:$BH$9&gt;AY$9)*($AV$10:$AV$21&gt;$AV20)*$I$10:$T$21)-(SUM(($AW$9:$BH$9&gt;AY$9)*($AV$10:$AV$21&lt;$AV20)*$I$10:$T$21)+SUM(($AW$9:$BH$9&lt;AY$9)*($AV$10:$AV$21&gt;$AV20)*$I$10:$T$21)))*($AU20&gt;0)*(SUM(INDEX($I$10:$T$21,0,AY$9))&gt;0)</f>
        <v>-4900</v>
      </c>
      <c r="AZ20" s="243">
        <f t="array" ref="AZ20">(SUM(($AW$9:$BH$9&lt;AZ$9)*($AV$10:$AV$21&lt;$AV20)*$I$10:$T$21)+SUM(($AW$9:$BH$9&gt;AZ$9)*($AV$10:$AV$21&gt;$AV20)*$I$10:$T$21)-(SUM(($AW$9:$BH$9&gt;AZ$9)*($AV$10:$AV$21&lt;$AV20)*$I$10:$T$21)+SUM(($AW$9:$BH$9&lt;AZ$9)*($AV$10:$AV$21&gt;$AV20)*$I$10:$T$21)))*($AU20&gt;0)*(SUM(INDEX($I$10:$T$21,0,AZ$9))&gt;0)</f>
        <v>-4002</v>
      </c>
      <c r="BA20" s="243">
        <f t="array" ref="BA20">(SUM(($AW$9:$BH$9&lt;BA$9)*($AV$10:$AV$21&lt;$AV20)*$I$10:$T$21)+SUM(($AW$9:$BH$9&gt;BA$9)*($AV$10:$AV$21&gt;$AV20)*$I$10:$T$21)-(SUM(($AW$9:$BH$9&gt;BA$9)*($AV$10:$AV$21&lt;$AV20)*$I$10:$T$21)+SUM(($AW$9:$BH$9&lt;BA$9)*($AV$10:$AV$21&gt;$AV20)*$I$10:$T$21)))*($AU20&gt;0)*(SUM(INDEX($I$10:$T$21,0,BA$9))&gt;0)</f>
        <v>-3392</v>
      </c>
      <c r="BB20" s="243">
        <f t="array" ref="BB20">(SUM(($AW$9:$BH$9&lt;BB$9)*($AV$10:$AV$21&lt;$AV20)*$I$10:$T$21)+SUM(($AW$9:$BH$9&gt;BB$9)*($AV$10:$AV$21&gt;$AV20)*$I$10:$T$21)-(SUM(($AW$9:$BH$9&gt;BB$9)*($AV$10:$AV$21&lt;$AV20)*$I$10:$T$21)+SUM(($AW$9:$BH$9&lt;BB$9)*($AV$10:$AV$21&gt;$AV20)*$I$10:$T$21)))*($AU20&gt;0)*(SUM(INDEX($I$10:$T$21,0,BB$9))&gt;0)</f>
        <v>-3012</v>
      </c>
      <c r="BC20" s="243">
        <f t="array" ref="BC20">(SUM(($AW$9:$BH$9&lt;BC$9)*($AV$10:$AV$21&lt;$AV20)*$I$10:$T$21)+SUM(($AW$9:$BH$9&gt;BC$9)*($AV$10:$AV$21&gt;$AV20)*$I$10:$T$21)-(SUM(($AW$9:$BH$9&gt;BC$9)*($AV$10:$AV$21&lt;$AV20)*$I$10:$T$21)+SUM(($AW$9:$BH$9&lt;BC$9)*($AV$10:$AV$21&gt;$AV20)*$I$10:$T$21)))*($AU20&gt;0)*(SUM(INDEX($I$10:$T$21,0,BC$9))&gt;0)</f>
        <v>-2949</v>
      </c>
      <c r="BD20" s="243">
        <f t="array" ref="BD20">(SUM(($AW$9:$BH$9&lt;BD$9)*($AV$10:$AV$21&lt;$AV20)*$I$10:$T$21)+SUM(($AW$9:$BH$9&gt;BD$9)*($AV$10:$AV$21&gt;$AV20)*$I$10:$T$21)-(SUM(($AW$9:$BH$9&gt;BD$9)*($AV$10:$AV$21&lt;$AV20)*$I$10:$T$21)+SUM(($AW$9:$BH$9&lt;BD$9)*($AV$10:$AV$21&gt;$AV20)*$I$10:$T$21)))*($AU20&gt;0)*(SUM(INDEX($I$10:$T$21,0,BD$9))&gt;0)</f>
        <v>-2840</v>
      </c>
      <c r="BE20" s="243">
        <f t="array" ref="BE20">(SUM(($AW$9:$BH$9&lt;BE$9)*($AV$10:$AV$21&lt;$AV20)*$I$10:$T$21)+SUM(($AW$9:$BH$9&gt;BE$9)*($AV$10:$AV$21&gt;$AV20)*$I$10:$T$21)-(SUM(($AW$9:$BH$9&gt;BE$9)*($AV$10:$AV$21&lt;$AV20)*$I$10:$T$21)+SUM(($AW$9:$BH$9&lt;BE$9)*($AV$10:$AV$21&gt;$AV20)*$I$10:$T$21)))*($AU20&gt;0)*(SUM(INDEX($I$10:$T$21,0,BE$9))&gt;0)</f>
        <v>-1850</v>
      </c>
      <c r="BF20" s="243">
        <f t="array" ref="BF20">(SUM(($AW$9:$BH$9&lt;BF$9)*($AV$10:$AV$21&lt;$AV20)*$I$10:$T$21)+SUM(($AW$9:$BH$9&gt;BF$9)*($AV$10:$AV$21&gt;$AV20)*$I$10:$T$21)-(SUM(($AW$9:$BH$9&gt;BF$9)*($AV$10:$AV$21&lt;$AV20)*$I$10:$T$21)+SUM(($AW$9:$BH$9&lt;BF$9)*($AV$10:$AV$21&gt;$AV20)*$I$10:$T$21)))*($AU20&gt;0)*(SUM(INDEX($I$10:$T$21,0,BF$9))&gt;0)</f>
        <v>-470</v>
      </c>
      <c r="BG20" s="243">
        <f t="array" ref="BG20">(SUM(($AW$9:$BH$9&lt;BG$9)*($AV$10:$AV$21&lt;$AV20)*$I$10:$T$21)+SUM(($AW$9:$BH$9&gt;BG$9)*($AV$10:$AV$21&gt;$AV20)*$I$10:$T$21)-(SUM(($AW$9:$BH$9&gt;BG$9)*($AV$10:$AV$21&lt;$AV20)*$I$10:$T$21)+SUM(($AW$9:$BH$9&lt;BG$9)*($AV$10:$AV$21&gt;$AV20)*$I$10:$T$21)))*($AU20&gt;0)*(SUM(INDEX($I$10:$T$21,0,BG$9))&gt;0)</f>
        <v>7956</v>
      </c>
      <c r="BH20" s="244">
        <f t="array" ref="BH20">(SUM(($AW$9:$BH$9&lt;BH$9)*($AV$10:$AV$21&lt;$AV20)*$I$10:$T$21)+SUM(($AW$9:$BH$9&gt;BH$9)*($AV$10:$AV$21&gt;$AV20)*$I$10:$T$21)-(SUM(($AW$9:$BH$9&gt;BH$9)*($AV$10:$AV$21&lt;$AV20)*$I$10:$T$21)+SUM(($AW$9:$BH$9&lt;BH$9)*($AV$10:$AV$21&gt;$AV20)*$I$10:$T$21)))*($AU20&gt;0)*(SUM(INDEX($I$10:$T$21,0,BH$9))&gt;0)</f>
        <v>16322</v>
      </c>
    </row>
    <row r="21" spans="2:60" ht="13.5" thickBot="1" x14ac:dyDescent="0.35">
      <c r="B21" s="120" t="s">
        <v>26</v>
      </c>
      <c r="C21" s="403" t="s">
        <v>176</v>
      </c>
      <c r="D21" s="404" t="s">
        <v>351</v>
      </c>
      <c r="E21" s="101"/>
      <c r="F21" s="405"/>
      <c r="G21" s="179"/>
      <c r="H21" s="180"/>
      <c r="I21" s="102">
        <v>400</v>
      </c>
      <c r="J21" s="103">
        <v>338</v>
      </c>
      <c r="K21" s="103">
        <v>2</v>
      </c>
      <c r="L21" s="103">
        <v>0</v>
      </c>
      <c r="M21" s="103">
        <v>0</v>
      </c>
      <c r="N21" s="103">
        <v>0</v>
      </c>
      <c r="O21" s="103">
        <v>0</v>
      </c>
      <c r="P21" s="103">
        <v>0</v>
      </c>
      <c r="Q21" s="103">
        <v>36</v>
      </c>
      <c r="R21" s="103">
        <v>1223</v>
      </c>
      <c r="S21" s="103">
        <v>122</v>
      </c>
      <c r="T21" s="104">
        <v>774</v>
      </c>
      <c r="U21" s="182"/>
      <c r="V21" s="179"/>
      <c r="W21" s="180"/>
      <c r="Y21" s="494" t="str">
        <f>IF(COUNTA(E21:W21)=0,"",IF(AND('2.0'!E21=0,COUNTA(H21:W21)&gt;0),"NOT OK",IF(OR(AA21="NOT OK",AB21="NOT OK",AJ21="NOT OK"),"NOT OK",IF(AND(OR(AE21="WARNING",AH21="WARNING"),E21&gt;0),"WARNING","OK"))))</f>
        <v>NOT OK</v>
      </c>
      <c r="Z21" s="51" t="str">
        <f>IF(OR(COUNTA(E21:W21)=0,AND('2.0'!E21=0,COUNTA(F21:W21)=0)),"",IF(AND(E21=0,COUNTA(H21:W21)&gt;0),"As number of facilities is zero, please leave columns H to W empty.",IF(AA21="NOT OK","Row incomplete. Check if zeros values are missing in the row.",IF(AB21="NOT OK","The number of facilities in buckets does not sum up to the total number.",IF(AJ21="NOT OK","The p-value of t-Test differs from ECB calculation.",IF(AE21="WARNING","The average LGD^R seems implausible with the given LGD realisation.",IF(AH21="WARNING","The variance of the LGD seems implausible with the given realisation.","")))))))</f>
        <v>As number of facilities is zero, please leave columns H to W empty.</v>
      </c>
      <c r="AA21" s="495" t="str">
        <f>IF(OR(E21=0,COUNTA(E21:W21)=0),"",IF(COUNTA(E21:W21)&gt;=18,"OK",IF('2.0'!E21=1,IF(COUNTA(E21:W21)=15,"OK","NOT OK"),"NOT OK")))</f>
        <v/>
      </c>
      <c r="AB21" s="496" t="str">
        <f>IF(COUNTA(E21:W21)=0,"",IF('2.0'!E21=SUM(I21:T21),"OK","NOT OK"))</f>
        <v>NOT OK</v>
      </c>
      <c r="AC21" s="191">
        <f t="array" ref="AC21">IFERROR(SUM(I21:T21*TRANSPOSE($AK$10:$AK$21))/SUM(I21:T21),"")</f>
        <v>0.65785837651122625</v>
      </c>
      <c r="AD21" s="192">
        <f t="array" ref="AD21">IFERROR(SUM(I21:T21*TRANSPOSE($AL$10:$AL$21))/SUM(I21:T21),"")</f>
        <v>1.2530915371329878</v>
      </c>
      <c r="AE21" s="496" t="str">
        <f>IF(COUNTA(H21:W21)=0,"",IFERROR(IF(AND('2.0'!H21&gt;=AC21,H21&lt;=AD21),"OK","WARNING"),""))</f>
        <v>WARNING</v>
      </c>
      <c r="AF21" s="497">
        <f>IF(COUNTA(H21:W21)=0,"",IFERROR('2.0'!AP42,""))</f>
        <v>0.57845369730476848</v>
      </c>
      <c r="AG21" s="498">
        <f>IF(COUNTA(H21:W21)=0,"",IFERROR('2.0'!AO42,""))</f>
        <v>2.8010124395300622</v>
      </c>
      <c r="AH21" s="499" t="str">
        <f>IF(COUNTA(H21:W21)=0,"",IFERROR(IF(AND('2.0'!U21&gt;=AF21,U21&lt;=AG21),"OK","WARNING"),""))</f>
        <v>WARNING</v>
      </c>
      <c r="AI21" s="191" t="str">
        <f>IFERROR(IF(COUNTA(E21:W21)=0,"",1-_xlfn.T.DIST(SQRT(E21)*(H21-G21)/SQRT('2.0'!U21),E21-1,TRUE)),"")</f>
        <v/>
      </c>
      <c r="AJ21" s="496" t="str">
        <f>IFERROR(IF(COUNTA(E21:W21)=0,"",IF(ABS('2.0'!W21-AI21)&gt;0.00001,"NOT OK","OK")),"")</f>
        <v/>
      </c>
      <c r="AK21" s="208">
        <v>1</v>
      </c>
      <c r="AL21" s="209">
        <v>3</v>
      </c>
      <c r="AM21" s="210">
        <v>1.95</v>
      </c>
      <c r="AU21" s="245">
        <f t="shared" si="0"/>
        <v>2895</v>
      </c>
      <c r="AV21" s="46">
        <v>12</v>
      </c>
      <c r="AW21" s="247">
        <f t="array" ref="AW21">(SUM(($AW$9:$BH$9&lt;AW$9)*($AV$10:$AV$21&lt;$AV21)*$I$10:$T$21)+SUM(($AW$9:$BH$9&gt;AW$9)*($AV$10:$AV$21&gt;$AV21)*$I$10:$T$21)-(SUM(($AW$9:$BH$9&gt;AW$9)*($AV$10:$AV$21&lt;$AV21)*$I$10:$T$21)+SUM(($AW$9:$BH$9&lt;AW$9)*($AV$10:$AV$21&gt;$AV21)*$I$10:$T$21)))*($AU21&gt;0)*(SUM(INDEX($I$10:$T$21,0,AW$9))&gt;0)</f>
        <v>-17005</v>
      </c>
      <c r="AX21" s="247">
        <f t="array" ref="AX21">(SUM(($AW$9:$BH$9&lt;AX$9)*($AV$10:$AV$21&lt;$AV21)*$I$10:$T$21)+SUM(($AW$9:$BH$9&gt;AX$9)*($AV$10:$AV$21&gt;$AV21)*$I$10:$T$21)-(SUM(($AW$9:$BH$9&gt;AX$9)*($AV$10:$AV$21&lt;$AV21)*$I$10:$T$21)+SUM(($AW$9:$BH$9&lt;AX$9)*($AV$10:$AV$21&gt;$AV21)*$I$10:$T$21)))*($AU21&gt;0)*(SUM(INDEX($I$10:$T$21,0,AX$9))&gt;0)</f>
        <v>-10643</v>
      </c>
      <c r="AY21" s="247">
        <f t="array" ref="AY21">(SUM(($AW$9:$BH$9&lt;AY$9)*($AV$10:$AV$21&lt;$AV21)*$I$10:$T$21)+SUM(($AW$9:$BH$9&gt;AY$9)*($AV$10:$AV$21&gt;$AV21)*$I$10:$T$21)-(SUM(($AW$9:$BH$9&gt;AY$9)*($AV$10:$AV$21&lt;$AV21)*$I$10:$T$21)+SUM(($AW$9:$BH$9&lt;AY$9)*($AV$10:$AV$21&gt;$AV21)*$I$10:$T$21)))*($AU21&gt;0)*(SUM(INDEX($I$10:$T$21,0,AY$9))&gt;0)</f>
        <v>-8713</v>
      </c>
      <c r="AZ21" s="247">
        <f t="array" ref="AZ21">(SUM(($AW$9:$BH$9&lt;AZ$9)*($AV$10:$AV$21&lt;$AV21)*$I$10:$T$21)+SUM(($AW$9:$BH$9&gt;AZ$9)*($AV$10:$AV$21&gt;$AV21)*$I$10:$T$21)-(SUM(($AW$9:$BH$9&gt;AZ$9)*($AV$10:$AV$21&lt;$AV21)*$I$10:$T$21)+SUM(($AW$9:$BH$9&lt;AZ$9)*($AV$10:$AV$21&gt;$AV21)*$I$10:$T$21)))*($AU21&gt;0)*(SUM(INDEX($I$10:$T$21,0,AZ$9))&gt;0)</f>
        <v>-7795</v>
      </c>
      <c r="BA21" s="247">
        <f t="array" ref="BA21">(SUM(($AW$9:$BH$9&lt;BA$9)*($AV$10:$AV$21&lt;$AV21)*$I$10:$T$21)+SUM(($AW$9:$BH$9&gt;BA$9)*($AV$10:$AV$21&gt;$AV21)*$I$10:$T$21)-(SUM(($AW$9:$BH$9&gt;BA$9)*($AV$10:$AV$21&lt;$AV21)*$I$10:$T$21)+SUM(($AW$9:$BH$9&lt;BA$9)*($AV$10:$AV$21&gt;$AV21)*$I$10:$T$21)))*($AU21&gt;0)*(SUM(INDEX($I$10:$T$21,0,BA$9))&gt;0)</f>
        <v>-7185</v>
      </c>
      <c r="BB21" s="247">
        <f t="array" ref="BB21">(SUM(($AW$9:$BH$9&lt;BB$9)*($AV$10:$AV$21&lt;$AV21)*$I$10:$T$21)+SUM(($AW$9:$BH$9&gt;BB$9)*($AV$10:$AV$21&gt;$AV21)*$I$10:$T$21)-(SUM(($AW$9:$BH$9&gt;BB$9)*($AV$10:$AV$21&lt;$AV21)*$I$10:$T$21)+SUM(($AW$9:$BH$9&lt;BB$9)*($AV$10:$AV$21&gt;$AV21)*$I$10:$T$21)))*($AU21&gt;0)*(SUM(INDEX($I$10:$T$21,0,BB$9))&gt;0)</f>
        <v>-6805</v>
      </c>
      <c r="BC21" s="247">
        <f t="array" ref="BC21">(SUM(($AW$9:$BH$9&lt;BC$9)*($AV$10:$AV$21&lt;$AV21)*$I$10:$T$21)+SUM(($AW$9:$BH$9&gt;BC$9)*($AV$10:$AV$21&gt;$AV21)*$I$10:$T$21)-(SUM(($AW$9:$BH$9&gt;BC$9)*($AV$10:$AV$21&lt;$AV21)*$I$10:$T$21)+SUM(($AW$9:$BH$9&lt;BC$9)*($AV$10:$AV$21&gt;$AV21)*$I$10:$T$21)))*($AU21&gt;0)*(SUM(INDEX($I$10:$T$21,0,BC$9))&gt;0)</f>
        <v>-6740</v>
      </c>
      <c r="BD21" s="247">
        <f t="array" ref="BD21">(SUM(($AW$9:$BH$9&lt;BD$9)*($AV$10:$AV$21&lt;$AV21)*$I$10:$T$21)+SUM(($AW$9:$BH$9&gt;BD$9)*($AV$10:$AV$21&gt;$AV21)*$I$10:$T$21)-(SUM(($AW$9:$BH$9&gt;BD$9)*($AV$10:$AV$21&lt;$AV21)*$I$10:$T$21)+SUM(($AW$9:$BH$9&lt;BD$9)*($AV$10:$AV$21&gt;$AV21)*$I$10:$T$21)))*($AU21&gt;0)*(SUM(INDEX($I$10:$T$21,0,BD$9))&gt;0)</f>
        <v>-6620</v>
      </c>
      <c r="BE21" s="247">
        <f t="array" ref="BE21">(SUM(($AW$9:$BH$9&lt;BE$9)*($AV$10:$AV$21&lt;$AV21)*$I$10:$T$21)+SUM(($AW$9:$BH$9&gt;BE$9)*($AV$10:$AV$21&gt;$AV21)*$I$10:$T$21)-(SUM(($AW$9:$BH$9&gt;BE$9)*($AV$10:$AV$21&lt;$AV21)*$I$10:$T$21)+SUM(($AW$9:$BH$9&lt;BE$9)*($AV$10:$AV$21&gt;$AV21)*$I$10:$T$21)))*($AU21&gt;0)*(SUM(INDEX($I$10:$T$21,0,BE$9))&gt;0)</f>
        <v>-5301</v>
      </c>
      <c r="BF21" s="247">
        <f t="array" ref="BF21">(SUM(($AW$9:$BH$9&lt;BF$9)*($AV$10:$AV$21&lt;$AV21)*$I$10:$T$21)+SUM(($AW$9:$BH$9&gt;BF$9)*($AV$10:$AV$21&gt;$AV21)*$I$10:$T$21)-(SUM(($AW$9:$BH$9&gt;BF$9)*($AV$10:$AV$21&lt;$AV21)*$I$10:$T$21)+SUM(($AW$9:$BH$9&lt;BF$9)*($AV$10:$AV$21&gt;$AV21)*$I$10:$T$21)))*($AU21&gt;0)*(SUM(INDEX($I$10:$T$21,0,BF$9))&gt;0)</f>
        <v>-1580</v>
      </c>
      <c r="BG21" s="247">
        <f t="array" ref="BG21">(SUM(($AW$9:$BH$9&lt;BG$9)*($AV$10:$AV$21&lt;$AV21)*$I$10:$T$21)+SUM(($AW$9:$BH$9&gt;BG$9)*($AV$10:$AV$21&gt;$AV21)*$I$10:$T$21)-(SUM(($AW$9:$BH$9&gt;BG$9)*($AV$10:$AV$21&lt;$AV21)*$I$10:$T$21)+SUM(($AW$9:$BH$9&lt;BG$9)*($AV$10:$AV$21&gt;$AV21)*$I$10:$T$21)))*($AU21&gt;0)*(SUM(INDEX($I$10:$T$21,0,BG$9))&gt;0)</f>
        <v>10275</v>
      </c>
      <c r="BH21" s="248">
        <f t="array" ref="BH21">(SUM(($AW$9:$BH$9&lt;BH$9)*($AV$10:$AV$21&lt;$AV21)*$I$10:$T$21)+SUM(($AW$9:$BH$9&gt;BH$9)*($AV$10:$AV$21&gt;$AV21)*$I$10:$T$21)-(SUM(($AW$9:$BH$9&gt;BH$9)*($AV$10:$AV$21&lt;$AV21)*$I$10:$T$21)+SUM(($AW$9:$BH$9&lt;BH$9)*($AV$10:$AV$21&gt;$AV21)*$I$10:$T$21)))*($AU21&gt;0)*(SUM(INDEX($I$10:$T$21,0,BH$9))&gt;0)</f>
        <v>20879</v>
      </c>
    </row>
    <row r="22" spans="2:60" ht="12.75" customHeight="1" x14ac:dyDescent="0.35">
      <c r="H22" s="406"/>
      <c r="I22" s="407"/>
    </row>
    <row r="23" spans="2:60" hidden="1" x14ac:dyDescent="0.35">
      <c r="I23" s="407"/>
      <c r="Y23" s="5" t="str">
        <f>IF(COUNTA(E25:W25)=0,"",IF(OR(AA23="NOT OK",AB23="NOT OK",AJ23="NOT OK"),"NOT OK",IF(OR(AE23="WARNING",AH23="WARNING"),"WARNING","OK")))</f>
        <v/>
      </c>
    </row>
    <row r="26" spans="2:60" hidden="1" x14ac:dyDescent="0.35">
      <c r="C26" s="5"/>
    </row>
    <row r="28" spans="2:60" hidden="1" x14ac:dyDescent="0.35">
      <c r="AA28" s="5" t="s">
        <v>136</v>
      </c>
    </row>
    <row r="29" spans="2:60" hidden="1" x14ac:dyDescent="0.35">
      <c r="AA29" s="5" t="s">
        <v>137</v>
      </c>
      <c r="AB29" s="5" t="s">
        <v>10</v>
      </c>
      <c r="AC29" s="5" t="s">
        <v>66</v>
      </c>
      <c r="AD29" s="5" t="s">
        <v>67</v>
      </c>
      <c r="AE29" s="5" t="s">
        <v>68</v>
      </c>
      <c r="AF29" s="5" t="s">
        <v>69</v>
      </c>
      <c r="AG29" s="5" t="s">
        <v>70</v>
      </c>
      <c r="AH29" s="5" t="s">
        <v>71</v>
      </c>
      <c r="AI29" s="5" t="s">
        <v>72</v>
      </c>
      <c r="AJ29" s="5" t="s">
        <v>73</v>
      </c>
      <c r="AK29" s="5" t="s">
        <v>74</v>
      </c>
      <c r="AL29" s="5" t="s">
        <v>75</v>
      </c>
      <c r="AM29" s="5" t="s">
        <v>76</v>
      </c>
      <c r="AN29" s="5" t="s">
        <v>77</v>
      </c>
      <c r="AO29" s="5" t="s">
        <v>135</v>
      </c>
      <c r="AP29" s="5" t="s">
        <v>138</v>
      </c>
    </row>
    <row r="30" spans="2:60" hidden="1" x14ac:dyDescent="0.35">
      <c r="AA30" s="408" t="s">
        <v>66</v>
      </c>
      <c r="AB30" s="409">
        <f>'2.0'!$H$8</f>
        <v>0</v>
      </c>
      <c r="AC30" s="409">
        <f>'2.0'!$H$10</f>
        <v>0</v>
      </c>
      <c r="AD30" s="409">
        <f>'2.0'!$H$11</f>
        <v>0</v>
      </c>
      <c r="AE30" s="409">
        <f>'2.0'!$H$12</f>
        <v>0</v>
      </c>
      <c r="AF30" s="409">
        <f>'2.0'!$H$13</f>
        <v>0</v>
      </c>
      <c r="AG30" s="409">
        <f>'2.0'!$H$14</f>
        <v>0</v>
      </c>
      <c r="AH30" s="409">
        <f>'2.0'!$H$15</f>
        <v>0</v>
      </c>
      <c r="AI30" s="409">
        <f>'2.0'!$H$16</f>
        <v>0</v>
      </c>
      <c r="AJ30" s="409">
        <f>'2.0'!$H$17</f>
        <v>0</v>
      </c>
      <c r="AK30" s="409">
        <f>'2.0'!$H$18</f>
        <v>0</v>
      </c>
      <c r="AL30" s="409">
        <f>'2.0'!$H$19</f>
        <v>0</v>
      </c>
      <c r="AM30" s="409">
        <f>'2.0'!$H$20</f>
        <v>0</v>
      </c>
      <c r="AN30" s="409">
        <f>$H$21</f>
        <v>0</v>
      </c>
      <c r="AO30" s="410">
        <f t="array" ref="AO30">IFERROR(SUM(($AK$10:$AK$21-$AB$30:$AB$41)^2*(($AK$10:$AK$21-$AB$30:$AB$41)^2&gt;($AL$10:$AL$21-$AB$30:$AB$41)^2)*TRANSPOSE(I8:T8)
         +($AL$10:$AL$21-$AB$30:$AB$41)^2*(($AK$10:$AK$21-$AB$30:$AB$41)^2&lt;=($AL$10:$AL$21-$AB$30:$AB$41)^2)*TRANSPOSE(I8:T8)
           )/(SUM(I8:T8)-1),"")</f>
        <v>0</v>
      </c>
      <c r="AP30" s="5">
        <f t="array" ref="AP30">IFERROR(SUM(($AK$10:$AK$21-$AB$30:$AB$41)^2*(($AK$10:$AK$21-$AB$30:$AB$41)^2&lt;=($AL$10:$AL$21-$AB$30:$AB$41)^2)*TRANSPOSE(I8:T8)
         +($AL$10:$AL$21-$AB$30:$AB$41)^2*(($AK$10:$AK$21-$AB$30:$AB$41)^2&gt;($AL$10:$AL$21-$AB$30:$AB$41)^2)*TRANSPOSE(I8:T8)
           )/(SUM(I8:T8)-1),"")</f>
        <v>0</v>
      </c>
    </row>
    <row r="31" spans="2:60" hidden="1" x14ac:dyDescent="0.35">
      <c r="AA31" s="408" t="s">
        <v>67</v>
      </c>
      <c r="AB31" s="409">
        <f>'2.0'!$H$8</f>
        <v>0</v>
      </c>
      <c r="AC31" s="409">
        <f>'2.0'!$H$10</f>
        <v>0</v>
      </c>
      <c r="AD31" s="409">
        <f>'2.0'!$H$11</f>
        <v>0</v>
      </c>
      <c r="AE31" s="409">
        <f>'2.0'!$H$12</f>
        <v>0</v>
      </c>
      <c r="AF31" s="409">
        <f>'2.0'!$H$13</f>
        <v>0</v>
      </c>
      <c r="AG31" s="409">
        <f>'2.0'!$H$14</f>
        <v>0</v>
      </c>
      <c r="AH31" s="409">
        <f>'2.0'!$H$15</f>
        <v>0</v>
      </c>
      <c r="AI31" s="409">
        <f>'2.0'!$H$16</f>
        <v>0</v>
      </c>
      <c r="AJ31" s="409">
        <f>'2.0'!$H$17</f>
        <v>0</v>
      </c>
      <c r="AK31" s="409">
        <f>'2.0'!$H$18</f>
        <v>0</v>
      </c>
      <c r="AL31" s="409">
        <f>'2.0'!$H$19</f>
        <v>0</v>
      </c>
      <c r="AM31" s="409">
        <f>'2.0'!$H$20</f>
        <v>0</v>
      </c>
      <c r="AN31" s="409">
        <f t="shared" ref="AN31:AN41" si="1">$H$21</f>
        <v>0</v>
      </c>
      <c r="AO31" s="410">
        <f t="array" ref="AO31">IFERROR(SUM(($AK$10:$AK$21-$AC$30:$AC$41)^2*(($AK$10:$AK$21-$AC$30:$AC$41)^2&gt;($AL$10:$AL$21-$AC$30:$AC$41)^2)*TRANSPOSE(I10:T10)
         +($AL$10:$AL$21-$AC$30:$AC$41)^2*(($AK$10:$AK$21-$AC$30:$AC$41)^2&lt;=($AL$10:$AL$21-$AC$30:$AC$41)^2)*TRANSPOSE(I10:T10)
           )/(SUM(I10:T10)-1),"")</f>
        <v>3.51837109614207E-2</v>
      </c>
      <c r="AP31" s="5">
        <f t="array" ref="AP31">IFERROR(SUM(($AK$10:$AK$21-$AC$30:$AC$41)^2*(($AK$10:$AK$21-$AC$30:$AC$41)^2&lt;=($AL$10:$AL$21-$AC$30:$AC$41)^2)*TRANSPOSE(I10:T10)
         +($AL$10:$AL$21-$AC$30:$AC$41)^2*(($AK$10:$AK$21-$AC$30:$AC$41)^2&gt;($AL$10:$AL$21-$AC$30:$AC$41)^2)*TRANSPOSE(I10:T10)
           )/(SUM(I10:T10)-1),"")</f>
        <v>2.4926515615431723E-2</v>
      </c>
    </row>
    <row r="32" spans="2:60" hidden="1" x14ac:dyDescent="0.35">
      <c r="AA32" s="408" t="s">
        <v>68</v>
      </c>
      <c r="AB32" s="409">
        <f>'2.0'!$H$8</f>
        <v>0</v>
      </c>
      <c r="AC32" s="409">
        <f>'2.0'!$H$10</f>
        <v>0</v>
      </c>
      <c r="AD32" s="409">
        <f>'2.0'!$H$11</f>
        <v>0</v>
      </c>
      <c r="AE32" s="409">
        <f>'2.0'!$H$12</f>
        <v>0</v>
      </c>
      <c r="AF32" s="409">
        <f>'2.0'!$H$13</f>
        <v>0</v>
      </c>
      <c r="AG32" s="409">
        <f>'2.0'!$H$14</f>
        <v>0</v>
      </c>
      <c r="AH32" s="409">
        <f>'2.0'!$H$15</f>
        <v>0</v>
      </c>
      <c r="AI32" s="409">
        <f>'2.0'!$H$16</f>
        <v>0</v>
      </c>
      <c r="AJ32" s="409">
        <f>'2.0'!$H$17</f>
        <v>0</v>
      </c>
      <c r="AK32" s="409">
        <f>'2.0'!$H$18</f>
        <v>0</v>
      </c>
      <c r="AL32" s="409">
        <f>'2.0'!$H$19</f>
        <v>0</v>
      </c>
      <c r="AM32" s="409">
        <f>'2.0'!$H$20</f>
        <v>0</v>
      </c>
      <c r="AN32" s="409">
        <f t="shared" si="1"/>
        <v>0</v>
      </c>
      <c r="AO32" s="410">
        <f t="array" ref="AO32">IFERROR(SUM(($AK$10:$AK$21-$AD$30:$AD$41)^2*(($AK$10:$AK$21-$AD$30:$AD$41)^2&gt;($AL$10:$AL$21-$AD$30:$AD$41)^2)*TRANSPOSE(I11:T11)
         +($AL$10:$AL$21-$AD$30:$AD$41)^2*(($AK$10:$AK$21-$AD$30:$AD$41)^2&lt;=($AL$10:$AL$21-$AD$30:$AD$41)^2)*TRANSPOSE(I11:T11)
           )/(SUM(I11:T11)-1),"")</f>
        <v>0.17564257028112451</v>
      </c>
      <c r="AP32" s="5">
        <f t="array" ref="AP32">IFERROR(SUM(($AK$10:$AK$21-$AD$30:$AD$41)^2*(($AK$10:$AK$21-$AD$30:$AD$41)^2&lt;=($AL$10:$AL$21-$AD$30:$AD$41)^2)*TRANSPOSE(I11:T11)
         +($AL$10:$AL$21-$AD$30:$AD$41)^2*(($AK$10:$AK$21-$AD$30:$AD$41)^2&gt;($AL$10:$AL$21-$AD$30:$AD$41)^2)*TRANSPOSE(I11:T11)
           )/(SUM(I11:T11)-1),"")</f>
        <v>0.1343975903614458</v>
      </c>
    </row>
    <row r="33" spans="3:42" hidden="1" x14ac:dyDescent="0.35">
      <c r="C33" s="5"/>
      <c r="AA33" s="408" t="s">
        <v>69</v>
      </c>
      <c r="AB33" s="409">
        <f>'2.0'!$H$8</f>
        <v>0</v>
      </c>
      <c r="AC33" s="409">
        <f>'2.0'!$H$10</f>
        <v>0</v>
      </c>
      <c r="AD33" s="409">
        <f>'2.0'!$H$11</f>
        <v>0</v>
      </c>
      <c r="AE33" s="409">
        <f>'2.0'!$H$12</f>
        <v>0</v>
      </c>
      <c r="AF33" s="409">
        <f>'2.0'!$H$13</f>
        <v>0</v>
      </c>
      <c r="AG33" s="409">
        <f>'2.0'!$H$14</f>
        <v>0</v>
      </c>
      <c r="AH33" s="409">
        <f>'2.0'!$H$15</f>
        <v>0</v>
      </c>
      <c r="AI33" s="409">
        <f>'2.0'!$H$16</f>
        <v>0</v>
      </c>
      <c r="AJ33" s="409">
        <f>'2.0'!$H$17</f>
        <v>0</v>
      </c>
      <c r="AK33" s="409">
        <f>'2.0'!$H$18</f>
        <v>0</v>
      </c>
      <c r="AL33" s="409">
        <f>'2.0'!$H$19</f>
        <v>0</v>
      </c>
      <c r="AM33" s="409">
        <f>'2.0'!$H$20</f>
        <v>0</v>
      </c>
      <c r="AN33" s="409">
        <f t="shared" si="1"/>
        <v>0</v>
      </c>
      <c r="AO33" s="410">
        <f t="array" ref="AO33">IFERROR(SUM(($AK$10:$AK$21-$AE$30:$AE$41)^2*(($AK$10:$AK$21-$AE$30:$AE$41)^2&gt;($AL$10:$AL$21-$AE$30:$AE$41)^2)*TRANSPOSE(I12:T12)
         +($AL$10:$AL$21-$AE$30:$AE$41)^2*(($AK$10:$AK$21-$AE$30:$AE$41)^2&lt;=($AL$10:$AL$21-$AE$30:$AE$41)^2)*TRANSPOSE(I12:T12)
           )/(SUM(I12:T12)-1),"")</f>
        <v>0.29015277777777776</v>
      </c>
      <c r="AP33" s="5">
        <f t="array" ref="AP33">IFERROR(SUM(($AK$10:$AK$21-$AE$30:$AE$41)^2*(($AK$10:$AK$21-$AE$30:$AE$41)^2&lt;=($AL$10:$AL$21-$AE$30:$AE$41)^2)*TRANSPOSE(I12:T12)
         +($AL$10:$AL$21-$AE$30:$AE$41)^2*(($AK$10:$AK$21-$AE$30:$AE$41)^2&gt;($AL$10:$AL$21-$AE$30:$AE$41)^2)*TRANSPOSE(I12:T12)
           )/(SUM(I12:T12)-1),"")</f>
        <v>0.22969444444444445</v>
      </c>
    </row>
    <row r="34" spans="3:42" hidden="1" x14ac:dyDescent="0.35">
      <c r="AA34" s="408" t="s">
        <v>70</v>
      </c>
      <c r="AB34" s="409">
        <f>'2.0'!$H$8</f>
        <v>0</v>
      </c>
      <c r="AC34" s="409">
        <f>'2.0'!$H$10</f>
        <v>0</v>
      </c>
      <c r="AD34" s="409">
        <f>'2.0'!$H$11</f>
        <v>0</v>
      </c>
      <c r="AE34" s="409">
        <f>'2.0'!$H$12</f>
        <v>0</v>
      </c>
      <c r="AF34" s="409">
        <f>'2.0'!$H$13</f>
        <v>0</v>
      </c>
      <c r="AG34" s="409">
        <f>'2.0'!$H$14</f>
        <v>0</v>
      </c>
      <c r="AH34" s="409">
        <f>'2.0'!$H$15</f>
        <v>0</v>
      </c>
      <c r="AI34" s="409">
        <f>'2.0'!$H$16</f>
        <v>0</v>
      </c>
      <c r="AJ34" s="409">
        <f>'2.0'!$H$17</f>
        <v>0</v>
      </c>
      <c r="AK34" s="409">
        <f>'2.0'!$H$18</f>
        <v>0</v>
      </c>
      <c r="AL34" s="409">
        <f>'2.0'!$H$19</f>
        <v>0</v>
      </c>
      <c r="AM34" s="409">
        <f>'2.0'!$H$20</f>
        <v>0</v>
      </c>
      <c r="AN34" s="409">
        <f t="shared" si="1"/>
        <v>0</v>
      </c>
      <c r="AO34" s="410">
        <f t="array" ref="AO34">IFERROR(SUM(($AK$10:$AK$21-$AF$30:$AF$41)^2*(($AK$10:$AK$21-$AF$30:$AF$41)^2&gt;($AL$10:$AL$21-$AF$30:$AF$41)^2)*TRANSPOSE(I13:T13)
         +($AL$10:$AL$21-$AF$30:$AF$41)^2*(($AK$10:$AK$21-$AF$30:$AF$41)^2&lt;=($AL$10:$AL$21-$AF$30:$AF$41)^2)*TRANSPOSE(I13:T13)
           )/(SUM(I13:T13)-1),"")</f>
        <v>2.7402770378263192E-2</v>
      </c>
      <c r="AP34" s="5">
        <f t="array" ref="AP34">IFERROR(SUM(($AK$10:$AK$21-$AF$30:$AF$41)^2*(($AK$10:$AK$21-$AF$30:$AF$41)^2&lt;=($AL$10:$AL$21-$AF$30:$AF$41)^2)*TRANSPOSE(I13:T13)
         +($AL$10:$AL$21-$AF$30:$AF$41)^2*(($AK$10:$AK$21-$AF$30:$AF$41)^2&gt;($AL$10:$AL$21-$AF$30:$AF$41)^2)*TRANSPOSE(I13:T13)
           )/(SUM(I13:T13)-1),"")</f>
        <v>1.5958977091102822E-2</v>
      </c>
    </row>
    <row r="35" spans="3:42" hidden="1" x14ac:dyDescent="0.35">
      <c r="AA35" s="408" t="s">
        <v>71</v>
      </c>
      <c r="AB35" s="409">
        <f>'2.0'!$H$8</f>
        <v>0</v>
      </c>
      <c r="AC35" s="409">
        <f>'2.0'!$H$10</f>
        <v>0</v>
      </c>
      <c r="AD35" s="409">
        <f>'2.0'!$H$11</f>
        <v>0</v>
      </c>
      <c r="AE35" s="409">
        <f>'2.0'!$H$12</f>
        <v>0</v>
      </c>
      <c r="AF35" s="409">
        <f>'2.0'!$H$13</f>
        <v>0</v>
      </c>
      <c r="AG35" s="409">
        <f>'2.0'!$H$14</f>
        <v>0</v>
      </c>
      <c r="AH35" s="409">
        <f>'2.0'!$H$15</f>
        <v>0</v>
      </c>
      <c r="AI35" s="409">
        <f>'2.0'!$H$16</f>
        <v>0</v>
      </c>
      <c r="AJ35" s="409">
        <f>'2.0'!$H$17</f>
        <v>0</v>
      </c>
      <c r="AK35" s="409">
        <f>'2.0'!$H$18</f>
        <v>0</v>
      </c>
      <c r="AL35" s="409">
        <f>'2.0'!$H$19</f>
        <v>0</v>
      </c>
      <c r="AM35" s="409">
        <f>'2.0'!$H$20</f>
        <v>0</v>
      </c>
      <c r="AN35" s="409">
        <f t="shared" si="1"/>
        <v>0</v>
      </c>
      <c r="AO35" s="410">
        <f t="array" ref="AO35">IFERROR(SUM(($AK$10:$AK$21-$AG$30:$AG$41)^2*(($AK$10:$AK$21-$AG$30:$AG$41)^2&gt;($AL$10:$AL$21-$AG$30:$AG$41)^2)*TRANSPOSE(I14:T14)
         +($AL$10:$AL$21-$AG$30:$AG$41)^2*(($AK$10:$AK$21-$AG$30:$AG$41)^2&lt;=($AL$10:$AL$21-$AG$30:$AG$41)^2)*TRANSPOSE(I14:T14)
           )/(SUM(I14:T14)-1),"")</f>
        <v>0.61442361761949393</v>
      </c>
      <c r="AP35" s="5">
        <f t="array" ref="AP35">IFERROR(SUM(($AK$10:$AK$21-$AG$30:$AG$41)^2*(($AK$10:$AK$21-$AG$30:$AG$41)^2&lt;=($AL$10:$AL$21-$AG$30:$AG$41)^2)*TRANSPOSE(I14:T14)
         +($AL$10:$AL$21-$AG$30:$AG$41)^2*(($AK$10:$AK$21-$AG$30:$AG$41)^2&gt;($AL$10:$AL$21-$AG$30:$AG$41)^2)*TRANSPOSE(I14:T14)
           )/(SUM(I14:T14)-1),"")</f>
        <v>0.49139643861293353</v>
      </c>
    </row>
    <row r="36" spans="3:42" hidden="1" x14ac:dyDescent="0.35">
      <c r="AA36" s="408" t="s">
        <v>72</v>
      </c>
      <c r="AB36" s="409">
        <f>'2.0'!$H$8</f>
        <v>0</v>
      </c>
      <c r="AC36" s="409">
        <f>'2.0'!$H$10</f>
        <v>0</v>
      </c>
      <c r="AD36" s="409">
        <f>'2.0'!$H$11</f>
        <v>0</v>
      </c>
      <c r="AE36" s="409">
        <f>'2.0'!$H$12</f>
        <v>0</v>
      </c>
      <c r="AF36" s="409">
        <f>'2.0'!$H$13</f>
        <v>0</v>
      </c>
      <c r="AG36" s="409">
        <f>'2.0'!$H$14</f>
        <v>0</v>
      </c>
      <c r="AH36" s="409">
        <f>'2.0'!$H$15</f>
        <v>0</v>
      </c>
      <c r="AI36" s="409">
        <f>'2.0'!$H$16</f>
        <v>0</v>
      </c>
      <c r="AJ36" s="409">
        <f>'2.0'!$H$17</f>
        <v>0</v>
      </c>
      <c r="AK36" s="409">
        <f>'2.0'!$H$18</f>
        <v>0</v>
      </c>
      <c r="AL36" s="409">
        <f>'2.0'!$H$19</f>
        <v>0</v>
      </c>
      <c r="AM36" s="409">
        <f>'2.0'!$H$20</f>
        <v>0</v>
      </c>
      <c r="AN36" s="409">
        <f t="shared" si="1"/>
        <v>0</v>
      </c>
      <c r="AO36" s="410">
        <f t="array" ref="AO36">IFERROR(SUM(($AK$10:$AK$21-$AH$30:$AH$41)^2*(($AK$10:$AK$21-$AH$30:$AH$41)^2&gt;($AL$10:$AL$21-$AH$30:$AH$41)^2)*TRANSPOSE(I15:T15)
         +($AL$10:$AL$21-$AH$30:$AH$41)^2*(($AK$10:$AK$21-$AH$30:$AH$41)^2&lt;=($AL$10:$AL$21-$AH$30:$AH$41)^2)*TRANSPOSE(I15:T15)
           )/(SUM(I15:T15)-1),"")</f>
        <v>0.34766315789473684</v>
      </c>
      <c r="AP36" s="5">
        <f t="array" ref="AP36">IFERROR(SUM(($AK$10:$AK$21-$AH$30:$AH$41)^2*(($AK$10:$AK$21-$AH$30:$AH$41)^2&lt;=($AL$10:$AL$21-$AH$30:$AH$41)^2)*TRANSPOSE(I15:T15)
         +($AL$10:$AL$21-$AH$30:$AH$41)^2*(($AK$10:$AK$21-$AH$30:$AH$41)^2&gt;($AL$10:$AL$21-$AH$30:$AH$41)^2)*TRANSPOSE(I15:T15)
           )/(SUM(I15:T15)-1),"")</f>
        <v>0.27362807017543866</v>
      </c>
    </row>
    <row r="37" spans="3:42" hidden="1" x14ac:dyDescent="0.35">
      <c r="AA37" s="408" t="s">
        <v>73</v>
      </c>
      <c r="AB37" s="409">
        <f>'2.0'!$H$8</f>
        <v>0</v>
      </c>
      <c r="AC37" s="409">
        <f>'2.0'!$H$10</f>
        <v>0</v>
      </c>
      <c r="AD37" s="409">
        <f>'2.0'!$H$11</f>
        <v>0</v>
      </c>
      <c r="AE37" s="409">
        <f>'2.0'!$H$12</f>
        <v>0</v>
      </c>
      <c r="AF37" s="409">
        <f>'2.0'!$H$13</f>
        <v>0</v>
      </c>
      <c r="AG37" s="409">
        <f>'2.0'!$H$14</f>
        <v>0</v>
      </c>
      <c r="AH37" s="409">
        <f>'2.0'!$H$15</f>
        <v>0</v>
      </c>
      <c r="AI37" s="409">
        <f>'2.0'!$H$16</f>
        <v>0</v>
      </c>
      <c r="AJ37" s="409">
        <f>'2.0'!$H$17</f>
        <v>0</v>
      </c>
      <c r="AK37" s="409">
        <f>'2.0'!$H$18</f>
        <v>0</v>
      </c>
      <c r="AL37" s="409">
        <f>'2.0'!$H$19</f>
        <v>0</v>
      </c>
      <c r="AM37" s="409">
        <f>'2.0'!$H$20</f>
        <v>0</v>
      </c>
      <c r="AN37" s="409">
        <f t="shared" si="1"/>
        <v>0</v>
      </c>
      <c r="AO37" s="410">
        <f t="array" ref="AO37">IFERROR(SUM(($AK$10:$AK$21-$AI$30:$AI$41)^2*(($AK$10:$AK$21-$AI$30:$AI$41)^2&gt;($AL$10:$AL$21-$AI$30:$AI$41)^2)*TRANSPOSE(I16:T16)
         +($AL$10:$AL$21-$AI$30:$AI$41)^2*(($AK$10:$AK$21-$AI$30:$AI$41)^2&lt;=($AL$10:$AL$21-$AI$30:$AI$41)^2)*TRANSPOSE(I16:T16)
           )/(SUM(I16:T16)-1),"")</f>
        <v>0.88085797254487863</v>
      </c>
      <c r="AP37" s="5">
        <f t="array" ref="AP37">IFERROR(SUM(($AK$10:$AK$21-$AI$30:$AI$41)^2*(($AK$10:$AK$21-$AI$30:$AI$41)^2&lt;=($AL$10:$AL$21-$AI$30:$AI$41)^2)*TRANSPOSE(I16:T16)
         +($AL$10:$AL$21-$AI$30:$AI$41)^2*(($AK$10:$AK$21-$AI$30:$AI$41)^2&gt;($AL$10:$AL$21-$AI$30:$AI$41)^2)*TRANSPOSE(I16:T16)
           )/(SUM(I16:T16)-1),"")</f>
        <v>0.65363780359028512</v>
      </c>
    </row>
    <row r="38" spans="3:42" hidden="1" x14ac:dyDescent="0.35">
      <c r="AA38" s="408" t="s">
        <v>74</v>
      </c>
      <c r="AB38" s="409">
        <f>'2.0'!$H$8</f>
        <v>0</v>
      </c>
      <c r="AC38" s="409">
        <f>'2.0'!$H$10</f>
        <v>0</v>
      </c>
      <c r="AD38" s="409">
        <f>'2.0'!$H$11</f>
        <v>0</v>
      </c>
      <c r="AE38" s="409">
        <f>'2.0'!$H$12</f>
        <v>0</v>
      </c>
      <c r="AF38" s="409">
        <f>'2.0'!$H$13</f>
        <v>0</v>
      </c>
      <c r="AG38" s="409">
        <f>'2.0'!$H$14</f>
        <v>0</v>
      </c>
      <c r="AH38" s="409">
        <f>'2.0'!$H$15</f>
        <v>0</v>
      </c>
      <c r="AI38" s="409">
        <f>'2.0'!$H$16</f>
        <v>0</v>
      </c>
      <c r="AJ38" s="409">
        <f>'2.0'!$H$17</f>
        <v>0</v>
      </c>
      <c r="AK38" s="409">
        <f>'2.0'!$H$18</f>
        <v>0</v>
      </c>
      <c r="AL38" s="409">
        <f>'2.0'!$H$19</f>
        <v>0</v>
      </c>
      <c r="AM38" s="409">
        <f>'2.0'!$H$20</f>
        <v>0</v>
      </c>
      <c r="AN38" s="409">
        <f t="shared" si="1"/>
        <v>0</v>
      </c>
      <c r="AO38" s="410">
        <f t="array" ref="AO38">IFERROR(SUM(($AK$10:$AK$21-$AJ$30:$AJ$41)^2*(($AK$10:$AK$21-$AJ$30:$AJ$41)^2&gt;($AL$10:$AL$21-$AJ$30:$AJ$41)^2)*TRANSPOSE(I17:T17)
         +($AL$10:$AL$21-$AJ$30:$AJ$41)^2*(($AK$10:$AK$21-$AJ$30:$AJ$41)^2&lt;=($AL$10:$AL$21-$AJ$30:$AJ$41)^2)*TRANSPOSE(I17:T17)
           )/(SUM(I17:T17)-1),"")</f>
        <v>0.96390625000000008</v>
      </c>
      <c r="AP38" s="5">
        <f t="array" ref="AP38">IFERROR(SUM(($AK$10:$AK$21-$AJ$30:$AJ$41)^2*(($AK$10:$AK$21-$AJ$30:$AJ$41)^2&lt;=($AL$10:$AL$21-$AJ$30:$AJ$41)^2)*TRANSPOSE(I17:T17)
         +($AL$10:$AL$21-$AJ$30:$AJ$41)^2*(($AK$10:$AK$21-$AJ$30:$AJ$41)^2&gt;($AL$10:$AL$21-$AJ$30:$AJ$41)^2)*TRANSPOSE(I17:T17)
           )/(SUM(I17:T17)-1),"")</f>
        <v>0.66027777777777785</v>
      </c>
    </row>
    <row r="39" spans="3:42" hidden="1" x14ac:dyDescent="0.35">
      <c r="AA39" s="408" t="s">
        <v>75</v>
      </c>
      <c r="AB39" s="409">
        <f>'2.0'!$H$8</f>
        <v>0</v>
      </c>
      <c r="AC39" s="409">
        <f>'2.0'!$H$10</f>
        <v>0</v>
      </c>
      <c r="AD39" s="409">
        <f>'2.0'!$H$11</f>
        <v>0</v>
      </c>
      <c r="AE39" s="409">
        <f>'2.0'!$H$12</f>
        <v>0</v>
      </c>
      <c r="AF39" s="409">
        <f>'2.0'!$H$13</f>
        <v>0</v>
      </c>
      <c r="AG39" s="409">
        <f>'2.0'!$H$14</f>
        <v>0</v>
      </c>
      <c r="AH39" s="409">
        <f>'2.0'!$H$15</f>
        <v>0</v>
      </c>
      <c r="AI39" s="409">
        <f>'2.0'!$H$16</f>
        <v>0</v>
      </c>
      <c r="AJ39" s="409">
        <f>'2.0'!$H$17</f>
        <v>0</v>
      </c>
      <c r="AK39" s="409">
        <f>'2.0'!$H$18</f>
        <v>0</v>
      </c>
      <c r="AL39" s="409">
        <f>'2.0'!$H$19</f>
        <v>0</v>
      </c>
      <c r="AM39" s="409">
        <f>'2.0'!$H$20</f>
        <v>0</v>
      </c>
      <c r="AN39" s="409">
        <f t="shared" si="1"/>
        <v>0</v>
      </c>
      <c r="AO39" s="410">
        <f t="array" ref="AO39">IFERROR(SUM(($AK$10:$AK$21-$AK$30:$AK$41)^2*(($AK$10:$AK$21-$AK$30:$AK$41)^2&gt;($AL$10:$AL$21-$AK$30:$AK$41)^2)*TRANSPOSE(I18:T18)
         +($AL$10:$AL$21-$AK$30:$AK$41)^2*(($AK$10:$AK$21-$AK$30:$AK$41)^2&lt;=($AL$10:$AL$21-$AK$30:$AK$41)^2)*TRANSPOSE(I18:T18)
           )/(SUM(I18:T18)-1),"")</f>
        <v>2.0458634486319052</v>
      </c>
      <c r="AP39" s="5">
        <f t="array" ref="AP39">IFERROR(SUM(($AK$10:$AK$21-$AK$30:$AK$41)^2*(($AK$10:$AK$21-$AK$30:$AK$41)^2&lt;=($AL$10:$AL$21-$AK$30:$AK$41)^2)*TRANSPOSE(I18:T18)
         +($AL$10:$AL$21-$AK$30:$AK$41)^2*(($AK$10:$AK$21-$AK$30:$AK$41)^2&gt;($AL$10:$AL$21-$AK$30:$AK$41)^2)*TRANSPOSE(I18:T18)
           )/(SUM(I18:T18)-1),"")</f>
        <v>0.73403975219411466</v>
      </c>
    </row>
    <row r="40" spans="3:42" hidden="1" x14ac:dyDescent="0.35">
      <c r="AA40" s="408" t="s">
        <v>76</v>
      </c>
      <c r="AB40" s="409">
        <f>'2.0'!$H$8</f>
        <v>0</v>
      </c>
      <c r="AC40" s="409">
        <f>'2.0'!$H$10</f>
        <v>0</v>
      </c>
      <c r="AD40" s="409">
        <f>'2.0'!$H$11</f>
        <v>0</v>
      </c>
      <c r="AE40" s="409">
        <f>'2.0'!$H$12</f>
        <v>0</v>
      </c>
      <c r="AF40" s="409">
        <f>'2.0'!$H$13</f>
        <v>0</v>
      </c>
      <c r="AG40" s="409">
        <f>'2.0'!$H$14</f>
        <v>0</v>
      </c>
      <c r="AH40" s="409">
        <f>'2.0'!$H$15</f>
        <v>0</v>
      </c>
      <c r="AI40" s="409">
        <f>'2.0'!$H$16</f>
        <v>0</v>
      </c>
      <c r="AJ40" s="409">
        <f>'2.0'!$H$17</f>
        <v>0</v>
      </c>
      <c r="AK40" s="409">
        <f>'2.0'!$H$18</f>
        <v>0</v>
      </c>
      <c r="AL40" s="409">
        <f>'2.0'!$H$19</f>
        <v>0</v>
      </c>
      <c r="AM40" s="409">
        <f>'2.0'!$H$20</f>
        <v>0</v>
      </c>
      <c r="AN40" s="409">
        <f t="shared" si="1"/>
        <v>0</v>
      </c>
      <c r="AO40" s="410">
        <f t="array" ref="AO40">IFERROR(SUM(($AK$10:$AK$21-$AL$30:$AL$41)^2*(($AK$10:$AK$21-$AL$30:$AL$41)^2&gt;($AL$10:$AL$21-$AL$30:$AL$41)^2)*TRANSPOSE(I19:T19)
         +($AL$10:$AL$21-$AL$30:$AL$41)^2*(($AK$10:$AK$21-$AL$30:$AL$41)^2&lt;=($AL$10:$AL$21-$AL$30:$AL$41)^2)*TRANSPOSE(I19:T19)
           )/(SUM(I19:T19)-1),"")</f>
        <v>2.0434616318601262</v>
      </c>
      <c r="AP40" s="5">
        <f t="array" ref="AP40">IFERROR(SUM(($AK$10:$AK$21-$AL$30:$AL$41)^2*(($AK$10:$AK$21-$AL$30:$AL$41)^2&lt;=($AL$10:$AL$21-$AL$30:$AL$41)^2)*TRANSPOSE(I19:T19)
         +($AL$10:$AL$21-$AL$30:$AL$41)^2*(($AK$10:$AK$21-$AL$30:$AL$41)^2&gt;($AL$10:$AL$21-$AL$30:$AL$41)^2)*TRANSPOSE(I19:T19)
           )/(SUM(I19:T19)-1),"")</f>
        <v>0.78658814958717826</v>
      </c>
    </row>
    <row r="41" spans="3:42" hidden="1" x14ac:dyDescent="0.35">
      <c r="AA41" s="408" t="s">
        <v>77</v>
      </c>
      <c r="AB41" s="409">
        <f>'2.0'!$H$8</f>
        <v>0</v>
      </c>
      <c r="AC41" s="409">
        <f>'2.0'!$H$10</f>
        <v>0</v>
      </c>
      <c r="AD41" s="409">
        <f>'2.0'!$H$11</f>
        <v>0</v>
      </c>
      <c r="AE41" s="409">
        <f>'2.0'!$H$12</f>
        <v>0</v>
      </c>
      <c r="AF41" s="409">
        <f>'2.0'!$H$13</f>
        <v>0</v>
      </c>
      <c r="AG41" s="409">
        <f>'2.0'!$H$14</f>
        <v>0</v>
      </c>
      <c r="AH41" s="409">
        <f>'2.0'!$H$15</f>
        <v>0</v>
      </c>
      <c r="AI41" s="409">
        <f>'2.0'!$H$16</f>
        <v>0</v>
      </c>
      <c r="AJ41" s="409">
        <f>'2.0'!$H$17</f>
        <v>0</v>
      </c>
      <c r="AK41" s="409">
        <f>'2.0'!$H$18</f>
        <v>0</v>
      </c>
      <c r="AL41" s="409">
        <f>'2.0'!$H$19</f>
        <v>0</v>
      </c>
      <c r="AM41" s="409">
        <f>'2.0'!$H$20</f>
        <v>0</v>
      </c>
      <c r="AN41" s="409">
        <f t="shared" si="1"/>
        <v>0</v>
      </c>
      <c r="AO41" s="410">
        <f t="array" ref="AO41">IFERROR(SUM(($AK$10:$AK$21-$AM$30:$AM$41)^2*(($AK$10:$AK$21-$AM$30:$AM$41)^2&gt;($AL$10:$AL$21-$AM$30:$AM$41)^2)*TRANSPOSE(I20:T20)
         +($AL$10:$AL$21-$AM$30:$AM$41)^2*(($AK$10:$AK$21-$AM$30:$AM$41)^2&lt;=($AL$10:$AL$21-$AM$30:$AM$41)^2)*TRANSPOSE(I20:T20)
           )/(SUM(I20:T20)-1),"")</f>
        <v>1.0534273384183059</v>
      </c>
      <c r="AP41" s="5">
        <f t="array" ref="AP41">IFERROR(SUM(($AK$10:$AK$21-$AM$30:$AM$41)^2*(($AK$10:$AK$21-$AM$30:$AM$41)^2&lt;=($AL$10:$AL$21-$AM$30:$AM$41)^2)*TRANSPOSE(I20:T20)
         +($AL$10:$AL$21-$AM$30:$AM$41)^2*(($AK$10:$AK$21-$AM$30:$AM$41)^2&gt;($AL$10:$AL$21-$AM$30:$AM$41)^2)*TRANSPOSE(I20:T20)
           )/(SUM(I20:T20)-1),"")</f>
        <v>0.70311521477318351</v>
      </c>
    </row>
    <row r="42" spans="3:42" hidden="1" x14ac:dyDescent="0.35">
      <c r="AB42" s="410"/>
      <c r="AC42" s="410"/>
      <c r="AD42" s="410"/>
      <c r="AE42" s="410"/>
      <c r="AF42" s="410"/>
      <c r="AG42" s="410"/>
      <c r="AH42" s="410"/>
      <c r="AJ42" s="410"/>
      <c r="AK42" s="410"/>
      <c r="AL42" s="410"/>
      <c r="AM42" s="410"/>
      <c r="AN42" s="410"/>
      <c r="AO42" s="410">
        <f t="array" ref="AO42">IFERROR(SUM(($AK$10:$AK$21-$AN$30:$AN$41)^2*(($AK$10:$AK$21-$AN$30:$AN$41)^2&gt;($AL$10:$AL$21-$AN$30:$AN$41)^2)*TRANSPOSE(I21:T21)
         +($AL$10:$AL$21-$AN$30:$AN$41)^2*(($AK$10:$AK$21-$AN$30:$AN$41)^2&lt;=($AL$10:$AL$21-$AN$30:$AN$41)^2)*TRANSPOSE(I21:T21)
           )/(SUM(I21:T21)-1),"")</f>
        <v>2.8010124395300622</v>
      </c>
      <c r="AP42" s="5">
        <f t="array" ref="AP42">IFERROR(SUM(($AK$10:$AK$21-$AN$30:$AN$41)^2*(($AK$10:$AK$21-$AN$30:$AN$41)^2&lt;=($AL$10:$AL$21-$AN$30:$AN$41)^2)*TRANSPOSE(I21:T21)
         +($AL$10:$AL$21-$AN$30:$AN$41)^2*(($AK$10:$AK$21-$AN$30:$AN$41)^2&gt;($AL$10:$AL$21-$AN$30:$AN$41)^2)*TRANSPOSE(I21:T21)
           )/(SUM(I21:T21)-1),"")</f>
        <v>0.57845369730476848</v>
      </c>
    </row>
  </sheetData>
  <sheetProtection password="9BF7" sheet="1" objects="1" scenarios="1"/>
  <mergeCells count="26">
    <mergeCell ref="Y6:Y7"/>
    <mergeCell ref="Z6:Z7"/>
    <mergeCell ref="AU8:AU9"/>
    <mergeCell ref="B4:C7"/>
    <mergeCell ref="D4:D6"/>
    <mergeCell ref="E4:E6"/>
    <mergeCell ref="G4:G6"/>
    <mergeCell ref="V5:V6"/>
    <mergeCell ref="F4:F6"/>
    <mergeCell ref="Y5:AJ5"/>
    <mergeCell ref="AV8:AV9"/>
    <mergeCell ref="AW8:BH8"/>
    <mergeCell ref="H4:H6"/>
    <mergeCell ref="B2:W2"/>
    <mergeCell ref="AJ6:AJ7"/>
    <mergeCell ref="AR5:BH5"/>
    <mergeCell ref="AR7:AS7"/>
    <mergeCell ref="AV7:BH7"/>
    <mergeCell ref="AI6:AI7"/>
    <mergeCell ref="AC6:AE6"/>
    <mergeCell ref="AF6:AH6"/>
    <mergeCell ref="B3:K3"/>
    <mergeCell ref="I4:T5"/>
    <mergeCell ref="U4:W4"/>
    <mergeCell ref="U5:U6"/>
    <mergeCell ref="W5:W6"/>
  </mergeCells>
  <conditionalFormatting sqref="Y8:Y23">
    <cfRule type="expression" dxfId="61" priority="28">
      <formula>Y8="WARNING"</formula>
    </cfRule>
    <cfRule type="expression" dxfId="60" priority="37">
      <formula>Y8="NOT OK"</formula>
    </cfRule>
    <cfRule type="expression" dxfId="59" priority="38">
      <formula>Y8="OK"</formula>
    </cfRule>
  </conditionalFormatting>
  <conditionalFormatting sqref="AA8:AB8">
    <cfRule type="expression" dxfId="58" priority="1">
      <formula>AA8="NOT OK"</formula>
    </cfRule>
    <cfRule type="expression" dxfId="57" priority="2">
      <formula>AA8="OK"</formula>
    </cfRule>
  </conditionalFormatting>
  <conditionalFormatting sqref="AA10:AB21">
    <cfRule type="expression" dxfId="56" priority="3">
      <formula>AA10="NOT OK"</formula>
    </cfRule>
    <cfRule type="expression" dxfId="55" priority="4">
      <formula>AA10="OK"</formula>
    </cfRule>
  </conditionalFormatting>
  <conditionalFormatting sqref="AD10:AD21">
    <cfRule type="expression" dxfId="54" priority="31">
      <formula>AD10="NOT OK"</formula>
    </cfRule>
    <cfRule type="expression" dxfId="53" priority="32">
      <formula>AD10="OK"</formula>
    </cfRule>
  </conditionalFormatting>
  <conditionalFormatting sqref="AE8:AE21">
    <cfRule type="expression" dxfId="52" priority="9">
      <formula>AE8="WARNING"</formula>
    </cfRule>
    <cfRule type="expression" dxfId="51" priority="10">
      <formula>AE8="NOT OK"</formula>
    </cfRule>
    <cfRule type="expression" dxfId="50" priority="11">
      <formula>AE8="OK"</formula>
    </cfRule>
  </conditionalFormatting>
  <conditionalFormatting sqref="AF8:AG8">
    <cfRule type="expression" dxfId="49" priority="19">
      <formula>AF8="NOT OK"</formula>
    </cfRule>
    <cfRule type="expression" dxfId="48" priority="20">
      <formula>AF8="OK"</formula>
    </cfRule>
  </conditionalFormatting>
  <conditionalFormatting sqref="AF10:AG21">
    <cfRule type="expression" dxfId="47" priority="21">
      <formula>AF10="NOT OK"</formula>
    </cfRule>
    <cfRule type="expression" dxfId="46" priority="22">
      <formula>AF10="OK"</formula>
    </cfRule>
  </conditionalFormatting>
  <conditionalFormatting sqref="AH8:AH21">
    <cfRule type="expression" dxfId="45" priority="6">
      <formula>AH8="WARNING"</formula>
    </cfRule>
    <cfRule type="expression" dxfId="44" priority="7">
      <formula>AH8="NOT OK"</formula>
    </cfRule>
    <cfRule type="expression" dxfId="43" priority="8">
      <formula>AH8="OK"</formula>
    </cfRule>
  </conditionalFormatting>
  <conditionalFormatting sqref="AJ8 AJ10:AJ21">
    <cfRule type="expression" dxfId="42" priority="41">
      <formula>AJ8="NOT OK"</formula>
    </cfRule>
    <cfRule type="expression" dxfId="41" priority="42">
      <formula>AJ8="OK"</formula>
    </cfRule>
  </conditionalFormatting>
  <dataValidations count="6">
    <dataValidation type="custom" operator="notEqual" showInputMessage="1" showErrorMessage="1" error="Value should be a number." sqref="V8 V10:V21" xr:uid="{00000000-0002-0000-0400-000000000000}">
      <formula1>ISNUMBER(V8)</formula1>
    </dataValidation>
    <dataValidation type="decimal" allowBlank="1" showInputMessage="1" showErrorMessage="1" error="Only values between 0 and 1 are allowed" sqref="W10:W21 W8" xr:uid="{00000000-0002-0000-0400-000001000000}">
      <formula1>0</formula1>
      <formula2>1</formula2>
    </dataValidation>
    <dataValidation type="decimal" operator="greaterThanOrEqual" showInputMessage="1" showErrorMessage="1" error="Value should be a positive number." sqref="G8:H8 G10:H21" xr:uid="{00000000-0002-0000-0400-000002000000}">
      <formula1>0</formula1>
    </dataValidation>
    <dataValidation type="whole" operator="greaterThanOrEqual" allowBlank="1" showInputMessage="1" showErrorMessage="1" error="Value should be a non-negative integer" sqref="I8:T8 E8 I10:T21 E10:F21" xr:uid="{00000000-0002-0000-0400-000003000000}">
      <formula1>0</formula1>
    </dataValidation>
    <dataValidation type="decimal" operator="greaterThanOrEqual" allowBlank="1" showInputMessage="1" showErrorMessage="1" error="Value should be a non-negative integer" sqref="F8" xr:uid="{00000000-0002-0000-0400-000004000000}">
      <formula1>0</formula1>
    </dataValidation>
    <dataValidation type="decimal" operator="greaterThanOrEqual" allowBlank="1" showInputMessage="1" showErrorMessage="1" error="Value should be non-negative" sqref="U8 U10:U21" xr:uid="{00000000-0002-0000-0400-000005000000}">
      <formula1>0</formula1>
    </dataValidation>
  </dataValidations>
  <hyperlinks>
    <hyperlink ref="C8" location="Portfolio" display="Portfolio" xr:uid="{00000000-0004-0000-0400-000000000000}"/>
    <hyperlink ref="B2:V2" location="Back_testing_LGD" display="LGD 02.00 - BACK-TESTING LGD (more than 20 facility grades or pools (including continuous LGD models)) (LGD BT CM)" xr:uid="{00000000-0004-0000-0400-000001000000}"/>
    <hyperlink ref="C10" location="Facility_grade___pool" display="Facility grade / pool 1" xr:uid="{00000000-0004-0000-0400-000002000000}"/>
    <hyperlink ref="E4:E6" location="Number_facilities__backtesting" display="Number of facilities (back-testing)" xr:uid="{00000000-0004-0000-0400-000003000000}"/>
  </hyperlinks>
  <printOptions horizontalCentered="1"/>
  <pageMargins left="0.23622047244094491" right="0.23622047244094491" top="0.74803149606299213" bottom="0.74803149606299213" header="0.31496062992125984" footer="0.31496062992125984"/>
  <pageSetup paperSize="9" scale="49" orientation="landscape" r:id="rId1"/>
  <headerFooter>
    <oddFooter>&amp;A</oddFooter>
  </headerFooter>
  <ignoredErrors>
    <ignoredError sqref="B8:B21 D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CH59"/>
  <sheetViews>
    <sheetView showGridLines="0" zoomScaleNormal="100" workbookViewId="0"/>
  </sheetViews>
  <sheetFormatPr defaultColWidth="0" defaultRowHeight="14.5" zeroHeight="1" x14ac:dyDescent="0.35"/>
  <cols>
    <col min="1" max="1" width="5.6328125" style="4" customWidth="1"/>
    <col min="2" max="2" width="7.36328125" style="4" customWidth="1"/>
    <col min="3" max="3" width="21.54296875" style="4" customWidth="1"/>
    <col min="4" max="5" width="17.90625" style="4" customWidth="1"/>
    <col min="6" max="6" width="22.08984375" style="4" customWidth="1"/>
    <col min="7" max="8" width="17.90625" style="4" customWidth="1"/>
    <col min="9" max="29" width="10.6328125" style="4" customWidth="1"/>
    <col min="30" max="32" width="14.453125" style="4" customWidth="1"/>
    <col min="33" max="33" width="5.90625" style="4" customWidth="1"/>
    <col min="34" max="34" width="11.453125" style="4" customWidth="1"/>
    <col min="35" max="35" width="90.08984375" style="4" customWidth="1"/>
    <col min="36" max="36" width="16.54296875" style="4" customWidth="1"/>
    <col min="37" max="37" width="21.36328125" style="4" customWidth="1"/>
    <col min="38" max="38" width="22.08984375" style="4" customWidth="1"/>
    <col min="39" max="39" width="11.6328125" style="4" bestFit="1" customWidth="1"/>
    <col min="40" max="40" width="10.54296875" style="4" bestFit="1" customWidth="1"/>
    <col min="41" max="41" width="17" style="4" bestFit="1" customWidth="1"/>
    <col min="42" max="42" width="11.08984375" style="4" customWidth="1"/>
    <col min="43" max="43" width="11.453125" style="4" bestFit="1" customWidth="1"/>
    <col min="44" max="44" width="14.36328125" style="4" bestFit="1" customWidth="1"/>
    <col min="45" max="45" width="16.453125" style="4" bestFit="1" customWidth="1"/>
    <col min="46" max="46" width="16.453125" style="4" customWidth="1"/>
    <col min="47" max="49" width="12.08984375" style="4" hidden="1" customWidth="1"/>
    <col min="50" max="51" width="5.6328125" style="4" customWidth="1"/>
    <col min="52" max="52" width="8.90625" style="4" customWidth="1"/>
    <col min="53" max="53" width="16.6328125" style="4" customWidth="1"/>
    <col min="54" max="55" width="5.6328125" style="4" customWidth="1"/>
    <col min="56" max="78" width="8.90625" style="4" customWidth="1"/>
    <col min="79" max="79" width="5.6328125" style="4" customWidth="1"/>
    <col min="80" max="82" width="8.90625" style="4" hidden="1" customWidth="1"/>
    <col min="83" max="83" width="12" style="4" hidden="1" customWidth="1"/>
    <col min="84" max="16384" width="8.90625" style="4" hidden="1"/>
  </cols>
  <sheetData>
    <row r="1" spans="1:86" ht="12.75" customHeight="1" thickBot="1" x14ac:dyDescent="0.4">
      <c r="A1" s="45"/>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row>
    <row r="2" spans="1:86" ht="13.5" customHeight="1" thickBot="1" x14ac:dyDescent="0.4">
      <c r="A2" s="45"/>
      <c r="B2" s="635" t="s">
        <v>319</v>
      </c>
      <c r="C2" s="636"/>
      <c r="D2" s="636"/>
      <c r="E2" s="636"/>
      <c r="F2" s="636"/>
      <c r="G2" s="636"/>
      <c r="H2" s="636"/>
      <c r="I2" s="636"/>
      <c r="J2" s="636"/>
      <c r="K2" s="636"/>
      <c r="L2" s="636"/>
      <c r="M2" s="636"/>
      <c r="N2" s="636"/>
      <c r="O2" s="636"/>
      <c r="P2" s="636"/>
      <c r="Q2" s="636"/>
      <c r="R2" s="636"/>
      <c r="S2" s="636"/>
      <c r="T2" s="636"/>
      <c r="U2" s="636"/>
      <c r="V2" s="636"/>
      <c r="W2" s="636"/>
      <c r="X2" s="636"/>
      <c r="Y2" s="636"/>
      <c r="Z2" s="636"/>
      <c r="AA2" s="636"/>
      <c r="AB2" s="636"/>
      <c r="AC2" s="636"/>
      <c r="AD2" s="636"/>
      <c r="AE2" s="636"/>
      <c r="AF2" s="67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row>
    <row r="3" spans="1:86" ht="12.75" customHeight="1" thickBot="1" x14ac:dyDescent="0.4">
      <c r="A3" s="45"/>
      <c r="B3" s="676" t="str">
        <f>IF('1.2'!D11="Continous Model","You choose to submit a continuous model [see tab 1.2]. Leave this tab blank.","")</f>
        <v/>
      </c>
      <c r="C3" s="676"/>
      <c r="D3" s="676"/>
      <c r="E3" s="676"/>
      <c r="F3" s="676"/>
      <c r="G3" s="677"/>
      <c r="H3" s="677"/>
      <c r="I3" s="677"/>
      <c r="J3" s="677"/>
      <c r="K3" s="677"/>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row>
    <row r="4" spans="1:86" ht="22.25" customHeight="1" thickBot="1" x14ac:dyDescent="0.4">
      <c r="A4" s="45"/>
      <c r="B4" s="602"/>
      <c r="C4" s="608"/>
      <c r="D4" s="670" t="s">
        <v>60</v>
      </c>
      <c r="E4" s="599" t="s">
        <v>232</v>
      </c>
      <c r="F4" s="652" t="s">
        <v>292</v>
      </c>
      <c r="G4" s="652" t="s">
        <v>289</v>
      </c>
      <c r="H4" s="695" t="s">
        <v>290</v>
      </c>
      <c r="I4" s="651" t="s">
        <v>208</v>
      </c>
      <c r="J4" s="652"/>
      <c r="K4" s="652"/>
      <c r="L4" s="652"/>
      <c r="M4" s="652"/>
      <c r="N4" s="652"/>
      <c r="O4" s="652"/>
      <c r="P4" s="652"/>
      <c r="Q4" s="652"/>
      <c r="R4" s="652"/>
      <c r="S4" s="652"/>
      <c r="T4" s="652"/>
      <c r="U4" s="652"/>
      <c r="V4" s="652"/>
      <c r="W4" s="652"/>
      <c r="X4" s="652"/>
      <c r="Y4" s="652"/>
      <c r="Z4" s="652"/>
      <c r="AA4" s="652"/>
      <c r="AB4" s="652"/>
      <c r="AC4" s="653"/>
      <c r="AD4" s="657" t="s">
        <v>231</v>
      </c>
      <c r="AE4" s="652"/>
      <c r="AF4" s="695"/>
      <c r="AG4" s="45"/>
      <c r="AH4" s="594" t="s">
        <v>211</v>
      </c>
      <c r="AI4" s="640"/>
      <c r="AJ4" s="640"/>
      <c r="AK4" s="640"/>
      <c r="AL4" s="640"/>
      <c r="AM4" s="640"/>
      <c r="AN4" s="640"/>
      <c r="AO4" s="640"/>
      <c r="AP4" s="640"/>
      <c r="AQ4" s="640"/>
      <c r="AR4" s="640"/>
      <c r="AS4" s="640"/>
      <c r="AT4" s="595"/>
      <c r="AU4" s="183"/>
      <c r="AV4" s="183"/>
      <c r="AW4" s="184"/>
      <c r="AX4" s="45"/>
      <c r="AY4" s="45"/>
      <c r="AZ4" s="594" t="s">
        <v>205</v>
      </c>
      <c r="BA4" s="640"/>
      <c r="BB4" s="640"/>
      <c r="BC4" s="640"/>
      <c r="BD4" s="640"/>
      <c r="BE4" s="640"/>
      <c r="BF4" s="640"/>
      <c r="BG4" s="640"/>
      <c r="BH4" s="640"/>
      <c r="BI4" s="640"/>
      <c r="BJ4" s="640"/>
      <c r="BK4" s="640"/>
      <c r="BL4" s="640"/>
      <c r="BM4" s="640"/>
      <c r="BN4" s="640"/>
      <c r="BO4" s="640"/>
      <c r="BP4" s="640"/>
      <c r="BQ4" s="686"/>
      <c r="BR4" s="686"/>
      <c r="BS4" s="686"/>
      <c r="BT4" s="686"/>
      <c r="BU4" s="686"/>
      <c r="BV4" s="686"/>
      <c r="BW4" s="686"/>
      <c r="BX4" s="686"/>
      <c r="BY4" s="686"/>
      <c r="BZ4" s="687"/>
      <c r="CA4" s="45"/>
    </row>
    <row r="5" spans="1:86" ht="31.25" customHeight="1" thickBot="1" x14ac:dyDescent="0.4">
      <c r="A5" s="45"/>
      <c r="B5" s="690"/>
      <c r="C5" s="609"/>
      <c r="D5" s="693"/>
      <c r="E5" s="694"/>
      <c r="F5" s="655"/>
      <c r="G5" s="655"/>
      <c r="H5" s="660"/>
      <c r="I5" s="132" t="str">
        <f>IF(G9&lt;&gt;"",CONCATENATE("[0",", ",ROUND(G9,3),"]"),"" )</f>
        <v/>
      </c>
      <c r="J5" s="133" t="str">
        <f>IF(G10&lt;&gt;"",CONCATENATE("(",ROUND(G9,3),", ",ROUND(G10,3),"]"),IF(G9&lt;&gt;"",CONCATENATE("(",ROUND(G9,3),", ∞","]"),"" ))</f>
        <v/>
      </c>
      <c r="K5" s="133" t="str">
        <f>IF(G11&lt;&gt;"",CONCATENATE("(",ROUND(G10,3),", ",ROUND(G11,3),"]"),IF(G10&lt;&gt;"",CONCATENATE("(",ROUND(G10,3),", ∞","]"),"" ))</f>
        <v/>
      </c>
      <c r="L5" s="133" t="str">
        <f>IF(G12&lt;&gt;"",CONCATENATE("(",ROUND(G11,3),", ",ROUND(G12,3),"]"),IF(G11&lt;&gt;"",CONCATENATE("(",ROUND(G11,3),", ∞","]"),"" ))</f>
        <v/>
      </c>
      <c r="M5" s="133" t="str">
        <f>IF(G13&lt;&gt;"",CONCATENATE("(",ROUND(G12,3),", ",ROUND(G13,3),"]"),IF(G12&lt;&gt;"",CONCATENATE("(",ROUND(G12,3),", ∞","]"),"" ))</f>
        <v/>
      </c>
      <c r="N5" s="133" t="str">
        <f>IF(G14&lt;&gt;"",CONCATENATE("(",ROUND(G13,3),", ",ROUND(G14,3),"]"),IF(G13&lt;&gt;"",CONCATENATE("(",ROUND(G13,3),", ∞","]"),"" ))</f>
        <v/>
      </c>
      <c r="O5" s="133" t="str">
        <f>IF(G15&lt;&gt;"",CONCATENATE("(",ROUND(G14,3),", ",ROUND(G15,3),"]"),IF(G14&lt;&gt;"",CONCATENATE("(",ROUND(G14,3),", ∞","]"),"" ))</f>
        <v/>
      </c>
      <c r="P5" s="133" t="str">
        <f>IF(G16&lt;&gt;"",CONCATENATE("",ROUND(G15,3),", ",ROUND(G16,3),"]"),IF(G15&lt;&gt;"",CONCATENATE("(",ROUND(G15,3),", ∞","]"),"" ))</f>
        <v/>
      </c>
      <c r="Q5" s="133" t="str">
        <f>IF(G17&lt;&gt;"",CONCATENATE("(",ROUND(G16,3),", ",ROUND(G17,3),"]"),IF(G16&lt;&gt;"",CONCATENATE("(",ROUND(G16,3),", ∞","]"),"" ))</f>
        <v/>
      </c>
      <c r="R5" s="133" t="str">
        <f>IF(G18&lt;&gt;"",CONCATENATE("(",ROUND(G17,3),", ",ROUND(G18,3),"]"),IF(G17&lt;&gt;"",CONCATENATE("(",ROUND(G17,3),", ∞","]"),"" ))</f>
        <v/>
      </c>
      <c r="S5" s="133" t="str">
        <f>IF(G19&lt;&gt;"",CONCATENATE("(",ROUND(G18,3),", ",ROUND(G19,3),"]"),IF(G18&lt;&gt;"",CONCATENATE("(",ROUND(G18,3),", ∞","]"),"" ))</f>
        <v/>
      </c>
      <c r="T5" s="133" t="str">
        <f>IF(G20&lt;&gt;"",CONCATENATE("(",ROUND(G19,3),", ",ROUND(G20,3),"]"),IF(G19&lt;&gt;"",CONCATENATE("(",ROUND(G19,3),", ∞","]"),"" ))</f>
        <v/>
      </c>
      <c r="U5" s="133" t="str">
        <f>IF(G21&lt;&gt;"",CONCATENATE("(",ROUND(G20,3),", ",ROUND(G21,3),"]"),IF(G20&lt;&gt;"",CONCATENATE("(",ROUND(G20,3),", ∞","]"),"" ))</f>
        <v/>
      </c>
      <c r="V5" s="133" t="str">
        <f>IF(G22&lt;&gt;"",CONCATENATE("(",ROUND(G21,3),", ",ROUND(G22,3),"]"),IF(G21&lt;&gt;"",CONCATENATE("(",ROUND(G21,3),", ∞","]"),"" ))</f>
        <v/>
      </c>
      <c r="W5" s="133" t="str">
        <f>IF(G23&lt;&gt;"",CONCATENATE("(",ROUND(G22,3),", ",ROUND(G23,3),"]"),IF(G22&lt;&gt;"",CONCATENATE("(",ROUND(G22,3),", ∞","]"),"" ))</f>
        <v/>
      </c>
      <c r="X5" s="133" t="str">
        <f>IF(G24&lt;&gt;"",CONCATENATE("(",ROUND(G23,3),", ",ROUND(G24,3),"]"),IF(G23&lt;&gt;"",CONCATENATE("(",ROUND(G24,3),", ∞","]"),"" ))</f>
        <v/>
      </c>
      <c r="Y5" s="133" t="str">
        <f>IF(G25&lt;&gt;"",CONCATENATE("(",ROUND(G24,3),", ",ROUND(G25,3),"]"),IF(G24&lt;&gt;"",CONCATENATE("(",ROUND(G24,3),", ∞","]"),"" ))</f>
        <v/>
      </c>
      <c r="Z5" s="133" t="str">
        <f>IF(G26&lt;&gt;"",CONCATENATE("(",ROUND(G25,3),", ",ROUND(G26,3),"]"),IF(G25&lt;&gt;"",CONCATENATE("(",ROUND(G25,3),", ∞","]"),"" ))</f>
        <v/>
      </c>
      <c r="AA5" s="133" t="str">
        <f>IF(G27&lt;&gt;"",CONCATENATE("(",ROUND(G26,3),", ",ROUND(G27,3),"]"),IF(G26&lt;&gt;"",CONCATENATE("(",ROUND(G26,3),", ∞","]"),"" ))</f>
        <v/>
      </c>
      <c r="AB5" s="133" t="str">
        <f>IF(G28&lt;&gt;"",CONCATENATE("(",ROUND(G27,3),", ",ROUND(G28,3),"]"),IF(G27&lt;&gt;"",CONCATENATE("(",ROUND(G27,3),", ∞","]"),"" ))</f>
        <v/>
      </c>
      <c r="AC5" s="134" t="str">
        <f>IF(G29&lt;&gt;"",CONCATENATE("(",ROUND(G28,3),", ",ROUND(G29,3),"]"),IF(G28&lt;&gt;"",CONCATENATE("(",ROUND(G28,3),", ∞","]"),"" ))</f>
        <v/>
      </c>
      <c r="AD5" s="341" t="s">
        <v>24</v>
      </c>
      <c r="AE5" s="133" t="s">
        <v>209</v>
      </c>
      <c r="AF5" s="411" t="s">
        <v>210</v>
      </c>
      <c r="AG5" s="45"/>
      <c r="AH5" s="698" t="s">
        <v>80</v>
      </c>
      <c r="AI5" s="700" t="s">
        <v>81</v>
      </c>
      <c r="AJ5" s="702" t="s">
        <v>233</v>
      </c>
      <c r="AK5" s="702" t="s">
        <v>188</v>
      </c>
      <c r="AL5" s="704" t="s">
        <v>189</v>
      </c>
      <c r="AM5" s="643" t="s">
        <v>212</v>
      </c>
      <c r="AN5" s="678"/>
      <c r="AO5" s="679"/>
      <c r="AP5" s="646" t="s">
        <v>213</v>
      </c>
      <c r="AQ5" s="680"/>
      <c r="AR5" s="681"/>
      <c r="AS5" s="684" t="s">
        <v>214</v>
      </c>
      <c r="AT5" s="682" t="s">
        <v>214</v>
      </c>
      <c r="AU5" s="684" t="s">
        <v>133</v>
      </c>
      <c r="AV5" s="702" t="s">
        <v>134</v>
      </c>
      <c r="AW5" s="707" t="s">
        <v>83</v>
      </c>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row>
    <row r="6" spans="1:86" ht="15" thickBot="1" x14ac:dyDescent="0.4">
      <c r="A6" s="45"/>
      <c r="B6" s="691"/>
      <c r="C6" s="692"/>
      <c r="D6" s="120" t="s">
        <v>1</v>
      </c>
      <c r="E6" s="107" t="s">
        <v>2</v>
      </c>
      <c r="F6" s="107" t="s">
        <v>3</v>
      </c>
      <c r="G6" s="107" t="s">
        <v>4</v>
      </c>
      <c r="H6" s="24" t="s">
        <v>5</v>
      </c>
      <c r="I6" s="105" t="s">
        <v>6</v>
      </c>
      <c r="J6" s="107" t="s">
        <v>35</v>
      </c>
      <c r="K6" s="107" t="s">
        <v>36</v>
      </c>
      <c r="L6" s="107" t="s">
        <v>37</v>
      </c>
      <c r="M6" s="107" t="s">
        <v>7</v>
      </c>
      <c r="N6" s="107" t="s">
        <v>78</v>
      </c>
      <c r="O6" s="107" t="s">
        <v>79</v>
      </c>
      <c r="P6" s="107" t="s">
        <v>95</v>
      </c>
      <c r="Q6" s="107" t="s">
        <v>96</v>
      </c>
      <c r="R6" s="107" t="s">
        <v>97</v>
      </c>
      <c r="S6" s="107" t="s">
        <v>98</v>
      </c>
      <c r="T6" s="107" t="s">
        <v>99</v>
      </c>
      <c r="U6" s="107" t="s">
        <v>100</v>
      </c>
      <c r="V6" s="107" t="s">
        <v>101</v>
      </c>
      <c r="W6" s="107" t="s">
        <v>102</v>
      </c>
      <c r="X6" s="107" t="s">
        <v>12</v>
      </c>
      <c r="Y6" s="107" t="s">
        <v>58</v>
      </c>
      <c r="Z6" s="107" t="s">
        <v>159</v>
      </c>
      <c r="AA6" s="107" t="s">
        <v>160</v>
      </c>
      <c r="AB6" s="107" t="s">
        <v>161</v>
      </c>
      <c r="AC6" s="412" t="s">
        <v>162</v>
      </c>
      <c r="AD6" s="120" t="s">
        <v>163</v>
      </c>
      <c r="AE6" s="107" t="s">
        <v>164</v>
      </c>
      <c r="AF6" s="24" t="s">
        <v>226</v>
      </c>
      <c r="AG6" s="45"/>
      <c r="AH6" s="699"/>
      <c r="AI6" s="701"/>
      <c r="AJ6" s="703"/>
      <c r="AK6" s="703"/>
      <c r="AL6" s="705"/>
      <c r="AM6" s="512" t="s">
        <v>131</v>
      </c>
      <c r="AN6" s="117" t="s">
        <v>132</v>
      </c>
      <c r="AO6" s="513" t="s">
        <v>345</v>
      </c>
      <c r="AP6" s="512" t="s">
        <v>139</v>
      </c>
      <c r="AQ6" s="117" t="s">
        <v>140</v>
      </c>
      <c r="AR6" s="513" t="s">
        <v>141</v>
      </c>
      <c r="AS6" s="685"/>
      <c r="AT6" s="683"/>
      <c r="AU6" s="706"/>
      <c r="AV6" s="703"/>
      <c r="AW6" s="708"/>
      <c r="AX6" s="45"/>
      <c r="AY6" s="45"/>
      <c r="AZ6" s="688" t="s">
        <v>84</v>
      </c>
      <c r="BA6" s="689"/>
      <c r="BB6" s="45"/>
      <c r="BC6" s="45"/>
      <c r="BD6" s="594" t="s">
        <v>207</v>
      </c>
      <c r="BE6" s="640"/>
      <c r="BF6" s="640"/>
      <c r="BG6" s="640"/>
      <c r="BH6" s="640"/>
      <c r="BI6" s="640"/>
      <c r="BJ6" s="640"/>
      <c r="BK6" s="640"/>
      <c r="BL6" s="640"/>
      <c r="BM6" s="640"/>
      <c r="BN6" s="640"/>
      <c r="BO6" s="640"/>
      <c r="BP6" s="640"/>
      <c r="BQ6" s="640"/>
      <c r="BR6" s="640"/>
      <c r="BS6" s="640"/>
      <c r="BT6" s="640"/>
      <c r="BU6" s="640"/>
      <c r="BV6" s="640"/>
      <c r="BW6" s="640"/>
      <c r="BX6" s="640"/>
      <c r="BY6" s="640"/>
      <c r="BZ6" s="595"/>
      <c r="CA6" s="45"/>
    </row>
    <row r="7" spans="1:86" x14ac:dyDescent="0.35">
      <c r="A7" s="45"/>
      <c r="B7" s="413" t="s">
        <v>7</v>
      </c>
      <c r="C7" s="414" t="s">
        <v>10</v>
      </c>
      <c r="D7" s="415"/>
      <c r="E7" s="112"/>
      <c r="F7" s="177"/>
      <c r="G7" s="177"/>
      <c r="H7" s="178"/>
      <c r="I7" s="113"/>
      <c r="J7" s="112"/>
      <c r="K7" s="112"/>
      <c r="L7" s="112"/>
      <c r="M7" s="112"/>
      <c r="N7" s="112"/>
      <c r="O7" s="112"/>
      <c r="P7" s="112"/>
      <c r="Q7" s="112"/>
      <c r="R7" s="112"/>
      <c r="S7" s="112"/>
      <c r="T7" s="112"/>
      <c r="U7" s="112"/>
      <c r="V7" s="112"/>
      <c r="W7" s="112"/>
      <c r="X7" s="112"/>
      <c r="Y7" s="112"/>
      <c r="Z7" s="112"/>
      <c r="AA7" s="112"/>
      <c r="AB7" s="112"/>
      <c r="AC7" s="114"/>
      <c r="AD7" s="181"/>
      <c r="AE7" s="177"/>
      <c r="AF7" s="178"/>
      <c r="AG7" s="45"/>
      <c r="AH7" s="264" t="str">
        <f>IF(COUNTA(D7:AF7)=0,"",IF(OR('2.1'!AJ7="NOT OK",AK7="NOT OK",AL7="NOT OK",AT7="NOT OK",ISNUMBER(SEARCH("is not a weighted average of the segment values",AI7))),"NOT OK",IF(OR(AO7="WARNING",AR7="WARNING"),"WARNING","OK")))</f>
        <v/>
      </c>
      <c r="AI7" s="277" t="str">
        <f>IF(COUNTA(D7:AF7)=0,"",
IF('2.1'!AJ7="NOT OK","Row incomplete. Check if zeros values are missing in the row.",IF(AK7="NOT OK","The number of facilities in buckets does not sum up to the total number.",IF(AT7="NOT OK","The p-value of t-Test differs from ECB calculation.",IF(ABS(SUMPRODUCT(E9:E28,G9:G28)/E7-G7)&gt;0.00001,"Cell G7 is not a weighted average of the segment values.[ECB calculation: "&amp;ROUND(SUMPRODUCT(E9:E28,G9:G28)/E7,6)&amp;"]",IF(ABS(SUMPRODUCT(E9:E28,H9:H28)/E7-H7)&gt;0.00001,"Cell H7 is not a weighted average of the segment values.[ECB calculation: "&amp;ROUND(SUMPRODUCT(E9:E28,H9:H28)/E7,6)&amp;"]",IF(AO7="WARNING","The average LGD^R seems implausible with the given LGD realisation.",IF(AR7="WARNING","The variance of the LGD seems implausible with the given realisation.",IF(SUM(I9:I28)&lt;&gt;I7,"Cell I7 is not the sum of the segment values.[ECB calculation: "&amp;SUM(I9:I28)&amp;"]",IF(SUM(J9:J28)&lt;&gt;J7,"Cell J7 is not the sum of the segment values.[ECB calculation: "&amp;SUM(J9:J28)&amp;"]",IF(SUM(K9:K28)&lt;&gt;K7,"Cell K7 is not the sum of the segment values.[ECB calculation: "&amp;SUM(K9:K28)&amp;"]",IF(SUM(L9:L28)&lt;&gt;L7,"Cell L7 is not the sum of the segment values.[ECB calculation: "&amp;SUM(L9:L28)&amp;"]",IF(SUM(M9:M28)&lt;&gt;M7,"Cell M7 is not the sum of the segment values.[ECB calculation: "&amp;SUM(M9:M28)&amp;"]",IF(SUM(N9:N28)&lt;&gt;N7,"Cell N7 is not the sum of the segment values.[ECB calculation: "&amp;SUM(N9:N28)&amp;"]",IF(SUM(O9:O28)&lt;&gt;O7,"Cell O7 is not the sum of the segment values.[ECB calculation: "&amp;SUM(O9:O28)&amp;"]",IF(SUM(P9:P28)&lt;&gt;P7,"Cell P7 is not the sum of the segment values.[ECB calculation: "&amp;SUM(P9:P28)&amp;"]",IF(SUM(Q9:Q28)&lt;&gt;Q7,"Cell Q7 is not the sum of the segment values.[ECB calculation: "&amp;SUM(Q9:Q28)&amp;"]",IF(SUM(R9:R28)&lt;&gt;R7,"Cell R7 is not the sum of the segment values.[ECB calculation: "&amp;SUM(R9:R28)&amp;"]",IF(SUM(S9:S28)&lt;&gt;S7,"Cell S7 is not the sum of the segment values.[ECB calculation: "&amp;SUM(S9:S28)&amp;"]",IF(SUM(T9:T28)&lt;&gt;T7,"Cell T7 is not the sum of the segment values.[ECB calculation: "&amp;SUM(T9:T28)&amp;"]",IF(SUM(U9:U28)&lt;&gt;U7,"Cell U7 is not the sum of the segment values.[ECB calculation: "&amp;SUM(U9:U28)&amp;"]",IF(SUM(V9:V28)&lt;&gt;V7,"Cell V7 is not the sum of the segment values.[ECB calculation: "&amp;SUM(V9:V28)&amp;"]",IF(SUM(W9:W28)&lt;&gt;W7,"Cell W7 is not the sum of the segment values.[ECB calculation: "&amp;SUM(W9:W28)&amp;"]",IF(SUM(X9:X28)&lt;&gt;X7,"Cell X7 is not the sum of the segment values.[ECB calculation: "&amp;SUM(X9:X28)&amp;"]",IF(SUM(Y9:Y28)&lt;&gt;Y7,"Cell Y7 is not the sum of the segment values.[ECB calculation: "&amp;SUM(Y9:Y28)&amp;"]",IF(SUM(Z9:Z28)&lt;&gt;Z7,"Cell Z7 is not the sum of the segment values.[ECB calculation: "&amp;SUM(Z9:Z28)&amp;"]",IF(SUM(AA9:AA28)&lt;&gt;AA7,"Cell AA7 is not the sum of the segment values.[ECB calculation: "&amp;SUM(AA9:AA28)&amp;"]",IF(SUM(AB9:AB28)&lt;&gt;AB7,"Cell AB7 is not the sum of the segment values.[ECB calculation: "&amp;SUM(AB9:AB28)&amp;"]",IF(SUM(AC9:AC28)&lt;&gt;AC7,"Cell AC7 is not the sum of the segment values.[ECB calculation: "&amp;SUM(AC9:AC28)&amp;"]",IF(F7&gt;G7,"Cell F8 should be smaller or equal to Cell G8.",""))))))))))))))))))))))))))))))</f>
        <v/>
      </c>
      <c r="AJ7" s="263" t="str">
        <f>IF(COUNTA(E7:AF7)=0,"",IF('2.1'!F7&lt;&gt;"",IF(COUNTA(E7:AF7)=COUNTA($D$9:$D$28)+7+1,"OK",IF(AND(E7=1,COUNTA(E7:AF7)=COUNTA($D$9:$D$28)+4+1),"OK","NOT OK")),IF(COUNTA(E7:AF7)=COUNTA($D$9:$D$28)+7,"OK",IF(AND(E7=1,COUNTA(E7:AF7)=COUNTA($D$9:$D$28)+4+1),"OK","NOT OK"))))</f>
        <v/>
      </c>
      <c r="AK7" s="263" t="str">
        <f>IF(COUNTA(E7:AC7)=0,"",IF(AND('2.1'!E7=SUM(I7:AC7),E7=SUM(E9:E28)),"OK","NOT OK"))</f>
        <v/>
      </c>
      <c r="AL7" s="505"/>
      <c r="AM7" s="514" t="str">
        <f t="array" ref="AM7">IFERROR(SUM(I7:AC7*TRANSPOSE($AU$8:$AU$28))/SUM(I7:AC7),"")</f>
        <v/>
      </c>
      <c r="AN7" s="269" t="str">
        <f t="array" ref="AN7">IFERROR(SUM(I7:AC7*TRANSPOSE($AV$8:$AV$28))/SUM(I7:AC7),"")</f>
        <v/>
      </c>
      <c r="AO7" s="274" t="str">
        <f>IF(COUNTA(D7:AF7)=0,"",IFERROR(IF(AND('2.1'!H7&gt;=AM7,H7&lt;=AN7),"OK","WARNING"),""))</f>
        <v/>
      </c>
      <c r="AP7" s="514" t="str">
        <f>IF(COUNTA(D7:AF7)=0,"",IFERROR('2.1'!BG37,""))</f>
        <v/>
      </c>
      <c r="AQ7" s="269" t="str">
        <f>IF(COUNTA(D7:AF7)=0,"",IFERROR('2.1'!BF37,""))</f>
        <v/>
      </c>
      <c r="AR7" s="274" t="str">
        <f>IF(COUNTA(D7:AF7)=0,"",IFERROR(IF(AND('2.1'!AD7&gt;=AP7,AD7&lt;=AQ7),"OK","WARNING"),""))</f>
        <v/>
      </c>
      <c r="AS7" s="509" t="str">
        <f>IFERROR(IF(COUNTA(D7:AF7)=0,"",1-_xlfn.T.DIST(SQRT(E7)*(H7-G7)/SQRT('2.1'!AD7),E7-1,TRUE)),"")</f>
        <v/>
      </c>
      <c r="AT7" s="274" t="str">
        <f>IFERROR(IF(COUNTA(D7:AF7)=0,"",IF(ABS(AF7-'2.1'!AS7)&gt;0.00001,"NOT OK","OK")),"")</f>
        <v/>
      </c>
      <c r="AU7" s="214"/>
      <c r="AV7" s="215"/>
      <c r="AW7" s="216"/>
      <c r="AX7" s="45"/>
      <c r="AY7" s="45"/>
      <c r="AZ7" s="118" t="s">
        <v>8</v>
      </c>
      <c r="BA7" s="232">
        <f>SUM(I9:AC28)</f>
        <v>0</v>
      </c>
      <c r="BB7" s="45"/>
      <c r="BC7" s="45"/>
      <c r="BD7" s="646" t="s">
        <v>8</v>
      </c>
      <c r="BE7" s="628" t="s">
        <v>85</v>
      </c>
      <c r="BF7" s="631"/>
      <c r="BG7" s="631"/>
      <c r="BH7" s="631"/>
      <c r="BI7" s="631"/>
      <c r="BJ7" s="631"/>
      <c r="BK7" s="631"/>
      <c r="BL7" s="631"/>
      <c r="BM7" s="631"/>
      <c r="BN7" s="631"/>
      <c r="BO7" s="631"/>
      <c r="BP7" s="631"/>
      <c r="BQ7" s="631"/>
      <c r="BR7" s="631"/>
      <c r="BS7" s="631"/>
      <c r="BT7" s="631"/>
      <c r="BU7" s="631"/>
      <c r="BV7" s="631"/>
      <c r="BW7" s="631"/>
      <c r="BX7" s="631"/>
      <c r="BY7" s="631"/>
      <c r="BZ7" s="632"/>
      <c r="CA7" s="45"/>
    </row>
    <row r="8" spans="1:86" ht="15" thickBot="1" x14ac:dyDescent="0.4">
      <c r="A8" s="45"/>
      <c r="B8" s="388"/>
      <c r="C8" s="416"/>
      <c r="D8" s="417"/>
      <c r="E8" s="418"/>
      <c r="F8" s="270"/>
      <c r="G8" s="270"/>
      <c r="H8" s="419"/>
      <c r="I8" s="420"/>
      <c r="J8" s="418"/>
      <c r="K8" s="418"/>
      <c r="L8" s="418"/>
      <c r="M8" s="418"/>
      <c r="N8" s="418"/>
      <c r="O8" s="418"/>
      <c r="P8" s="418"/>
      <c r="Q8" s="418"/>
      <c r="R8" s="418"/>
      <c r="S8" s="418"/>
      <c r="T8" s="418"/>
      <c r="U8" s="418"/>
      <c r="V8" s="418"/>
      <c r="W8" s="418"/>
      <c r="X8" s="418"/>
      <c r="Y8" s="418"/>
      <c r="Z8" s="418"/>
      <c r="AA8" s="418"/>
      <c r="AB8" s="418"/>
      <c r="AC8" s="421"/>
      <c r="AD8" s="422"/>
      <c r="AE8" s="270"/>
      <c r="AF8" s="419"/>
      <c r="AG8" s="45"/>
      <c r="AH8" s="259"/>
      <c r="AI8" s="260"/>
      <c r="AJ8" s="261"/>
      <c r="AK8" s="261"/>
      <c r="AL8" s="506"/>
      <c r="AM8" s="422"/>
      <c r="AN8" s="270"/>
      <c r="AO8" s="515"/>
      <c r="AP8" s="519"/>
      <c r="AQ8" s="273"/>
      <c r="AR8" s="520"/>
      <c r="AS8" s="518"/>
      <c r="AT8" s="265"/>
      <c r="AU8" s="217">
        <v>0</v>
      </c>
      <c r="AV8" s="218">
        <f>IF('2.1'!G9&lt;&gt;"",G9,IF(G8=0,0,3))</f>
        <v>0</v>
      </c>
      <c r="AW8" s="219"/>
      <c r="AX8" s="45"/>
      <c r="AY8" s="176"/>
      <c r="AZ8" s="119" t="s">
        <v>86</v>
      </c>
      <c r="BA8" s="233">
        <f>POWER($BA$7,2)-SUMPRODUCT(BD9:BD28,BD9:BD28)</f>
        <v>0</v>
      </c>
      <c r="BB8" s="45"/>
      <c r="BC8" s="45"/>
      <c r="BD8" s="661"/>
      <c r="BE8" s="697"/>
      <c r="BF8" s="107">
        <v>1</v>
      </c>
      <c r="BG8" s="106">
        <v>2</v>
      </c>
      <c r="BH8" s="107">
        <v>3</v>
      </c>
      <c r="BI8" s="106">
        <v>4</v>
      </c>
      <c r="BJ8" s="107">
        <v>5</v>
      </c>
      <c r="BK8" s="106">
        <v>6</v>
      </c>
      <c r="BL8" s="107">
        <v>7</v>
      </c>
      <c r="BM8" s="106">
        <v>8</v>
      </c>
      <c r="BN8" s="107">
        <v>9</v>
      </c>
      <c r="BO8" s="106">
        <v>10</v>
      </c>
      <c r="BP8" s="107">
        <v>11</v>
      </c>
      <c r="BQ8" s="106">
        <v>12</v>
      </c>
      <c r="BR8" s="107">
        <v>13</v>
      </c>
      <c r="BS8" s="106">
        <v>14</v>
      </c>
      <c r="BT8" s="107">
        <v>15</v>
      </c>
      <c r="BU8" s="106">
        <v>16</v>
      </c>
      <c r="BV8" s="107">
        <v>17</v>
      </c>
      <c r="BW8" s="106">
        <v>18</v>
      </c>
      <c r="BX8" s="107">
        <v>19</v>
      </c>
      <c r="BY8" s="106">
        <v>20</v>
      </c>
      <c r="BZ8" s="24">
        <v>21</v>
      </c>
      <c r="CA8" s="45"/>
    </row>
    <row r="9" spans="1:86" x14ac:dyDescent="0.35">
      <c r="A9" s="45"/>
      <c r="B9" s="399" t="s">
        <v>14</v>
      </c>
      <c r="C9" s="423" t="s">
        <v>234</v>
      </c>
      <c r="D9" s="115"/>
      <c r="E9" s="96"/>
      <c r="F9" s="270"/>
      <c r="G9" s="266"/>
      <c r="H9" s="267"/>
      <c r="I9" s="99"/>
      <c r="J9" s="96"/>
      <c r="K9" s="96"/>
      <c r="L9" s="96"/>
      <c r="M9" s="96"/>
      <c r="N9" s="96"/>
      <c r="O9" s="96"/>
      <c r="P9" s="96"/>
      <c r="Q9" s="96"/>
      <c r="R9" s="96"/>
      <c r="S9" s="96"/>
      <c r="T9" s="96"/>
      <c r="U9" s="96"/>
      <c r="V9" s="96"/>
      <c r="W9" s="96"/>
      <c r="X9" s="96"/>
      <c r="Y9" s="96"/>
      <c r="Z9" s="96"/>
      <c r="AA9" s="96"/>
      <c r="AB9" s="96"/>
      <c r="AC9" s="100"/>
      <c r="AD9" s="268"/>
      <c r="AE9" s="266"/>
      <c r="AF9" s="267"/>
      <c r="AG9" s="45"/>
      <c r="AH9" s="259" t="str">
        <f>IF(AND(COUNTA(D9:AF9)=0,D10=""),"",IF(AND('2.1'!E9=0,COUNTA(H9:AF9)&gt;0),"NOT OK",IF(AND(COUNTA(D9:AF9)=0,D10&lt;&gt;""),"NOT OK",IF(OR(AJ9="NOT OK",AK9="NOT OK",AL9="NOT OK",AT9="NOT OK"),"NOT OK",IF(OR(AO9="WARNING",AR9="WARNING"),"WARNING","OK")))))</f>
        <v/>
      </c>
      <c r="AI9" s="276" t="str">
        <f>IF(AND(COUNTA(D9:AF9)=0,'2.1'!D10=""),"",IF(AND(E9=0,COUNTA(H9:AF9)&gt;0),"As number of facilities is zero, please leave columns H to AF empty.",IF(AND(COUNTA(D9:AF9)=0,D10&lt;&gt;""),"Empty lines between grades not allowed.",IF(AND(D9&lt;&gt;"",OR(E9="",G9="")),"Information is missing for this facility grade/pool. Please report number of facilities and average LGD estimate.",IF(AJ9="NOT OK","Row incomplete. Check if zeros values are missing in the row.",IF(AK9="NOT OK","The number of facilities in buckets does not sum up to the total number.",IF(AL9="NOT OK","Please order the pools in ascending order of the weighted average of estimated LGD.",IF(AT9="NOT OK","The p-value of t-Test differs from ECB calculation.",IF(AO9="WARNING","The average LGD^R seems implausible with the given LGD realisation.",IF(AR9="WARNING","The variance of the LGD seems implausible with the given realisation.",""))))))))))</f>
        <v/>
      </c>
      <c r="AJ9" s="262" t="str">
        <f>IF(AND(COUNTA(D9:AF9)=0,'2.1'!D10=""),"",IF(AND(D9&lt;&gt;"",OR(E9="",G9="")),"NOT OK",IF(AND(D9&lt;&gt;"",E9&lt;&gt;"",E9=0,G9&lt;&gt;""),"OK",IF(COUNTA(D9:AF9)=COUNTA($D$9:$D$28)+7+1,"OK",IF(AND(E9=1,COUNTA(D9:AF9)=COUNTA($D$9:$D$28)+4+1),"OK","NOT OK")))))</f>
        <v/>
      </c>
      <c r="AK9" s="262" t="str">
        <f>IF(OR(AND(D9&lt;&gt;"",'2.1'!E9 =0),COUNTA(D9:AF9)=0),"",IF(E9=SUM(I9:AC9),"OK","NOT OK"))</f>
        <v/>
      </c>
      <c r="AL9" s="507" t="str">
        <f>IF('2.1'!G9="","",IF(G9&lt;G8,"NOT OK", "OK"))</f>
        <v/>
      </c>
      <c r="AM9" s="516" t="str">
        <f t="array" ref="AM9">IFERROR(SUM(I9:AC9*TRANSPOSE($AU$8:$AU$28))/SUM(I9:AC9),"")</f>
        <v/>
      </c>
      <c r="AN9" s="271" t="str">
        <f t="array" ref="AN9">IFERROR(SUM(I9:AC9*TRANSPOSE($AV$8:$AV$28))/SUM(I9:AC9),"")</f>
        <v/>
      </c>
      <c r="AO9" s="275" t="str">
        <f>IF(OR(AND(D9&lt;&gt;"",'2.1'!E9 =0),COUNTA(D9:AF9)=0),"",IFERROR(IF(AND(H9&gt;=AM9,H9&lt;=AN9),"OK","WARNING"),""))</f>
        <v/>
      </c>
      <c r="AP9" s="516" t="str">
        <f>IF(COUNTA(H9:AF9)=0,"",IFERROR('2.1'!BG38,""))</f>
        <v/>
      </c>
      <c r="AQ9" s="271" t="str">
        <f>IF(COUNTA(H9:AF9)=0,"",IFERROR('2.1'!BF38,""))</f>
        <v/>
      </c>
      <c r="AR9" s="275" t="str">
        <f>IF(OR(AND(D9&lt;&gt;"",E9 =0),COUNTA(D9:AF9)=0),"",IFERROR(IF(AND('2.1'!AD9&gt;=AP9,AD9&lt;=AQ9),"OK","WARNING"),""))</f>
        <v/>
      </c>
      <c r="AS9" s="510" t="str">
        <f>IFERROR(IF(COUNTA(D9:AF9)=0,"",1-_xlfn.T.DIST(SQRT(E9)*(H9-G9)/SQRT('2.1'!AD9),E9-1,TRUE)),"")</f>
        <v/>
      </c>
      <c r="AT9" s="275" t="str">
        <f>IFERROR(IF(COUNTA(D9:AF9)=0,"",IF(ABS(AF9-'2.1'!AS9)&gt;0.00001,"NOT OK","OK")),"")</f>
        <v/>
      </c>
      <c r="AU9" s="220">
        <f>'2.1'!G9</f>
        <v>0</v>
      </c>
      <c r="AV9" s="218">
        <f>IF('2.1'!G10&lt;&gt;"",G10,IF(G9=0,0,3))</f>
        <v>0</v>
      </c>
      <c r="AW9" s="221">
        <f>IFERROR('2.1'!AV9/2+AU9/2,"")</f>
        <v>0</v>
      </c>
      <c r="AX9" s="45"/>
      <c r="AY9" s="45"/>
      <c r="AZ9" s="119" t="s">
        <v>87</v>
      </c>
      <c r="BA9" s="234">
        <f t="array" ref="BA9">SUM((BF9:BZ28)*$I$9:$AC$28)</f>
        <v>0</v>
      </c>
      <c r="BB9" s="45"/>
      <c r="BC9" s="45"/>
      <c r="BD9" s="237">
        <f>SUM('2.1'!I9:AC9)</f>
        <v>0</v>
      </c>
      <c r="BE9" s="238">
        <v>1</v>
      </c>
      <c r="BF9" s="239">
        <f t="array" ref="BF9">(SUM(($BF$8:$BZ$8&lt;BF$8)*($BE$9:$BE$28&lt;$BE9)*$I$9:$AC$28)+SUM(($BF$8:$BZ$8&gt;BF$8)*($BE$9:$BE$28&gt;$BE9)*$I$9:$AC$28)-(SUM(($BF$8:$BZ$8&gt;BF$8)*($BE$9:$BE$28&lt;$BE9)*$I$9:$AC$28)+SUM(($BF$8:$BZ$8&lt;BF$8)*($BE$9:$BE$28&gt;$BE9)*$I$9:$AC$28)))*(INDEX($I$9:$AC$28,$BE9,BF$8)&gt;0)</f>
        <v>0</v>
      </c>
      <c r="BG9" s="239">
        <f t="array" ref="BG9">(SUM(($BF$8:$BZ$8&lt;BG$8)*($BE$9:$BE$28&lt;$BE9)*$I$9:$AC$28)+SUM(($BF$8:$BZ$8&gt;BG$8)*($BE$9:$BE$28&gt;$BE9)*$I$9:$AC$28)-(SUM(($BF$8:$BZ$8&gt;BG$8)*($BE$9:$BE$28&lt;$BE9)*$I$9:$AC$28)+SUM(($BF$8:$BZ$8&lt;BG$8)*($BE$9:$BE$28&gt;$BE9)*$I$9:$AC$28)))*(INDEX($I$9:$AC$28,$BE9,BG$8)&gt;0)</f>
        <v>0</v>
      </c>
      <c r="BH9" s="239">
        <f t="array" ref="BH9">(SUM(($BF$8:$BZ$8&lt;BH$8)*($BE$9:$BE$28&lt;$BE9)*$I$9:$AC$28)+SUM(($BF$8:$BZ$8&gt;BH$8)*($BE$9:$BE$28&gt;$BE9)*$I$9:$AC$28)-(SUM(($BF$8:$BZ$8&gt;BH$8)*($BE$9:$BE$28&lt;$BE9)*$I$9:$AC$28)+SUM(($BF$8:$BZ$8&lt;BH$8)*($BE$9:$BE$28&gt;$BE9)*$I$9:$AC$28)))*(INDEX($I$9:$AC$28,$BE9,BH$8)&gt;0)</f>
        <v>0</v>
      </c>
      <c r="BI9" s="239">
        <f t="array" ref="BI9">(SUM(($BF$8:$BZ$8&lt;BI$8)*($BE$9:$BE$28&lt;$BE9)*$I$9:$AC$28)+SUM(($BF$8:$BZ$8&gt;BI$8)*($BE$9:$BE$28&gt;$BE9)*$I$9:$AC$28)-(SUM(($BF$8:$BZ$8&gt;BI$8)*($BE$9:$BE$28&lt;$BE9)*$I$9:$AC$28)+SUM(($BF$8:$BZ$8&lt;BI$8)*($BE$9:$BE$28&gt;$BE9)*$I$9:$AC$28)))*(INDEX($I$9:$AC$28,$BE9,BI$8)&gt;0)</f>
        <v>0</v>
      </c>
      <c r="BJ9" s="239">
        <f t="array" ref="BJ9">(SUM(($BF$8:$BZ$8&lt;BJ$8)*($BE$9:$BE$28&lt;$BE9)*$I$9:$AC$28)+SUM(($BF$8:$BZ$8&gt;BJ$8)*($BE$9:$BE$28&gt;$BE9)*$I$9:$AC$28)-(SUM(($BF$8:$BZ$8&gt;BJ$8)*($BE$9:$BE$28&lt;$BE9)*$I$9:$AC$28)+SUM(($BF$8:$BZ$8&lt;BJ$8)*($BE$9:$BE$28&gt;$BE9)*$I$9:$AC$28)))*(INDEX($I$9:$AC$28,$BE9,BJ$8)&gt;0)</f>
        <v>0</v>
      </c>
      <c r="BK9" s="239">
        <f t="array" ref="BK9">(SUM(($BF$8:$BZ$8&lt;BK$8)*($BE$9:$BE$28&lt;$BE9)*$I$9:$AC$28)+SUM(($BF$8:$BZ$8&gt;BK$8)*($BE$9:$BE$28&gt;$BE9)*$I$9:$AC$28)-(SUM(($BF$8:$BZ$8&gt;BK$8)*($BE$9:$BE$28&lt;$BE9)*$I$9:$AC$28)+SUM(($BF$8:$BZ$8&lt;BK$8)*($BE$9:$BE$28&gt;$BE9)*$I$9:$AC$28)))*(INDEX($I$9:$AC$28,$BE9,BK$8)&gt;0)</f>
        <v>0</v>
      </c>
      <c r="BL9" s="239">
        <f t="array" ref="BL9">(SUM(($BF$8:$BZ$8&lt;BL$8)*($BE$9:$BE$28&lt;$BE9)*$I$9:$AC$28)+SUM(($BF$8:$BZ$8&gt;BL$8)*($BE$9:$BE$28&gt;$BE9)*$I$9:$AC$28)-(SUM(($BF$8:$BZ$8&gt;BL$8)*($BE$9:$BE$28&lt;$BE9)*$I$9:$AC$28)+SUM(($BF$8:$BZ$8&lt;BL$8)*($BE$9:$BE$28&gt;$BE9)*$I$9:$AC$28)))*(INDEX($I$9:$AC$28,$BE9,BL$8)&gt;0)</f>
        <v>0</v>
      </c>
      <c r="BM9" s="239">
        <f t="array" ref="BM9">(SUM(($BF$8:$BZ$8&lt;BM$8)*($BE$9:$BE$28&lt;$BE9)*$I$9:$AC$28)+SUM(($BF$8:$BZ$8&gt;BM$8)*($BE$9:$BE$28&gt;$BE9)*$I$9:$AC$28)-(SUM(($BF$8:$BZ$8&gt;BM$8)*($BE$9:$BE$28&lt;$BE9)*$I$9:$AC$28)+SUM(($BF$8:$BZ$8&lt;BM$8)*($BE$9:$BE$28&gt;$BE9)*$I$9:$AC$28)))*(INDEX($I$9:$AC$28,$BE9,BM$8)&gt;0)</f>
        <v>0</v>
      </c>
      <c r="BN9" s="239">
        <f t="array" ref="BN9">(SUM(($BF$8:$BZ$8&lt;BN$8)*($BE$9:$BE$28&lt;$BE9)*$I$9:$AC$28)+SUM(($BF$8:$BZ$8&gt;BN$8)*($BE$9:$BE$28&gt;$BE9)*$I$9:$AC$28)-(SUM(($BF$8:$BZ$8&gt;BN$8)*($BE$9:$BE$28&lt;$BE9)*$I$9:$AC$28)+SUM(($BF$8:$BZ$8&lt;BN$8)*($BE$9:$BE$28&gt;$BE9)*$I$9:$AC$28)))*(INDEX($I$9:$AC$28,$BE9,BN$8)&gt;0)</f>
        <v>0</v>
      </c>
      <c r="BO9" s="239">
        <f t="array" ref="BO9">(SUM(($BF$8:$BZ$8&lt;BO$8)*($BE$9:$BE$28&lt;$BE9)*$I$9:$AC$28)+SUM(($BF$8:$BZ$8&gt;BO$8)*($BE$9:$BE$28&gt;$BE9)*$I$9:$AC$28)-(SUM(($BF$8:$BZ$8&gt;BO$8)*($BE$9:$BE$28&lt;$BE9)*$I$9:$AC$28)+SUM(($BF$8:$BZ$8&lt;BO$8)*($BE$9:$BE$28&gt;$BE9)*$I$9:$AC$28)))*(INDEX($I$9:$AC$28,$BE9,BO$8)&gt;0)</f>
        <v>0</v>
      </c>
      <c r="BP9" s="239">
        <f t="array" ref="BP9">(SUM(($BF$8:$BZ$8&lt;BP$8)*($BE$9:$BE$28&lt;$BE9)*$I$9:$AC$28)+SUM(($BF$8:$BZ$8&gt;BP$8)*($BE$9:$BE$28&gt;$BE9)*$I$9:$AC$28)-(SUM(($BF$8:$BZ$8&gt;BP$8)*($BE$9:$BE$28&lt;$BE9)*$I$9:$AC$28)+SUM(($BF$8:$BZ$8&lt;BP$8)*($BE$9:$BE$28&gt;$BE9)*$I$9:$AC$28)))*(INDEX($I$9:$AC$28,$BE9,BP$8)&gt;0)</f>
        <v>0</v>
      </c>
      <c r="BQ9" s="239">
        <f t="array" ref="BQ9">(SUM(($BF$8:$BZ$8&lt;BQ$8)*($BE$9:$BE$28&lt;$BE9)*$I$9:$AC$28)+SUM(($BF$8:$BZ$8&gt;BQ$8)*($BE$9:$BE$28&gt;$BE9)*$I$9:$AC$28)-(SUM(($BF$8:$BZ$8&gt;BQ$8)*($BE$9:$BE$28&lt;$BE9)*$I$9:$AC$28)+SUM(($BF$8:$BZ$8&lt;BQ$8)*($BE$9:$BE$28&gt;$BE9)*$I$9:$AC$28)))*(INDEX($I$9:$AC$28,$BE9,BQ$8)&gt;0)</f>
        <v>0</v>
      </c>
      <c r="BR9" s="239">
        <f t="array" ref="BR9">(SUM(($BF$8:$BZ$8&lt;BR$8)*($BE$9:$BE$28&lt;$BE9)*$I$9:$AC$28)+SUM(($BF$8:$BZ$8&gt;BR$8)*($BE$9:$BE$28&gt;$BE9)*$I$9:$AC$28)-(SUM(($BF$8:$BZ$8&gt;BR$8)*($BE$9:$BE$28&lt;$BE9)*$I$9:$AC$28)+SUM(($BF$8:$BZ$8&lt;BR$8)*($BE$9:$BE$28&gt;$BE9)*$I$9:$AC$28)))*(INDEX($I$9:$AC$28,$BE9,BR$8)&gt;0)</f>
        <v>0</v>
      </c>
      <c r="BS9" s="239">
        <f t="array" ref="BS9">(SUM(($BF$8:$BZ$8&lt;BS$8)*($BE$9:$BE$28&lt;$BE9)*$I$9:$AC$28)+SUM(($BF$8:$BZ$8&gt;BS$8)*($BE$9:$BE$28&gt;$BE9)*$I$9:$AC$28)-(SUM(($BF$8:$BZ$8&gt;BS$8)*($BE$9:$BE$28&lt;$BE9)*$I$9:$AC$28)+SUM(($BF$8:$BZ$8&lt;BS$8)*($BE$9:$BE$28&gt;$BE9)*$I$9:$AC$28)))*(INDEX($I$9:$AC$28,$BE9,BS$8)&gt;0)</f>
        <v>0</v>
      </c>
      <c r="BT9" s="239">
        <f t="array" ref="BT9">(SUM(($BF$8:$BZ$8&lt;BT$8)*($BE$9:$BE$28&lt;$BE9)*$I$9:$AC$28)+SUM(($BF$8:$BZ$8&gt;BT$8)*($BE$9:$BE$28&gt;$BE9)*$I$9:$AC$28)-(SUM(($BF$8:$BZ$8&gt;BT$8)*($BE$9:$BE$28&lt;$BE9)*$I$9:$AC$28)+SUM(($BF$8:$BZ$8&lt;BT$8)*($BE$9:$BE$28&gt;$BE9)*$I$9:$AC$28)))*(INDEX($I$9:$AC$28,$BE9,BT$8)&gt;0)</f>
        <v>0</v>
      </c>
      <c r="BU9" s="239">
        <f t="array" ref="BU9">(SUM(($BF$8:$BZ$8&lt;BU$8)*($BE$9:$BE$28&lt;$BE9)*$I$9:$AC$28)+SUM(($BF$8:$BZ$8&gt;BU$8)*($BE$9:$BE$28&gt;$BE9)*$I$9:$AC$28)-(SUM(($BF$8:$BZ$8&gt;BU$8)*($BE$9:$BE$28&lt;$BE9)*$I$9:$AC$28)+SUM(($BF$8:$BZ$8&lt;BU$8)*($BE$9:$BE$28&gt;$BE9)*$I$9:$AC$28)))*(INDEX($I$9:$AC$28,$BE9,BU$8)&gt;0)</f>
        <v>0</v>
      </c>
      <c r="BV9" s="239">
        <f t="array" ref="BV9">(SUM(($BF$8:$BZ$8&lt;BV$8)*($BE$9:$BE$28&lt;$BE9)*$I$9:$AC$28)+SUM(($BF$8:$BZ$8&gt;BV$8)*($BE$9:$BE$28&gt;$BE9)*$I$9:$AC$28)-(SUM(($BF$8:$BZ$8&gt;BV$8)*($BE$9:$BE$28&lt;$BE9)*$I$9:$AC$28)+SUM(($BF$8:$BZ$8&lt;BV$8)*($BE$9:$BE$28&gt;$BE9)*$I$9:$AC$28)))*(INDEX($I$9:$AC$28,$BE9,BV$8)&gt;0)</f>
        <v>0</v>
      </c>
      <c r="BW9" s="239">
        <f t="array" ref="BW9">(SUM(($BF$8:$BZ$8&lt;BW$8)*($BE$9:$BE$28&lt;$BE9)*$I$9:$AC$28)+SUM(($BF$8:$BZ$8&gt;BW$8)*($BE$9:$BE$28&gt;$BE9)*$I$9:$AC$28)-(SUM(($BF$8:$BZ$8&gt;BW$8)*($BE$9:$BE$28&lt;$BE9)*$I$9:$AC$28)+SUM(($BF$8:$BZ$8&lt;BW$8)*($BE$9:$BE$28&gt;$BE9)*$I$9:$AC$28)))*(INDEX($I$9:$AC$28,$BE9,BW$8)&gt;0)</f>
        <v>0</v>
      </c>
      <c r="BX9" s="239">
        <f t="array" ref="BX9">(SUM(($BF$8:$BZ$8&lt;BX$8)*($BE$9:$BE$28&lt;$BE9)*$I$9:$AC$28)+SUM(($BF$8:$BZ$8&gt;BX$8)*($BE$9:$BE$28&gt;$BE9)*$I$9:$AC$28)-(SUM(($BF$8:$BZ$8&gt;BX$8)*($BE$9:$BE$28&lt;$BE9)*$I$9:$AC$28)+SUM(($BF$8:$BZ$8&lt;BX$8)*($BE$9:$BE$28&gt;$BE9)*$I$9:$AC$28)))*(INDEX($I$9:$AC$28,$BE9,BX$8)&gt;0)</f>
        <v>0</v>
      </c>
      <c r="BY9" s="239">
        <f t="array" ref="BY9">(SUM(($BF$8:$BZ$8&lt;BY$8)*($BE$9:$BE$28&lt;$BE9)*$I$9:$AC$28)+SUM(($BF$8:$BZ$8&gt;BY$8)*($BE$9:$BE$28&gt;$BE9)*$I$9:$AC$28)-(SUM(($BF$8:$BZ$8&gt;BY$8)*($BE$9:$BE$28&lt;$BE9)*$I$9:$AC$28)+SUM(($BF$8:$BZ$8&lt;BY$8)*($BE$9:$BE$28&gt;$BE9)*$I$9:$AC$28)))*(INDEX($I$9:$AC$28,$BE9,BY$8)&gt;0)</f>
        <v>0</v>
      </c>
      <c r="BZ9" s="240">
        <f t="array" ref="BZ9">(SUM(($BF$8:$BZ$8&lt;BZ$8)*($BE$9:$BE$28&lt;$BE9)*$I$9:$AC$28)+SUM(($BF$8:$BZ$8&gt;BZ$8)*($BE$9:$BE$28&gt;$BE9)*$I$9:$AC$28)-(SUM(($BF$8:$BZ$8&gt;BZ$8)*($BE$9:$BE$28&lt;$BE9)*$I$9:$AC$28)+SUM(($BF$8:$BZ$8&lt;BZ$8)*($BE$9:$BE$28&gt;$BE9)*$I$9:$AC$28)))*(INDEX($I$9:$AC$28,$BE9,BZ$8)&gt;0)</f>
        <v>0</v>
      </c>
      <c r="CA9" s="45"/>
      <c r="CE9" s="4">
        <f t="array" ref="CE9:CE28">($AV$8:$AV$28-$AM$37:$AM$57)^2</f>
        <v>0</v>
      </c>
      <c r="CF9" s="4">
        <f t="array" ref="CF9:CF28">($AV$8:$AV$28-$AK$37:$AK$57)^2</f>
        <v>0</v>
      </c>
      <c r="CG9" s="4" t="b">
        <f t="array" ref="CG9:CG28">(($AU$8:$AU$28-$AK$37:$AK$57)^2&gt;($AV$8:$AV$28-$AK$37:$AK$57)^2)</f>
        <v>0</v>
      </c>
      <c r="CH9" s="4">
        <f t="array" ref="CH9:CH28">($AU$8:$AU$28-$AK$37:$AK$57)^2*(($AU$8:$AU$28-$AK$37:$AK$57)^2&gt;($AV$8:$AV$28-$AK$37:$AK$57)^2)</f>
        <v>0</v>
      </c>
    </row>
    <row r="10" spans="1:86" x14ac:dyDescent="0.35">
      <c r="A10" s="45"/>
      <c r="B10" s="119" t="s">
        <v>15</v>
      </c>
      <c r="C10" s="424" t="s">
        <v>235</v>
      </c>
      <c r="D10" s="95"/>
      <c r="E10" s="96"/>
      <c r="F10" s="270"/>
      <c r="G10" s="266"/>
      <c r="H10" s="267"/>
      <c r="I10" s="99"/>
      <c r="J10" s="96"/>
      <c r="K10" s="96"/>
      <c r="L10" s="96"/>
      <c r="M10" s="96"/>
      <c r="N10" s="96"/>
      <c r="O10" s="96"/>
      <c r="P10" s="96"/>
      <c r="Q10" s="96"/>
      <c r="R10" s="96"/>
      <c r="S10" s="96"/>
      <c r="T10" s="96"/>
      <c r="U10" s="96"/>
      <c r="V10" s="96"/>
      <c r="W10" s="96"/>
      <c r="X10" s="96"/>
      <c r="Y10" s="96"/>
      <c r="Z10" s="96"/>
      <c r="AA10" s="96"/>
      <c r="AB10" s="96"/>
      <c r="AC10" s="100"/>
      <c r="AD10" s="268"/>
      <c r="AE10" s="266"/>
      <c r="AF10" s="267"/>
      <c r="AG10" s="45"/>
      <c r="AH10" s="259" t="str">
        <f>IF(AND(COUNTA(D10:AF10)=0,D11=""),"",IF(AND('2.1'!E10=0,COUNTA(H10:AF10)&gt;0),"NOT OK",IF(AND(COUNTA(D10:AF10)=0,D11&lt;&gt;""),"NOT OK",IF(OR(AJ10="NOT OK",AK10="NOT OK",AL10="NOT OK",AT10="NOT OK"),"NOT OK",IF(OR(AO10="WARNING",AR10="WARNING"),"WARNING","OK")))))</f>
        <v/>
      </c>
      <c r="AI10" s="276" t="str">
        <f>IF(AND(COUNTA(D10:AF10)=0,'2.1'!D11=""),"",IF(AND(E10=0,COUNTA(H10:AF10)&gt;0),"As number of facilities is zero, please leave columns H to AF empty.",IF(AND(COUNTA(D10:AF10)=0,D11&lt;&gt;""),"Empty lines between grades not allowed.",IF(AND(D10&lt;&gt;"",OR(E10="",G10="")),"Information is missing for this facility grade/pool. Please report number of facilities and average LGD estimate.",IF(AJ10="NOT OK","Row incomplete. Check if zeros values are missing in the row.",IF(AK10="NOT OK","The number of facilities in buckets does not sum up to the total number.",IF(AL10="NOT OK","Please order the pools in ascending order of the weighted average of estimated LGD.",IF(AT10="NOT OK","The p-value of t-Test differs from ECB calculation.",IF(AO10="WARNING","The average LGD^R seems implausible with the given LGD realisation.",IF(AR10="WARNING","The variance of the LGD seems implausible with the given realisation.",""))))))))))</f>
        <v/>
      </c>
      <c r="AJ10" s="262" t="str">
        <f>IF(AND(COUNTA(D10:AF10)=0,'2.1'!D11=""),"",IF(AND(D10&lt;&gt;"",OR(E10="",G10="")),"NOT OK",IF(AND(D10&lt;&gt;"",E10&lt;&gt;"",E10=0,G10&lt;&gt;""),"OK",IF(COUNTA(D10:AF10)=COUNTA($D$9:$D$28)+7+1,"OK",IF(AND(E10=1,COUNTA(D10:AF10)=COUNTA($D$9:$D$28)+4+1),"OK","NOT OK")))))</f>
        <v/>
      </c>
      <c r="AK10" s="262" t="str">
        <f>IF(OR(AND(D10&lt;&gt;"",'2.1'!E10 =0),COUNTA(D10:AF10)=0),"",IF(E10=SUM(I10:AC10),"OK","NOT OK"))</f>
        <v/>
      </c>
      <c r="AL10" s="507" t="str">
        <f>IF('2.1'!G10="","",IF(G10&lt;G9,"NOT OK", "OK"))</f>
        <v/>
      </c>
      <c r="AM10" s="516" t="str">
        <f t="array" ref="AM10">IFERROR(SUM(I10:AC10*TRANSPOSE($AU$8:$AU$28))/SUM(I10:AC10),"")</f>
        <v/>
      </c>
      <c r="AN10" s="271" t="str">
        <f t="array" ref="AN10">IFERROR(SUM(I10:AC10*TRANSPOSE($AV$8:$AV$28))/SUM(I10:AC10),"")</f>
        <v/>
      </c>
      <c r="AO10" s="275" t="str">
        <f>IF(OR(AND(D10&lt;&gt;"",'2.1'!E10 =0),COUNTA(D10:AF10)=0),"",IFERROR(IF(AND(H10&gt;=AM10,H10&lt;=AN10),"OK","WARNING"),""))</f>
        <v/>
      </c>
      <c r="AP10" s="516" t="str">
        <f>IF(COUNTA(H10:AF10)=0,"",IFERROR('2.1'!BG39,""))</f>
        <v/>
      </c>
      <c r="AQ10" s="271" t="str">
        <f>IF(COUNTA(H10:AF10)=0,"",IFERROR('2.1'!BF39,""))</f>
        <v/>
      </c>
      <c r="AR10" s="275" t="str">
        <f>IF(OR(AND(D10&lt;&gt;"",E10 =0),COUNTA(D10:AF10)=0),"",IFERROR(IF(AND('2.1'!AD10&gt;=AP10,AD10&lt;=AQ10),"OK","WARNING"),""))</f>
        <v/>
      </c>
      <c r="AS10" s="510" t="str">
        <f>IFERROR(IF(COUNTA(D10:AF10)=0,"",1-_xlfn.T.DIST(SQRT(E10)*(H10-G10)/SQRT('2.1'!AD10),E10-1,TRUE)),"")</f>
        <v/>
      </c>
      <c r="AT10" s="275" t="str">
        <f>IFERROR(IF(COUNTA(D10:AF10)=0,"",IF(ABS(AF10-'2.1'!AS10)&gt;0.00001,"NOT OK","OK")),"")</f>
        <v/>
      </c>
      <c r="AU10" s="220">
        <f>'2.1'!G10</f>
        <v>0</v>
      </c>
      <c r="AV10" s="218">
        <f>IF('2.1'!G11&lt;&gt;"",G11,IF(G10=0,0,3))</f>
        <v>0</v>
      </c>
      <c r="AW10" s="221">
        <f>IFERROR('2.1'!AV10/2+AU10/2,"")</f>
        <v>0</v>
      </c>
      <c r="AX10" s="45"/>
      <c r="AY10" s="45"/>
      <c r="AZ10" s="119" t="s">
        <v>88</v>
      </c>
      <c r="BA10" s="235" t="e">
        <f>BA9/BA8</f>
        <v>#DIV/0!</v>
      </c>
      <c r="BB10" s="45"/>
      <c r="BC10" s="45"/>
      <c r="BD10" s="241">
        <f>SUM('2.1'!I10:AC10)</f>
        <v>0</v>
      </c>
      <c r="BE10" s="242">
        <v>2</v>
      </c>
      <c r="BF10" s="243">
        <f t="array" ref="BF10">(SUM(($BF$8:$BZ$8&lt;BF$8)*($BE$9:$BE$28&lt;$BE10)*$I$9:$AC$28)+SUM(($BF$8:$BZ$8&gt;BF$8)*($BE$9:$BE$28&gt;$BE10)*$I$9:$AC$28)-(SUM(($BF$8:$BZ$8&gt;BF$8)*($BE$9:$BE$28&lt;$BE10)*$I$9:$AC$28)+SUM(($BF$8:$BZ$8&lt;BF$8)*($BE$9:$BE$28&gt;$BE10)*$I$9:$AC$28)))*(INDEX($I$9:$AC$28,$BE10,BF$8)&gt;0)</f>
        <v>0</v>
      </c>
      <c r="BG10" s="243">
        <f t="array" ref="BG10">(SUM(($BF$8:$BZ$8&lt;BG$8)*($BE$9:$BE$28&lt;$BE10)*$I$9:$AC$28)+SUM(($BF$8:$BZ$8&gt;BG$8)*($BE$9:$BE$28&gt;$BE10)*$I$9:$AC$28)-(SUM(($BF$8:$BZ$8&gt;BG$8)*($BE$9:$BE$28&lt;$BE10)*$I$9:$AC$28)+SUM(($BF$8:$BZ$8&lt;BG$8)*($BE$9:$BE$28&gt;$BE10)*$I$9:$AC$28)))*(INDEX($I$9:$AC$28,$BE10,BG$8)&gt;0)</f>
        <v>0</v>
      </c>
      <c r="BH10" s="243">
        <f t="array" ref="BH10">(SUM(($BF$8:$BZ$8&lt;BH$8)*($BE$9:$BE$28&lt;$BE10)*$I$9:$AC$28)+SUM(($BF$8:$BZ$8&gt;BH$8)*($BE$9:$BE$28&gt;$BE10)*$I$9:$AC$28)-(SUM(($BF$8:$BZ$8&gt;BH$8)*($BE$9:$BE$28&lt;$BE10)*$I$9:$AC$28)+SUM(($BF$8:$BZ$8&lt;BH$8)*($BE$9:$BE$28&gt;$BE10)*$I$9:$AC$28)))*(INDEX($I$9:$AC$28,$BE10,BH$8)&gt;0)</f>
        <v>0</v>
      </c>
      <c r="BI10" s="243">
        <f t="array" ref="BI10">(SUM(($BF$8:$BZ$8&lt;BI$8)*($BE$9:$BE$28&lt;$BE10)*$I$9:$AC$28)+SUM(($BF$8:$BZ$8&gt;BI$8)*($BE$9:$BE$28&gt;$BE10)*$I$9:$AC$28)-(SUM(($BF$8:$BZ$8&gt;BI$8)*($BE$9:$BE$28&lt;$BE10)*$I$9:$AC$28)+SUM(($BF$8:$BZ$8&lt;BI$8)*($BE$9:$BE$28&gt;$BE10)*$I$9:$AC$28)))*(INDEX($I$9:$AC$28,$BE10,BI$8)&gt;0)</f>
        <v>0</v>
      </c>
      <c r="BJ10" s="243">
        <f t="array" ref="BJ10">(SUM(($BF$8:$BZ$8&lt;BJ$8)*($BE$9:$BE$28&lt;$BE10)*$I$9:$AC$28)+SUM(($BF$8:$BZ$8&gt;BJ$8)*($BE$9:$BE$28&gt;$BE10)*$I$9:$AC$28)-(SUM(($BF$8:$BZ$8&gt;BJ$8)*($BE$9:$BE$28&lt;$BE10)*$I$9:$AC$28)+SUM(($BF$8:$BZ$8&lt;BJ$8)*($BE$9:$BE$28&gt;$BE10)*$I$9:$AC$28)))*(INDEX($I$9:$AC$28,$BE10,BJ$8)&gt;0)</f>
        <v>0</v>
      </c>
      <c r="BK10" s="243">
        <f t="array" ref="BK10">(SUM(($BF$8:$BZ$8&lt;BK$8)*($BE$9:$BE$28&lt;$BE10)*$I$9:$AC$28)+SUM(($BF$8:$BZ$8&gt;BK$8)*($BE$9:$BE$28&gt;$BE10)*$I$9:$AC$28)-(SUM(($BF$8:$BZ$8&gt;BK$8)*($BE$9:$BE$28&lt;$BE10)*$I$9:$AC$28)+SUM(($BF$8:$BZ$8&lt;BK$8)*($BE$9:$BE$28&gt;$BE10)*$I$9:$AC$28)))*(INDEX($I$9:$AC$28,$BE10,BK$8)&gt;0)</f>
        <v>0</v>
      </c>
      <c r="BL10" s="243">
        <f t="array" ref="BL10">(SUM(($BF$8:$BZ$8&lt;BL$8)*($BE$9:$BE$28&lt;$BE10)*$I$9:$AC$28)+SUM(($BF$8:$BZ$8&gt;BL$8)*($BE$9:$BE$28&gt;$BE10)*$I$9:$AC$28)-(SUM(($BF$8:$BZ$8&gt;BL$8)*($BE$9:$BE$28&lt;$BE10)*$I$9:$AC$28)+SUM(($BF$8:$BZ$8&lt;BL$8)*($BE$9:$BE$28&gt;$BE10)*$I$9:$AC$28)))*(INDEX($I$9:$AC$28,$BE10,BL$8)&gt;0)</f>
        <v>0</v>
      </c>
      <c r="BM10" s="243">
        <f t="array" ref="BM10">(SUM(($BF$8:$BZ$8&lt;BM$8)*($BE$9:$BE$28&lt;$BE10)*$I$9:$AC$28)+SUM(($BF$8:$BZ$8&gt;BM$8)*($BE$9:$BE$28&gt;$BE10)*$I$9:$AC$28)-(SUM(($BF$8:$BZ$8&gt;BM$8)*($BE$9:$BE$28&lt;$BE10)*$I$9:$AC$28)+SUM(($BF$8:$BZ$8&lt;BM$8)*($BE$9:$BE$28&gt;$BE10)*$I$9:$AC$28)))*(INDEX($I$9:$AC$28,$BE10,BM$8)&gt;0)</f>
        <v>0</v>
      </c>
      <c r="BN10" s="243">
        <f t="array" ref="BN10">(SUM(($BF$8:$BZ$8&lt;BN$8)*($BE$9:$BE$28&lt;$BE10)*$I$9:$AC$28)+SUM(($BF$8:$BZ$8&gt;BN$8)*($BE$9:$BE$28&gt;$BE10)*$I$9:$AC$28)-(SUM(($BF$8:$BZ$8&gt;BN$8)*($BE$9:$BE$28&lt;$BE10)*$I$9:$AC$28)+SUM(($BF$8:$BZ$8&lt;BN$8)*($BE$9:$BE$28&gt;$BE10)*$I$9:$AC$28)))*(INDEX($I$9:$AC$28,$BE10,BN$8)&gt;0)</f>
        <v>0</v>
      </c>
      <c r="BO10" s="243">
        <f t="array" ref="BO10">(SUM(($BF$8:$BZ$8&lt;BO$8)*($BE$9:$BE$28&lt;$BE10)*$I$9:$AC$28)+SUM(($BF$8:$BZ$8&gt;BO$8)*($BE$9:$BE$28&gt;$BE10)*$I$9:$AC$28)-(SUM(($BF$8:$BZ$8&gt;BO$8)*($BE$9:$BE$28&lt;$BE10)*$I$9:$AC$28)+SUM(($BF$8:$BZ$8&lt;BO$8)*($BE$9:$BE$28&gt;$BE10)*$I$9:$AC$28)))*(INDEX($I$9:$AC$28,$BE10,BO$8)&gt;0)</f>
        <v>0</v>
      </c>
      <c r="BP10" s="243">
        <f t="array" ref="BP10">(SUM(($BF$8:$BZ$8&lt;BP$8)*($BE$9:$BE$28&lt;$BE10)*$I$9:$AC$28)+SUM(($BF$8:$BZ$8&gt;BP$8)*($BE$9:$BE$28&gt;$BE10)*$I$9:$AC$28)-(SUM(($BF$8:$BZ$8&gt;BP$8)*($BE$9:$BE$28&lt;$BE10)*$I$9:$AC$28)+SUM(($BF$8:$BZ$8&lt;BP$8)*($BE$9:$BE$28&gt;$BE10)*$I$9:$AC$28)))*(INDEX($I$9:$AC$28,$BE10,BP$8)&gt;0)</f>
        <v>0</v>
      </c>
      <c r="BQ10" s="243">
        <f t="array" ref="BQ10">(SUM(($BF$8:$BZ$8&lt;BQ$8)*($BE$9:$BE$28&lt;$BE10)*$I$9:$AC$28)+SUM(($BF$8:$BZ$8&gt;BQ$8)*($BE$9:$BE$28&gt;$BE10)*$I$9:$AC$28)-(SUM(($BF$8:$BZ$8&gt;BQ$8)*($BE$9:$BE$28&lt;$BE10)*$I$9:$AC$28)+SUM(($BF$8:$BZ$8&lt;BQ$8)*($BE$9:$BE$28&gt;$BE10)*$I$9:$AC$28)))*(INDEX($I$9:$AC$28,$BE10,BQ$8)&gt;0)</f>
        <v>0</v>
      </c>
      <c r="BR10" s="243">
        <f t="array" ref="BR10">(SUM(($BF$8:$BZ$8&lt;BR$8)*($BE$9:$BE$28&lt;$BE10)*$I$9:$AC$28)+SUM(($BF$8:$BZ$8&gt;BR$8)*($BE$9:$BE$28&gt;$BE10)*$I$9:$AC$28)-(SUM(($BF$8:$BZ$8&gt;BR$8)*($BE$9:$BE$28&lt;$BE10)*$I$9:$AC$28)+SUM(($BF$8:$BZ$8&lt;BR$8)*($BE$9:$BE$28&gt;$BE10)*$I$9:$AC$28)))*(INDEX($I$9:$AC$28,$BE10,BR$8)&gt;0)</f>
        <v>0</v>
      </c>
      <c r="BS10" s="243">
        <f t="array" ref="BS10">(SUM(($BF$8:$BZ$8&lt;BS$8)*($BE$9:$BE$28&lt;$BE10)*$I$9:$AC$28)+SUM(($BF$8:$BZ$8&gt;BS$8)*($BE$9:$BE$28&gt;$BE10)*$I$9:$AC$28)-(SUM(($BF$8:$BZ$8&gt;BS$8)*($BE$9:$BE$28&lt;$BE10)*$I$9:$AC$28)+SUM(($BF$8:$BZ$8&lt;BS$8)*($BE$9:$BE$28&gt;$BE10)*$I$9:$AC$28)))*(INDEX($I$9:$AC$28,$BE10,BS$8)&gt;0)</f>
        <v>0</v>
      </c>
      <c r="BT10" s="243">
        <f t="array" ref="BT10">(SUM(($BF$8:$BZ$8&lt;BT$8)*($BE$9:$BE$28&lt;$BE10)*$I$9:$AC$28)+SUM(($BF$8:$BZ$8&gt;BT$8)*($BE$9:$BE$28&gt;$BE10)*$I$9:$AC$28)-(SUM(($BF$8:$BZ$8&gt;BT$8)*($BE$9:$BE$28&lt;$BE10)*$I$9:$AC$28)+SUM(($BF$8:$BZ$8&lt;BT$8)*($BE$9:$BE$28&gt;$BE10)*$I$9:$AC$28)))*(INDEX($I$9:$AC$28,$BE10,BT$8)&gt;0)</f>
        <v>0</v>
      </c>
      <c r="BU10" s="243">
        <f t="array" ref="BU10">(SUM(($BF$8:$BZ$8&lt;BU$8)*($BE$9:$BE$28&lt;$BE10)*$I$9:$AC$28)+SUM(($BF$8:$BZ$8&gt;BU$8)*($BE$9:$BE$28&gt;$BE10)*$I$9:$AC$28)-(SUM(($BF$8:$BZ$8&gt;BU$8)*($BE$9:$BE$28&lt;$BE10)*$I$9:$AC$28)+SUM(($BF$8:$BZ$8&lt;BU$8)*($BE$9:$BE$28&gt;$BE10)*$I$9:$AC$28)))*(INDEX($I$9:$AC$28,$BE10,BU$8)&gt;0)</f>
        <v>0</v>
      </c>
      <c r="BV10" s="243">
        <f t="array" ref="BV10">(SUM(($BF$8:$BZ$8&lt;BV$8)*($BE$9:$BE$28&lt;$BE10)*$I$9:$AC$28)+SUM(($BF$8:$BZ$8&gt;BV$8)*($BE$9:$BE$28&gt;$BE10)*$I$9:$AC$28)-(SUM(($BF$8:$BZ$8&gt;BV$8)*($BE$9:$BE$28&lt;$BE10)*$I$9:$AC$28)+SUM(($BF$8:$BZ$8&lt;BV$8)*($BE$9:$BE$28&gt;$BE10)*$I$9:$AC$28)))*(INDEX($I$9:$AC$28,$BE10,BV$8)&gt;0)</f>
        <v>0</v>
      </c>
      <c r="BW10" s="243">
        <f t="array" ref="BW10">(SUM(($BF$8:$BZ$8&lt;BW$8)*($BE$9:$BE$28&lt;$BE10)*$I$9:$AC$28)+SUM(($BF$8:$BZ$8&gt;BW$8)*($BE$9:$BE$28&gt;$BE10)*$I$9:$AC$28)-(SUM(($BF$8:$BZ$8&gt;BW$8)*($BE$9:$BE$28&lt;$BE10)*$I$9:$AC$28)+SUM(($BF$8:$BZ$8&lt;BW$8)*($BE$9:$BE$28&gt;$BE10)*$I$9:$AC$28)))*(INDEX($I$9:$AC$28,$BE10,BW$8)&gt;0)</f>
        <v>0</v>
      </c>
      <c r="BX10" s="243">
        <f t="array" ref="BX10">(SUM(($BF$8:$BZ$8&lt;BX$8)*($BE$9:$BE$28&lt;$BE10)*$I$9:$AC$28)+SUM(($BF$8:$BZ$8&gt;BX$8)*($BE$9:$BE$28&gt;$BE10)*$I$9:$AC$28)-(SUM(($BF$8:$BZ$8&gt;BX$8)*($BE$9:$BE$28&lt;$BE10)*$I$9:$AC$28)+SUM(($BF$8:$BZ$8&lt;BX$8)*($BE$9:$BE$28&gt;$BE10)*$I$9:$AC$28)))*(INDEX($I$9:$AC$28,$BE10,BX$8)&gt;0)</f>
        <v>0</v>
      </c>
      <c r="BY10" s="243">
        <f t="array" ref="BY10">(SUM(($BF$8:$BZ$8&lt;BY$8)*($BE$9:$BE$28&lt;$BE10)*$I$9:$AC$28)+SUM(($BF$8:$BZ$8&gt;BY$8)*($BE$9:$BE$28&gt;$BE10)*$I$9:$AC$28)-(SUM(($BF$8:$BZ$8&gt;BY$8)*($BE$9:$BE$28&lt;$BE10)*$I$9:$AC$28)+SUM(($BF$8:$BZ$8&lt;BY$8)*($BE$9:$BE$28&gt;$BE10)*$I$9:$AC$28)))*(INDEX($I$9:$AC$28,$BE10,BY$8)&gt;0)</f>
        <v>0</v>
      </c>
      <c r="BZ10" s="244">
        <f t="array" ref="BZ10">(SUM(($BF$8:$BZ$8&lt;BZ$8)*($BE$9:$BE$28&lt;$BE10)*$I$9:$AC$28)+SUM(($BF$8:$BZ$8&gt;BZ$8)*($BE$9:$BE$28&gt;$BE10)*$I$9:$AC$28)-(SUM(($BF$8:$BZ$8&gt;BZ$8)*($BE$9:$BE$28&lt;$BE10)*$I$9:$AC$28)+SUM(($BF$8:$BZ$8&lt;BZ$8)*($BE$9:$BE$28&gt;$BE10)*$I$9:$AC$28)))*(INDEX($I$9:$AC$28,$BE10,BZ$8)&gt;0)</f>
        <v>0</v>
      </c>
      <c r="CA10" s="45"/>
      <c r="CE10" s="4">
        <v>0</v>
      </c>
      <c r="CF10" s="4">
        <v>0</v>
      </c>
      <c r="CG10" s="4" t="b">
        <v>0</v>
      </c>
      <c r="CH10" s="4">
        <v>0</v>
      </c>
    </row>
    <row r="11" spans="1:86" x14ac:dyDescent="0.35">
      <c r="A11" s="45"/>
      <c r="B11" s="399" t="s">
        <v>16</v>
      </c>
      <c r="C11" s="424" t="s">
        <v>236</v>
      </c>
      <c r="D11" s="95"/>
      <c r="E11" s="96"/>
      <c r="F11" s="270"/>
      <c r="G11" s="266"/>
      <c r="H11" s="267"/>
      <c r="I11" s="99"/>
      <c r="J11" s="96"/>
      <c r="K11" s="96"/>
      <c r="L11" s="96"/>
      <c r="M11" s="96"/>
      <c r="N11" s="96"/>
      <c r="O11" s="96"/>
      <c r="P11" s="96"/>
      <c r="Q11" s="96"/>
      <c r="R11" s="96"/>
      <c r="S11" s="96"/>
      <c r="T11" s="96"/>
      <c r="U11" s="96"/>
      <c r="V11" s="96"/>
      <c r="W11" s="96"/>
      <c r="X11" s="96"/>
      <c r="Y11" s="96"/>
      <c r="Z11" s="96"/>
      <c r="AA11" s="96"/>
      <c r="AB11" s="96"/>
      <c r="AC11" s="100"/>
      <c r="AD11" s="268"/>
      <c r="AE11" s="266"/>
      <c r="AF11" s="267"/>
      <c r="AG11" s="45"/>
      <c r="AH11" s="259" t="str">
        <f>IF(AND(COUNTA(D11:AF11)=0,D12=""),"",IF(AND('2.1'!E11=0,COUNTA(H11:AF11)&gt;0),"NOT OK",IF(AND(COUNTA(D11:AF11)=0,D12&lt;&gt;""),"NOT OK",IF(OR(AJ11="NOT OK",AK11="NOT OK",AL11="NOT OK",AT11="NOT OK"),"NOT OK",IF(OR(AO11="WARNING",AR11="WARNING"),"WARNING","OK")))))</f>
        <v/>
      </c>
      <c r="AI11" s="276" t="str">
        <f>IF(AND(COUNTA(D11:AF11)=0,'2.1'!D12=""),"",IF(AND(E11=0,COUNTA(H11:AF11)&gt;0),"As number of facilities is zero, please leave columns H to AF empty.",IF(AND(COUNTA(D11:AF11)=0,D12&lt;&gt;""),"Empty lines between grades not allowed.",IF(AND(D11&lt;&gt;"",OR(E11="",G11="")),"Information is missing for this facility grade/pool. Please report number of facilities and average LGD estimate.",IF(AJ11="NOT OK","Row incomplete. Check if zeros values are missing in the row.",IF(AK11="NOT OK","The number of facilities in buckets does not sum up to the total number.",IF(AL11="NOT OK","Please order the pools in ascending order of the weighted average of estimated LGD.",IF(AT11="NOT OK","The p-value of t-Test differs from ECB calculation.",IF(AO11="WARNING","The average LGD^R seems implausible with the given LGD realisation.",IF(AR11="WARNING","The variance of the LGD seems implausible with the given realisation.",""))))))))))</f>
        <v/>
      </c>
      <c r="AJ11" s="262" t="str">
        <f>IF(AND(COUNTA(D11:AF11)=0,'2.1'!D12=""),"",IF(AND(D11&lt;&gt;"",OR(E11="",G11="")),"NOT OK",IF(AND(D11&lt;&gt;"",E11&lt;&gt;"",E11=0,G11&lt;&gt;""),"OK",IF(COUNTA(D11:AF11)=COUNTA($D$9:$D$28)+7+1,"OK",IF(AND(E11=1,COUNTA(D11:AF11)=COUNTA($D$9:$D$28)+4+1),"OK","NOT OK")))))</f>
        <v/>
      </c>
      <c r="AK11" s="262" t="str">
        <f>IF(OR(AND(D11&lt;&gt;"",'2.1'!E11 =0),COUNTA(D11:AF11)=0),"",IF(E11=SUM(I11:AC11),"OK","NOT OK"))</f>
        <v/>
      </c>
      <c r="AL11" s="507" t="str">
        <f>IF('2.1'!G11="","",IF(G11&lt;G10,"NOT OK", "OK"))</f>
        <v/>
      </c>
      <c r="AM11" s="516" t="str">
        <f t="array" ref="AM11">IFERROR(SUM(I11:AC11*TRANSPOSE($AU$8:$AU$28))/SUM(I11:AC11),"")</f>
        <v/>
      </c>
      <c r="AN11" s="271" t="str">
        <f t="array" ref="AN11">IFERROR(SUM(I11:AC11*TRANSPOSE($AV$8:$AV$28))/SUM(I11:AC11),"")</f>
        <v/>
      </c>
      <c r="AO11" s="275" t="str">
        <f>IF(OR(AND(D11&lt;&gt;"",'2.1'!E11 =0),COUNTA(D11:AF11)=0),"",IFERROR(IF(AND(H11&gt;=AM11,H11&lt;=AN11),"OK","WARNING"),""))</f>
        <v/>
      </c>
      <c r="AP11" s="516" t="str">
        <f>IF(COUNTA(H11:AF11)=0,"",IFERROR('2.1'!BG40,""))</f>
        <v/>
      </c>
      <c r="AQ11" s="271" t="str">
        <f>IF(COUNTA(H11:AF11)=0,"",IFERROR('2.1'!BF40,""))</f>
        <v/>
      </c>
      <c r="AR11" s="275" t="str">
        <f>IF(OR(AND(D11&lt;&gt;"",E11 =0),COUNTA(D11:AF11)=0),"",IFERROR(IF(AND('2.1'!AD11&gt;=AP11,AD11&lt;=AQ11),"OK","WARNING"),""))</f>
        <v/>
      </c>
      <c r="AS11" s="510" t="str">
        <f>IFERROR(IF(COUNTA(D11:AF11)=0,"",1-_xlfn.T.DIST(SQRT(E11)*(H11-G11)/SQRT('2.1'!AD11),E11-1,TRUE)),"")</f>
        <v/>
      </c>
      <c r="AT11" s="275" t="str">
        <f>IFERROR(IF(COUNTA(D11:AF11)=0,"",IF(ABS(AF11-'2.1'!AS11)&gt;0.00001,"NOT OK","OK")),"")</f>
        <v/>
      </c>
      <c r="AU11" s="220">
        <f>'2.1'!G11</f>
        <v>0</v>
      </c>
      <c r="AV11" s="218">
        <f>IF('2.1'!G12&lt;&gt;"",G12,IF(G11=0,0,3))</f>
        <v>0</v>
      </c>
      <c r="AW11" s="221">
        <f>IFERROR('2.1'!AV11/2+AU11/2,"")</f>
        <v>0</v>
      </c>
      <c r="AX11" s="45"/>
      <c r="AY11" s="45"/>
      <c r="AZ11" s="119" t="s">
        <v>89</v>
      </c>
      <c r="BA11" s="235" t="e">
        <f>(BA10+1)/2</f>
        <v>#DIV/0!</v>
      </c>
      <c r="BB11" s="45"/>
      <c r="BC11" s="45"/>
      <c r="BD11" s="241">
        <f>SUM('2.1'!I11:AC11)</f>
        <v>0</v>
      </c>
      <c r="BE11" s="242">
        <v>3</v>
      </c>
      <c r="BF11" s="243">
        <f t="array" ref="BF11">(SUM(($BF$8:$BZ$8&lt;BF$8)*($BE$9:$BE$28&lt;$BE11)*$I$9:$AC$28)+SUM(($BF$8:$BZ$8&gt;BF$8)*($BE$9:$BE$28&gt;$BE11)*$I$9:$AC$28)-(SUM(($BF$8:$BZ$8&gt;BF$8)*($BE$9:$BE$28&lt;$BE11)*$I$9:$AC$28)+SUM(($BF$8:$BZ$8&lt;BF$8)*($BE$9:$BE$28&gt;$BE11)*$I$9:$AC$28)))*(INDEX($I$9:$AC$28,$BE11,BF$8)&gt;0)</f>
        <v>0</v>
      </c>
      <c r="BG11" s="243">
        <f t="array" ref="BG11">(SUM(($BF$8:$BZ$8&lt;BG$8)*($BE$9:$BE$28&lt;$BE11)*$I$9:$AC$28)+SUM(($BF$8:$BZ$8&gt;BG$8)*($BE$9:$BE$28&gt;$BE11)*$I$9:$AC$28)-(SUM(($BF$8:$BZ$8&gt;BG$8)*($BE$9:$BE$28&lt;$BE11)*$I$9:$AC$28)+SUM(($BF$8:$BZ$8&lt;BG$8)*($BE$9:$BE$28&gt;$BE11)*$I$9:$AC$28)))*(INDEX($I$9:$AC$28,$BE11,BG$8)&gt;0)</f>
        <v>0</v>
      </c>
      <c r="BH11" s="243">
        <f t="array" ref="BH11">(SUM(($BF$8:$BZ$8&lt;BH$8)*($BE$9:$BE$28&lt;$BE11)*$I$9:$AC$28)+SUM(($BF$8:$BZ$8&gt;BH$8)*($BE$9:$BE$28&gt;$BE11)*$I$9:$AC$28)-(SUM(($BF$8:$BZ$8&gt;BH$8)*($BE$9:$BE$28&lt;$BE11)*$I$9:$AC$28)+SUM(($BF$8:$BZ$8&lt;BH$8)*($BE$9:$BE$28&gt;$BE11)*$I$9:$AC$28)))*(INDEX($I$9:$AC$28,$BE11,BH$8)&gt;0)</f>
        <v>0</v>
      </c>
      <c r="BI11" s="243">
        <f t="array" ref="BI11">(SUM(($BF$8:$BZ$8&lt;BI$8)*($BE$9:$BE$28&lt;$BE11)*$I$9:$AC$28)+SUM(($BF$8:$BZ$8&gt;BI$8)*($BE$9:$BE$28&gt;$BE11)*$I$9:$AC$28)-(SUM(($BF$8:$BZ$8&gt;BI$8)*($BE$9:$BE$28&lt;$BE11)*$I$9:$AC$28)+SUM(($BF$8:$BZ$8&lt;BI$8)*($BE$9:$BE$28&gt;$BE11)*$I$9:$AC$28)))*(INDEX($I$9:$AC$28,$BE11,BI$8)&gt;0)</f>
        <v>0</v>
      </c>
      <c r="BJ11" s="243">
        <f t="array" ref="BJ11">(SUM(($BF$8:$BZ$8&lt;BJ$8)*($BE$9:$BE$28&lt;$BE11)*$I$9:$AC$28)+SUM(($BF$8:$BZ$8&gt;BJ$8)*($BE$9:$BE$28&gt;$BE11)*$I$9:$AC$28)-(SUM(($BF$8:$BZ$8&gt;BJ$8)*($BE$9:$BE$28&lt;$BE11)*$I$9:$AC$28)+SUM(($BF$8:$BZ$8&lt;BJ$8)*($BE$9:$BE$28&gt;$BE11)*$I$9:$AC$28)))*(INDEX($I$9:$AC$28,$BE11,BJ$8)&gt;0)</f>
        <v>0</v>
      </c>
      <c r="BK11" s="243">
        <f t="array" ref="BK11">(SUM(($BF$8:$BZ$8&lt;BK$8)*($BE$9:$BE$28&lt;$BE11)*$I$9:$AC$28)+SUM(($BF$8:$BZ$8&gt;BK$8)*($BE$9:$BE$28&gt;$BE11)*$I$9:$AC$28)-(SUM(($BF$8:$BZ$8&gt;BK$8)*($BE$9:$BE$28&lt;$BE11)*$I$9:$AC$28)+SUM(($BF$8:$BZ$8&lt;BK$8)*($BE$9:$BE$28&gt;$BE11)*$I$9:$AC$28)))*(INDEX($I$9:$AC$28,$BE11,BK$8)&gt;0)</f>
        <v>0</v>
      </c>
      <c r="BL11" s="243">
        <f t="array" ref="BL11">(SUM(($BF$8:$BZ$8&lt;BL$8)*($BE$9:$BE$28&lt;$BE11)*$I$9:$AC$28)+SUM(($BF$8:$BZ$8&gt;BL$8)*($BE$9:$BE$28&gt;$BE11)*$I$9:$AC$28)-(SUM(($BF$8:$BZ$8&gt;BL$8)*($BE$9:$BE$28&lt;$BE11)*$I$9:$AC$28)+SUM(($BF$8:$BZ$8&lt;BL$8)*($BE$9:$BE$28&gt;$BE11)*$I$9:$AC$28)))*(INDEX($I$9:$AC$28,$BE11,BL$8)&gt;0)</f>
        <v>0</v>
      </c>
      <c r="BM11" s="243">
        <f t="array" ref="BM11">(SUM(($BF$8:$BZ$8&lt;BM$8)*($BE$9:$BE$28&lt;$BE11)*$I$9:$AC$28)+SUM(($BF$8:$BZ$8&gt;BM$8)*($BE$9:$BE$28&gt;$BE11)*$I$9:$AC$28)-(SUM(($BF$8:$BZ$8&gt;BM$8)*($BE$9:$BE$28&lt;$BE11)*$I$9:$AC$28)+SUM(($BF$8:$BZ$8&lt;BM$8)*($BE$9:$BE$28&gt;$BE11)*$I$9:$AC$28)))*(INDEX($I$9:$AC$28,$BE11,BM$8)&gt;0)</f>
        <v>0</v>
      </c>
      <c r="BN11" s="243">
        <f t="array" ref="BN11">(SUM(($BF$8:$BZ$8&lt;BN$8)*($BE$9:$BE$28&lt;$BE11)*$I$9:$AC$28)+SUM(($BF$8:$BZ$8&gt;BN$8)*($BE$9:$BE$28&gt;$BE11)*$I$9:$AC$28)-(SUM(($BF$8:$BZ$8&gt;BN$8)*($BE$9:$BE$28&lt;$BE11)*$I$9:$AC$28)+SUM(($BF$8:$BZ$8&lt;BN$8)*($BE$9:$BE$28&gt;$BE11)*$I$9:$AC$28)))*(INDEX($I$9:$AC$28,$BE11,BN$8)&gt;0)</f>
        <v>0</v>
      </c>
      <c r="BO11" s="243">
        <f t="array" ref="BO11">(SUM(($BF$8:$BZ$8&lt;BO$8)*($BE$9:$BE$28&lt;$BE11)*$I$9:$AC$28)+SUM(($BF$8:$BZ$8&gt;BO$8)*($BE$9:$BE$28&gt;$BE11)*$I$9:$AC$28)-(SUM(($BF$8:$BZ$8&gt;BO$8)*($BE$9:$BE$28&lt;$BE11)*$I$9:$AC$28)+SUM(($BF$8:$BZ$8&lt;BO$8)*($BE$9:$BE$28&gt;$BE11)*$I$9:$AC$28)))*(INDEX($I$9:$AC$28,$BE11,BO$8)&gt;0)</f>
        <v>0</v>
      </c>
      <c r="BP11" s="243">
        <f t="array" ref="BP11">(SUM(($BF$8:$BZ$8&lt;BP$8)*($BE$9:$BE$28&lt;$BE11)*$I$9:$AC$28)+SUM(($BF$8:$BZ$8&gt;BP$8)*($BE$9:$BE$28&gt;$BE11)*$I$9:$AC$28)-(SUM(($BF$8:$BZ$8&gt;BP$8)*($BE$9:$BE$28&lt;$BE11)*$I$9:$AC$28)+SUM(($BF$8:$BZ$8&lt;BP$8)*($BE$9:$BE$28&gt;$BE11)*$I$9:$AC$28)))*(INDEX($I$9:$AC$28,$BE11,BP$8)&gt;0)</f>
        <v>0</v>
      </c>
      <c r="BQ11" s="243">
        <f t="array" ref="BQ11">(SUM(($BF$8:$BZ$8&lt;BQ$8)*($BE$9:$BE$28&lt;$BE11)*$I$9:$AC$28)+SUM(($BF$8:$BZ$8&gt;BQ$8)*($BE$9:$BE$28&gt;$BE11)*$I$9:$AC$28)-(SUM(($BF$8:$BZ$8&gt;BQ$8)*($BE$9:$BE$28&lt;$BE11)*$I$9:$AC$28)+SUM(($BF$8:$BZ$8&lt;BQ$8)*($BE$9:$BE$28&gt;$BE11)*$I$9:$AC$28)))*(INDEX($I$9:$AC$28,$BE11,BQ$8)&gt;0)</f>
        <v>0</v>
      </c>
      <c r="BR11" s="243">
        <f t="array" ref="BR11">(SUM(($BF$8:$BZ$8&lt;BR$8)*($BE$9:$BE$28&lt;$BE11)*$I$9:$AC$28)+SUM(($BF$8:$BZ$8&gt;BR$8)*($BE$9:$BE$28&gt;$BE11)*$I$9:$AC$28)-(SUM(($BF$8:$BZ$8&gt;BR$8)*($BE$9:$BE$28&lt;$BE11)*$I$9:$AC$28)+SUM(($BF$8:$BZ$8&lt;BR$8)*($BE$9:$BE$28&gt;$BE11)*$I$9:$AC$28)))*(INDEX($I$9:$AC$28,$BE11,BR$8)&gt;0)</f>
        <v>0</v>
      </c>
      <c r="BS11" s="243">
        <f t="array" ref="BS11">(SUM(($BF$8:$BZ$8&lt;BS$8)*($BE$9:$BE$28&lt;$BE11)*$I$9:$AC$28)+SUM(($BF$8:$BZ$8&gt;BS$8)*($BE$9:$BE$28&gt;$BE11)*$I$9:$AC$28)-(SUM(($BF$8:$BZ$8&gt;BS$8)*($BE$9:$BE$28&lt;$BE11)*$I$9:$AC$28)+SUM(($BF$8:$BZ$8&lt;BS$8)*($BE$9:$BE$28&gt;$BE11)*$I$9:$AC$28)))*(INDEX($I$9:$AC$28,$BE11,BS$8)&gt;0)</f>
        <v>0</v>
      </c>
      <c r="BT11" s="243">
        <f t="array" ref="BT11">(SUM(($BF$8:$BZ$8&lt;BT$8)*($BE$9:$BE$28&lt;$BE11)*$I$9:$AC$28)+SUM(($BF$8:$BZ$8&gt;BT$8)*($BE$9:$BE$28&gt;$BE11)*$I$9:$AC$28)-(SUM(($BF$8:$BZ$8&gt;BT$8)*($BE$9:$BE$28&lt;$BE11)*$I$9:$AC$28)+SUM(($BF$8:$BZ$8&lt;BT$8)*($BE$9:$BE$28&gt;$BE11)*$I$9:$AC$28)))*(INDEX($I$9:$AC$28,$BE11,BT$8)&gt;0)</f>
        <v>0</v>
      </c>
      <c r="BU11" s="243">
        <f t="array" ref="BU11">(SUM(($BF$8:$BZ$8&lt;BU$8)*($BE$9:$BE$28&lt;$BE11)*$I$9:$AC$28)+SUM(($BF$8:$BZ$8&gt;BU$8)*($BE$9:$BE$28&gt;$BE11)*$I$9:$AC$28)-(SUM(($BF$8:$BZ$8&gt;BU$8)*($BE$9:$BE$28&lt;$BE11)*$I$9:$AC$28)+SUM(($BF$8:$BZ$8&lt;BU$8)*($BE$9:$BE$28&gt;$BE11)*$I$9:$AC$28)))*(INDEX($I$9:$AC$28,$BE11,BU$8)&gt;0)</f>
        <v>0</v>
      </c>
      <c r="BV11" s="243">
        <f t="array" ref="BV11">(SUM(($BF$8:$BZ$8&lt;BV$8)*($BE$9:$BE$28&lt;$BE11)*$I$9:$AC$28)+SUM(($BF$8:$BZ$8&gt;BV$8)*($BE$9:$BE$28&gt;$BE11)*$I$9:$AC$28)-(SUM(($BF$8:$BZ$8&gt;BV$8)*($BE$9:$BE$28&lt;$BE11)*$I$9:$AC$28)+SUM(($BF$8:$BZ$8&lt;BV$8)*($BE$9:$BE$28&gt;$BE11)*$I$9:$AC$28)))*(INDEX($I$9:$AC$28,$BE11,BV$8)&gt;0)</f>
        <v>0</v>
      </c>
      <c r="BW11" s="243">
        <f t="array" ref="BW11">(SUM(($BF$8:$BZ$8&lt;BW$8)*($BE$9:$BE$28&lt;$BE11)*$I$9:$AC$28)+SUM(($BF$8:$BZ$8&gt;BW$8)*($BE$9:$BE$28&gt;$BE11)*$I$9:$AC$28)-(SUM(($BF$8:$BZ$8&gt;BW$8)*($BE$9:$BE$28&lt;$BE11)*$I$9:$AC$28)+SUM(($BF$8:$BZ$8&lt;BW$8)*($BE$9:$BE$28&gt;$BE11)*$I$9:$AC$28)))*(INDEX($I$9:$AC$28,$BE11,BW$8)&gt;0)</f>
        <v>0</v>
      </c>
      <c r="BX11" s="243">
        <f t="array" ref="BX11">(SUM(($BF$8:$BZ$8&lt;BX$8)*($BE$9:$BE$28&lt;$BE11)*$I$9:$AC$28)+SUM(($BF$8:$BZ$8&gt;BX$8)*($BE$9:$BE$28&gt;$BE11)*$I$9:$AC$28)-(SUM(($BF$8:$BZ$8&gt;BX$8)*($BE$9:$BE$28&lt;$BE11)*$I$9:$AC$28)+SUM(($BF$8:$BZ$8&lt;BX$8)*($BE$9:$BE$28&gt;$BE11)*$I$9:$AC$28)))*(INDEX($I$9:$AC$28,$BE11,BX$8)&gt;0)</f>
        <v>0</v>
      </c>
      <c r="BY11" s="243">
        <f t="array" ref="BY11">(SUM(($BF$8:$BZ$8&lt;BY$8)*($BE$9:$BE$28&lt;$BE11)*$I$9:$AC$28)+SUM(($BF$8:$BZ$8&gt;BY$8)*($BE$9:$BE$28&gt;$BE11)*$I$9:$AC$28)-(SUM(($BF$8:$BZ$8&gt;BY$8)*($BE$9:$BE$28&lt;$BE11)*$I$9:$AC$28)+SUM(($BF$8:$BZ$8&lt;BY$8)*($BE$9:$BE$28&gt;$BE11)*$I$9:$AC$28)))*(INDEX($I$9:$AC$28,$BE11,BY$8)&gt;0)</f>
        <v>0</v>
      </c>
      <c r="BZ11" s="244">
        <f t="array" ref="BZ11">(SUM(($BF$8:$BZ$8&lt;BZ$8)*($BE$9:$BE$28&lt;$BE11)*$I$9:$AC$28)+SUM(($BF$8:$BZ$8&gt;BZ$8)*($BE$9:$BE$28&gt;$BE11)*$I$9:$AC$28)-(SUM(($BF$8:$BZ$8&gt;BZ$8)*($BE$9:$BE$28&lt;$BE11)*$I$9:$AC$28)+SUM(($BF$8:$BZ$8&lt;BZ$8)*($BE$9:$BE$28&gt;$BE11)*$I$9:$AC$28)))*(INDEX($I$9:$AC$28,$BE11,BZ$8)&gt;0)</f>
        <v>0</v>
      </c>
      <c r="CA11" s="45"/>
      <c r="CE11" s="4">
        <v>0</v>
      </c>
      <c r="CF11" s="4">
        <v>0</v>
      </c>
      <c r="CG11" s="4" t="b">
        <v>0</v>
      </c>
      <c r="CH11" s="4">
        <v>0</v>
      </c>
    </row>
    <row r="12" spans="1:86" ht="15" thickBot="1" x14ac:dyDescent="0.4">
      <c r="A12" s="45"/>
      <c r="B12" s="119" t="s">
        <v>17</v>
      </c>
      <c r="C12" s="424" t="s">
        <v>237</v>
      </c>
      <c r="D12" s="95"/>
      <c r="E12" s="96"/>
      <c r="F12" s="270"/>
      <c r="G12" s="266"/>
      <c r="H12" s="267"/>
      <c r="I12" s="99"/>
      <c r="J12" s="96"/>
      <c r="K12" s="96"/>
      <c r="L12" s="96"/>
      <c r="M12" s="96"/>
      <c r="N12" s="96"/>
      <c r="O12" s="96"/>
      <c r="P12" s="96"/>
      <c r="Q12" s="96"/>
      <c r="R12" s="96"/>
      <c r="S12" s="96"/>
      <c r="T12" s="96"/>
      <c r="U12" s="96"/>
      <c r="V12" s="96"/>
      <c r="W12" s="96"/>
      <c r="X12" s="96"/>
      <c r="Y12" s="96"/>
      <c r="Z12" s="96"/>
      <c r="AA12" s="96"/>
      <c r="AB12" s="96"/>
      <c r="AC12" s="100"/>
      <c r="AD12" s="268"/>
      <c r="AE12" s="266"/>
      <c r="AF12" s="267"/>
      <c r="AG12" s="45"/>
      <c r="AH12" s="259" t="str">
        <f>IF(AND(COUNTA(D12:AF12)=0,D13=""),"",IF(AND('2.1'!E12=0,COUNTA(H12:AF12)&gt;0),"NOT OK",IF(AND(COUNTA(D12:AF12)=0,D13&lt;&gt;""),"NOT OK",IF(OR(AJ12="NOT OK",AK12="NOT OK",AL12="NOT OK",AT12="NOT OK"),"NOT OK",IF(OR(AO12="WARNING",AR12="WARNING"),"WARNING","OK")))))</f>
        <v/>
      </c>
      <c r="AI12" s="276" t="str">
        <f>IF(AND(COUNTA(D12:AF12)=0,'2.1'!D13=""),"",IF(AND(E12=0,COUNTA(H12:AF12)&gt;0),"As number of facilities is zero, please leave columns H to AF empty.",IF(AND(COUNTA(D12:AF12)=0,D13&lt;&gt;""),"Empty lines between grades not allowed.",IF(AND(D12&lt;&gt;"",OR(E12="",G12="")),"Information is missing for this facility grade/pool. Please report number of facilities and average LGD estimate.",IF(AJ12="NOT OK","Row incomplete. Check if zeros values are missing in the row.",IF(AK12="NOT OK","The number of facilities in buckets does not sum up to the total number.",IF(AL12="NOT OK","Please order the pools in ascending order of the weighted average of estimated LGD.",IF(AT12="NOT OK","The p-value of t-Test differs from ECB calculation.",IF(AO12="WARNING","The average LGD^R seems implausible with the given LGD realisation.",IF(AR12="WARNING","The variance of the LGD seems implausible with the given realisation.",""))))))))))</f>
        <v/>
      </c>
      <c r="AJ12" s="262" t="str">
        <f>IF(AND(COUNTA(D12:AF12)=0,'2.1'!D13=""),"",IF(AND(D12&lt;&gt;"",OR(E12="",G12="")),"NOT OK",IF(AND(D12&lt;&gt;"",E12&lt;&gt;"",E12=0,G12&lt;&gt;""),"OK",IF(COUNTA(D12:AF12)=COUNTA($D$9:$D$28)+7+1,"OK",IF(AND(E12=1,COUNTA(D12:AF12)=COUNTA($D$9:$D$28)+4+1),"OK","NOT OK")))))</f>
        <v/>
      </c>
      <c r="AK12" s="262" t="str">
        <f>IF(OR(AND(D12&lt;&gt;"",'2.1'!E12 =0),COUNTA(D12:AF12)=0),"",IF(E12=SUM(I12:AC12),"OK","NOT OK"))</f>
        <v/>
      </c>
      <c r="AL12" s="507" t="str">
        <f>IF('2.1'!G12="","",IF(G12&lt;G11,"NOT OK", "OK"))</f>
        <v/>
      </c>
      <c r="AM12" s="516" t="str">
        <f t="array" ref="AM12">IFERROR(SUM(I12:AC12*TRANSPOSE($AU$8:$AU$28))/SUM(I12:AC12),"")</f>
        <v/>
      </c>
      <c r="AN12" s="271" t="str">
        <f t="array" ref="AN12">IFERROR(SUM(I12:AC12*TRANSPOSE($AV$8:$AV$28))/SUM(I12:AC12),"")</f>
        <v/>
      </c>
      <c r="AO12" s="275" t="str">
        <f>IF(OR(AND(D12&lt;&gt;"",'2.1'!E12 =0),COUNTA(D12:AF12)=0),"",IFERROR(IF(AND(H12&gt;=AM12,H12&lt;=AN12),"OK","WARNING"),""))</f>
        <v/>
      </c>
      <c r="AP12" s="516" t="str">
        <f>IF(COUNTA(H12:AF12)=0,"",IFERROR('2.1'!BG41,""))</f>
        <v/>
      </c>
      <c r="AQ12" s="271" t="str">
        <f>IF(COUNTA(H12:AF12)=0,"",IFERROR('2.1'!BF41,""))</f>
        <v/>
      </c>
      <c r="AR12" s="275" t="str">
        <f>IF(OR(AND(D12&lt;&gt;"",E12 =0),COUNTA(D12:AF12)=0),"",IFERROR(IF(AND('2.1'!AD12&gt;=AP12,AD12&lt;=AQ12),"OK","WARNING"),""))</f>
        <v/>
      </c>
      <c r="AS12" s="510" t="str">
        <f>IFERROR(IF(COUNTA(D12:AF12)=0,"",1-_xlfn.T.DIST(SQRT(E12)*(H12-G12)/SQRT('2.1'!AD12),E12-1,TRUE)),"")</f>
        <v/>
      </c>
      <c r="AT12" s="275" t="str">
        <f>IFERROR(IF(COUNTA(D12:AF12)=0,"",IF(ABS(AF12-'2.1'!AS12)&gt;0.00001,"NOT OK","OK")),"")</f>
        <v/>
      </c>
      <c r="AU12" s="220">
        <f>'2.1'!G12</f>
        <v>0</v>
      </c>
      <c r="AV12" s="218">
        <f>IF('2.1'!G13&lt;&gt;"",G13,IF(G12=0,0,3))</f>
        <v>0</v>
      </c>
      <c r="AW12" s="221">
        <f>IFERROR('2.1'!AV12/2+AU12/2,"")</f>
        <v>0</v>
      </c>
      <c r="AX12" s="45"/>
      <c r="AY12" s="45"/>
      <c r="AZ12" s="120" t="s">
        <v>90</v>
      </c>
      <c r="BA12" s="236" t="e">
        <f t="array" ref="BA12">1*1/POWER($BA$8,2)*SQRT(SUM($I$9:$AC$28*POWER($BA$8*BF9:BZ28-$BA$9*($BA$7-$BD$9:$BD$28),2)))</f>
        <v>#DIV/0!</v>
      </c>
      <c r="BB12" s="45"/>
      <c r="BC12" s="45"/>
      <c r="BD12" s="241">
        <f>SUM('2.1'!I12:AC12)</f>
        <v>0</v>
      </c>
      <c r="BE12" s="242">
        <v>4</v>
      </c>
      <c r="BF12" s="243">
        <f t="array" ref="BF12">(SUM(($BF$8:$BZ$8&lt;BF$8)*($BE$9:$BE$28&lt;$BE12)*$I$9:$AC$28)+SUM(($BF$8:$BZ$8&gt;BF$8)*($BE$9:$BE$28&gt;$BE12)*$I$9:$AC$28)-(SUM(($BF$8:$BZ$8&gt;BF$8)*($BE$9:$BE$28&lt;$BE12)*$I$9:$AC$28)+SUM(($BF$8:$BZ$8&lt;BF$8)*($BE$9:$BE$28&gt;$BE12)*$I$9:$AC$28)))*(INDEX($I$9:$AC$28,$BE12,BF$8)&gt;0)</f>
        <v>0</v>
      </c>
      <c r="BG12" s="243">
        <f t="array" ref="BG12">(SUM(($BF$8:$BZ$8&lt;BG$8)*($BE$9:$BE$28&lt;$BE12)*$I$9:$AC$28)+SUM(($BF$8:$BZ$8&gt;BG$8)*($BE$9:$BE$28&gt;$BE12)*$I$9:$AC$28)-(SUM(($BF$8:$BZ$8&gt;BG$8)*($BE$9:$BE$28&lt;$BE12)*$I$9:$AC$28)+SUM(($BF$8:$BZ$8&lt;BG$8)*($BE$9:$BE$28&gt;$BE12)*$I$9:$AC$28)))*(INDEX($I$9:$AC$28,$BE12,BG$8)&gt;0)</f>
        <v>0</v>
      </c>
      <c r="BH12" s="243">
        <f t="array" ref="BH12">(SUM(($BF$8:$BZ$8&lt;BH$8)*($BE$9:$BE$28&lt;$BE12)*$I$9:$AC$28)+SUM(($BF$8:$BZ$8&gt;BH$8)*($BE$9:$BE$28&gt;$BE12)*$I$9:$AC$28)-(SUM(($BF$8:$BZ$8&gt;BH$8)*($BE$9:$BE$28&lt;$BE12)*$I$9:$AC$28)+SUM(($BF$8:$BZ$8&lt;BH$8)*($BE$9:$BE$28&gt;$BE12)*$I$9:$AC$28)))*(INDEX($I$9:$AC$28,$BE12,BH$8)&gt;0)</f>
        <v>0</v>
      </c>
      <c r="BI12" s="243">
        <f t="array" ref="BI12">(SUM(($BF$8:$BZ$8&lt;BI$8)*($BE$9:$BE$28&lt;$BE12)*$I$9:$AC$28)+SUM(($BF$8:$BZ$8&gt;BI$8)*($BE$9:$BE$28&gt;$BE12)*$I$9:$AC$28)-(SUM(($BF$8:$BZ$8&gt;BI$8)*($BE$9:$BE$28&lt;$BE12)*$I$9:$AC$28)+SUM(($BF$8:$BZ$8&lt;BI$8)*($BE$9:$BE$28&gt;$BE12)*$I$9:$AC$28)))*(INDEX($I$9:$AC$28,$BE12,BI$8)&gt;0)</f>
        <v>0</v>
      </c>
      <c r="BJ12" s="243">
        <f t="array" ref="BJ12">(SUM(($BF$8:$BZ$8&lt;BJ$8)*($BE$9:$BE$28&lt;$BE12)*$I$9:$AC$28)+SUM(($BF$8:$BZ$8&gt;BJ$8)*($BE$9:$BE$28&gt;$BE12)*$I$9:$AC$28)-(SUM(($BF$8:$BZ$8&gt;BJ$8)*($BE$9:$BE$28&lt;$BE12)*$I$9:$AC$28)+SUM(($BF$8:$BZ$8&lt;BJ$8)*($BE$9:$BE$28&gt;$BE12)*$I$9:$AC$28)))*(INDEX($I$9:$AC$28,$BE12,BJ$8)&gt;0)</f>
        <v>0</v>
      </c>
      <c r="BK12" s="243">
        <f t="array" ref="BK12">(SUM(($BF$8:$BZ$8&lt;BK$8)*($BE$9:$BE$28&lt;$BE12)*$I$9:$AC$28)+SUM(($BF$8:$BZ$8&gt;BK$8)*($BE$9:$BE$28&gt;$BE12)*$I$9:$AC$28)-(SUM(($BF$8:$BZ$8&gt;BK$8)*($BE$9:$BE$28&lt;$BE12)*$I$9:$AC$28)+SUM(($BF$8:$BZ$8&lt;BK$8)*($BE$9:$BE$28&gt;$BE12)*$I$9:$AC$28)))*(INDEX($I$9:$AC$28,$BE12,BK$8)&gt;0)</f>
        <v>0</v>
      </c>
      <c r="BL12" s="243">
        <f t="array" ref="BL12">(SUM(($BF$8:$BZ$8&lt;BL$8)*($BE$9:$BE$28&lt;$BE12)*$I$9:$AC$28)+SUM(($BF$8:$BZ$8&gt;BL$8)*($BE$9:$BE$28&gt;$BE12)*$I$9:$AC$28)-(SUM(($BF$8:$BZ$8&gt;BL$8)*($BE$9:$BE$28&lt;$BE12)*$I$9:$AC$28)+SUM(($BF$8:$BZ$8&lt;BL$8)*($BE$9:$BE$28&gt;$BE12)*$I$9:$AC$28)))*(INDEX($I$9:$AC$28,$BE12,BL$8)&gt;0)</f>
        <v>0</v>
      </c>
      <c r="BM12" s="243">
        <f t="array" ref="BM12">(SUM(($BF$8:$BZ$8&lt;BM$8)*($BE$9:$BE$28&lt;$BE12)*$I$9:$AC$28)+SUM(($BF$8:$BZ$8&gt;BM$8)*($BE$9:$BE$28&gt;$BE12)*$I$9:$AC$28)-(SUM(($BF$8:$BZ$8&gt;BM$8)*($BE$9:$BE$28&lt;$BE12)*$I$9:$AC$28)+SUM(($BF$8:$BZ$8&lt;BM$8)*($BE$9:$BE$28&gt;$BE12)*$I$9:$AC$28)))*(INDEX($I$9:$AC$28,$BE12,BM$8)&gt;0)</f>
        <v>0</v>
      </c>
      <c r="BN12" s="243">
        <f t="array" ref="BN12">(SUM(($BF$8:$BZ$8&lt;BN$8)*($BE$9:$BE$28&lt;$BE12)*$I$9:$AC$28)+SUM(($BF$8:$BZ$8&gt;BN$8)*($BE$9:$BE$28&gt;$BE12)*$I$9:$AC$28)-(SUM(($BF$8:$BZ$8&gt;BN$8)*($BE$9:$BE$28&lt;$BE12)*$I$9:$AC$28)+SUM(($BF$8:$BZ$8&lt;BN$8)*($BE$9:$BE$28&gt;$BE12)*$I$9:$AC$28)))*(INDEX($I$9:$AC$28,$BE12,BN$8)&gt;0)</f>
        <v>0</v>
      </c>
      <c r="BO12" s="243">
        <f t="array" ref="BO12">(SUM(($BF$8:$BZ$8&lt;BO$8)*($BE$9:$BE$28&lt;$BE12)*$I$9:$AC$28)+SUM(($BF$8:$BZ$8&gt;BO$8)*($BE$9:$BE$28&gt;$BE12)*$I$9:$AC$28)-(SUM(($BF$8:$BZ$8&gt;BO$8)*($BE$9:$BE$28&lt;$BE12)*$I$9:$AC$28)+SUM(($BF$8:$BZ$8&lt;BO$8)*($BE$9:$BE$28&gt;$BE12)*$I$9:$AC$28)))*(INDEX($I$9:$AC$28,$BE12,BO$8)&gt;0)</f>
        <v>0</v>
      </c>
      <c r="BP12" s="243">
        <f t="array" ref="BP12">(SUM(($BF$8:$BZ$8&lt;BP$8)*($BE$9:$BE$28&lt;$BE12)*$I$9:$AC$28)+SUM(($BF$8:$BZ$8&gt;BP$8)*($BE$9:$BE$28&gt;$BE12)*$I$9:$AC$28)-(SUM(($BF$8:$BZ$8&gt;BP$8)*($BE$9:$BE$28&lt;$BE12)*$I$9:$AC$28)+SUM(($BF$8:$BZ$8&lt;BP$8)*($BE$9:$BE$28&gt;$BE12)*$I$9:$AC$28)))*(INDEX($I$9:$AC$28,$BE12,BP$8)&gt;0)</f>
        <v>0</v>
      </c>
      <c r="BQ12" s="243">
        <f t="array" ref="BQ12">(SUM(($BF$8:$BZ$8&lt;BQ$8)*($BE$9:$BE$28&lt;$BE12)*$I$9:$AC$28)+SUM(($BF$8:$BZ$8&gt;BQ$8)*($BE$9:$BE$28&gt;$BE12)*$I$9:$AC$28)-(SUM(($BF$8:$BZ$8&gt;BQ$8)*($BE$9:$BE$28&lt;$BE12)*$I$9:$AC$28)+SUM(($BF$8:$BZ$8&lt;BQ$8)*($BE$9:$BE$28&gt;$BE12)*$I$9:$AC$28)))*(INDEX($I$9:$AC$28,$BE12,BQ$8)&gt;0)</f>
        <v>0</v>
      </c>
      <c r="BR12" s="243">
        <f t="array" ref="BR12">(SUM(($BF$8:$BZ$8&lt;BR$8)*($BE$9:$BE$28&lt;$BE12)*$I$9:$AC$28)+SUM(($BF$8:$BZ$8&gt;BR$8)*($BE$9:$BE$28&gt;$BE12)*$I$9:$AC$28)-(SUM(($BF$8:$BZ$8&gt;BR$8)*($BE$9:$BE$28&lt;$BE12)*$I$9:$AC$28)+SUM(($BF$8:$BZ$8&lt;BR$8)*($BE$9:$BE$28&gt;$BE12)*$I$9:$AC$28)))*(INDEX($I$9:$AC$28,$BE12,BR$8)&gt;0)</f>
        <v>0</v>
      </c>
      <c r="BS12" s="243">
        <f t="array" ref="BS12">(SUM(($BF$8:$BZ$8&lt;BS$8)*($BE$9:$BE$28&lt;$BE12)*$I$9:$AC$28)+SUM(($BF$8:$BZ$8&gt;BS$8)*($BE$9:$BE$28&gt;$BE12)*$I$9:$AC$28)-(SUM(($BF$8:$BZ$8&gt;BS$8)*($BE$9:$BE$28&lt;$BE12)*$I$9:$AC$28)+SUM(($BF$8:$BZ$8&lt;BS$8)*($BE$9:$BE$28&gt;$BE12)*$I$9:$AC$28)))*(INDEX($I$9:$AC$28,$BE12,BS$8)&gt;0)</f>
        <v>0</v>
      </c>
      <c r="BT12" s="243">
        <f t="array" ref="BT12">(SUM(($BF$8:$BZ$8&lt;BT$8)*($BE$9:$BE$28&lt;$BE12)*$I$9:$AC$28)+SUM(($BF$8:$BZ$8&gt;BT$8)*($BE$9:$BE$28&gt;$BE12)*$I$9:$AC$28)-(SUM(($BF$8:$BZ$8&gt;BT$8)*($BE$9:$BE$28&lt;$BE12)*$I$9:$AC$28)+SUM(($BF$8:$BZ$8&lt;BT$8)*($BE$9:$BE$28&gt;$BE12)*$I$9:$AC$28)))*(INDEX($I$9:$AC$28,$BE12,BT$8)&gt;0)</f>
        <v>0</v>
      </c>
      <c r="BU12" s="243">
        <f t="array" ref="BU12">(SUM(($BF$8:$BZ$8&lt;BU$8)*($BE$9:$BE$28&lt;$BE12)*$I$9:$AC$28)+SUM(($BF$8:$BZ$8&gt;BU$8)*($BE$9:$BE$28&gt;$BE12)*$I$9:$AC$28)-(SUM(($BF$8:$BZ$8&gt;BU$8)*($BE$9:$BE$28&lt;$BE12)*$I$9:$AC$28)+SUM(($BF$8:$BZ$8&lt;BU$8)*($BE$9:$BE$28&gt;$BE12)*$I$9:$AC$28)))*(INDEX($I$9:$AC$28,$BE12,BU$8)&gt;0)</f>
        <v>0</v>
      </c>
      <c r="BV12" s="243">
        <f t="array" ref="BV12">(SUM(($BF$8:$BZ$8&lt;BV$8)*($BE$9:$BE$28&lt;$BE12)*$I$9:$AC$28)+SUM(($BF$8:$BZ$8&gt;BV$8)*($BE$9:$BE$28&gt;$BE12)*$I$9:$AC$28)-(SUM(($BF$8:$BZ$8&gt;BV$8)*($BE$9:$BE$28&lt;$BE12)*$I$9:$AC$28)+SUM(($BF$8:$BZ$8&lt;BV$8)*($BE$9:$BE$28&gt;$BE12)*$I$9:$AC$28)))*(INDEX($I$9:$AC$28,$BE12,BV$8)&gt;0)</f>
        <v>0</v>
      </c>
      <c r="BW12" s="243">
        <f t="array" ref="BW12">(SUM(($BF$8:$BZ$8&lt;BW$8)*($BE$9:$BE$28&lt;$BE12)*$I$9:$AC$28)+SUM(($BF$8:$BZ$8&gt;BW$8)*($BE$9:$BE$28&gt;$BE12)*$I$9:$AC$28)-(SUM(($BF$8:$BZ$8&gt;BW$8)*($BE$9:$BE$28&lt;$BE12)*$I$9:$AC$28)+SUM(($BF$8:$BZ$8&lt;BW$8)*($BE$9:$BE$28&gt;$BE12)*$I$9:$AC$28)))*(INDEX($I$9:$AC$28,$BE12,BW$8)&gt;0)</f>
        <v>0</v>
      </c>
      <c r="BX12" s="243">
        <f t="array" ref="BX12">(SUM(($BF$8:$BZ$8&lt;BX$8)*($BE$9:$BE$28&lt;$BE12)*$I$9:$AC$28)+SUM(($BF$8:$BZ$8&gt;BX$8)*($BE$9:$BE$28&gt;$BE12)*$I$9:$AC$28)-(SUM(($BF$8:$BZ$8&gt;BX$8)*($BE$9:$BE$28&lt;$BE12)*$I$9:$AC$28)+SUM(($BF$8:$BZ$8&lt;BX$8)*($BE$9:$BE$28&gt;$BE12)*$I$9:$AC$28)))*(INDEX($I$9:$AC$28,$BE12,BX$8)&gt;0)</f>
        <v>0</v>
      </c>
      <c r="BY12" s="243">
        <f t="array" ref="BY12">(SUM(($BF$8:$BZ$8&lt;BY$8)*($BE$9:$BE$28&lt;$BE12)*$I$9:$AC$28)+SUM(($BF$8:$BZ$8&gt;BY$8)*($BE$9:$BE$28&gt;$BE12)*$I$9:$AC$28)-(SUM(($BF$8:$BZ$8&gt;BY$8)*($BE$9:$BE$28&lt;$BE12)*$I$9:$AC$28)+SUM(($BF$8:$BZ$8&lt;BY$8)*($BE$9:$BE$28&gt;$BE12)*$I$9:$AC$28)))*(INDEX($I$9:$AC$28,$BE12,BY$8)&gt;0)</f>
        <v>0</v>
      </c>
      <c r="BZ12" s="244">
        <f t="array" ref="BZ12">(SUM(($BF$8:$BZ$8&lt;BZ$8)*($BE$9:$BE$28&lt;$BE12)*$I$9:$AC$28)+SUM(($BF$8:$BZ$8&gt;BZ$8)*($BE$9:$BE$28&gt;$BE12)*$I$9:$AC$28)-(SUM(($BF$8:$BZ$8&gt;BZ$8)*($BE$9:$BE$28&lt;$BE12)*$I$9:$AC$28)+SUM(($BF$8:$BZ$8&lt;BZ$8)*($BE$9:$BE$28&gt;$BE12)*$I$9:$AC$28)))*(INDEX($I$9:$AC$28,$BE12,BZ$8)&gt;0)</f>
        <v>0</v>
      </c>
      <c r="CA12" s="45"/>
      <c r="CE12" s="4">
        <v>0</v>
      </c>
      <c r="CF12" s="4">
        <v>0</v>
      </c>
      <c r="CG12" s="4" t="b">
        <v>0</v>
      </c>
      <c r="CH12" s="4">
        <v>0</v>
      </c>
    </row>
    <row r="13" spans="1:86" x14ac:dyDescent="0.35">
      <c r="A13" s="45"/>
      <c r="B13" s="399" t="s">
        <v>18</v>
      </c>
      <c r="C13" s="424" t="s">
        <v>238</v>
      </c>
      <c r="D13" s="95"/>
      <c r="E13" s="96"/>
      <c r="F13" s="270"/>
      <c r="G13" s="266"/>
      <c r="H13" s="267"/>
      <c r="I13" s="99"/>
      <c r="J13" s="96"/>
      <c r="K13" s="96"/>
      <c r="L13" s="96"/>
      <c r="M13" s="96"/>
      <c r="N13" s="96"/>
      <c r="O13" s="96"/>
      <c r="P13" s="96"/>
      <c r="Q13" s="96"/>
      <c r="R13" s="96"/>
      <c r="S13" s="96"/>
      <c r="T13" s="96"/>
      <c r="U13" s="96"/>
      <c r="V13" s="96"/>
      <c r="W13" s="96"/>
      <c r="X13" s="96"/>
      <c r="Y13" s="96"/>
      <c r="Z13" s="96"/>
      <c r="AA13" s="96"/>
      <c r="AB13" s="96"/>
      <c r="AC13" s="100"/>
      <c r="AD13" s="268"/>
      <c r="AE13" s="266"/>
      <c r="AF13" s="267"/>
      <c r="AG13" s="45"/>
      <c r="AH13" s="259" t="str">
        <f>IF(AND(COUNTA(D13:AF13)=0,D14=""),"",IF(AND('2.1'!E13=0,COUNTA(H13:AF13)&gt;0),"NOT OK",IF(AND(COUNTA(D13:AF13)=0,D14&lt;&gt;""),"NOT OK",IF(OR(AJ13="NOT OK",AK13="NOT OK",AL13="NOT OK",AT13="NOT OK"),"NOT OK",IF(OR(AO13="WARNING",AR13="WARNING"),"WARNING","OK")))))</f>
        <v/>
      </c>
      <c r="AI13" s="276" t="str">
        <f>IF(AND(COUNTA(D13:AF13)=0,'2.1'!D14=""),"",IF(AND(E13=0,COUNTA(H13:AF13)&gt;0),"As number of facilities is zero, please leave columns H to AF empty.",IF(AND(COUNTA(D13:AF13)=0,D14&lt;&gt;""),"Empty lines between grades not allowed.",IF(AND(D13&lt;&gt;"",OR(E13="",G13="")),"Information is missing for this facility grade/pool. Please report number of facilities and average LGD estimate.",IF(AJ13="NOT OK","Row incomplete. Check if zeros values are missing in the row.",IF(AK13="NOT OK","The number of facilities in buckets does not sum up to the total number.",IF(AL13="NOT OK","Please order the pools in ascending order of the weighted average of estimated LGD.",IF(AT13="NOT OK","The p-value of t-Test differs from ECB calculation.",IF(AO13="WARNING","The average LGD^R seems implausible with the given LGD realisation.",IF(AR13="WARNING","The variance of the LGD seems implausible with the given realisation.",""))))))))))</f>
        <v/>
      </c>
      <c r="AJ13" s="262" t="str">
        <f>IF(AND(COUNTA(D13:AF13)=0,'2.1'!D14=""),"",IF(AND(D13&lt;&gt;"",OR(E13="",G13="")),"NOT OK",IF(AND(D13&lt;&gt;"",E13&lt;&gt;"",E13=0,G13&lt;&gt;""),"OK",IF(COUNTA(D13:AF13)=COUNTA($D$9:$D$28)+7+1,"OK",IF(AND(E13=1,COUNTA(D13:AF13)=COUNTA($D$9:$D$28)+4+1),"OK","NOT OK")))))</f>
        <v/>
      </c>
      <c r="AK13" s="262" t="str">
        <f>IF(OR(AND(D13&lt;&gt;"",'2.1'!E13 =0),COUNTA(D13:AF13)=0),"",IF(E13=SUM(I13:AC13),"OK","NOT OK"))</f>
        <v/>
      </c>
      <c r="AL13" s="507" t="str">
        <f>IF('2.1'!G13="","",IF(G13&lt;G12,"NOT OK", "OK"))</f>
        <v/>
      </c>
      <c r="AM13" s="516" t="str">
        <f t="array" ref="AM13">IFERROR(SUM(I13:AC13*TRANSPOSE($AU$8:$AU$28))/SUM(I13:AC13),"")</f>
        <v/>
      </c>
      <c r="AN13" s="271" t="str">
        <f t="array" ref="AN13">IFERROR(SUM(I13:AC13*TRANSPOSE($AV$8:$AV$28))/SUM(I13:AC13),"")</f>
        <v/>
      </c>
      <c r="AO13" s="275" t="str">
        <f>IF(OR(AND(D13&lt;&gt;"",'2.1'!E13 =0),COUNTA(D13:AF13)=0),"",IFERROR(IF(AND(H13&gt;=AM13,H13&lt;=AN13),"OK","WARNING"),""))</f>
        <v/>
      </c>
      <c r="AP13" s="516" t="str">
        <f>IF(COUNTA(H13:AF13)=0,"",IFERROR('2.1'!BG42,""))</f>
        <v/>
      </c>
      <c r="AQ13" s="271" t="str">
        <f>IF(COUNTA(H13:AF13)=0,"",IFERROR('2.1'!BF42,""))</f>
        <v/>
      </c>
      <c r="AR13" s="275" t="str">
        <f>IF(OR(AND(D13&lt;&gt;"",E13 =0),COUNTA(D13:AF13)=0),"",IFERROR(IF(AND('2.1'!AD13&gt;=AP13,AD13&lt;=AQ13),"OK","WARNING"),""))</f>
        <v/>
      </c>
      <c r="AS13" s="510" t="str">
        <f>IFERROR(IF(COUNTA(D13:AF13)=0,"",1-_xlfn.T.DIST(SQRT(E13)*(H13-G13)/SQRT('2.1'!AD13),E13-1,TRUE)),"")</f>
        <v/>
      </c>
      <c r="AT13" s="275" t="str">
        <f>IFERROR(IF(COUNTA(D13:AF13)=0,"",IF(ABS(AF13-'2.1'!AS13)&gt;0.00001,"NOT OK","OK")),"")</f>
        <v/>
      </c>
      <c r="AU13" s="220">
        <f>'2.1'!G13</f>
        <v>0</v>
      </c>
      <c r="AV13" s="218">
        <f>IF('2.1'!G14&lt;&gt;"",G14,IF(G13=0,0,3))</f>
        <v>0</v>
      </c>
      <c r="AW13" s="221">
        <f>IFERROR('2.1'!AV13/2+AU13/2,"")</f>
        <v>0</v>
      </c>
      <c r="AX13" s="45"/>
      <c r="AY13" s="45"/>
      <c r="AZ13" s="45"/>
      <c r="BA13" s="45"/>
      <c r="BB13" s="45"/>
      <c r="BC13" s="45"/>
      <c r="BD13" s="241">
        <f>SUM('2.1'!I13:AC13)</f>
        <v>0</v>
      </c>
      <c r="BE13" s="242">
        <v>5</v>
      </c>
      <c r="BF13" s="243">
        <f t="array" ref="BF13">(SUM(($BF$8:$BZ$8&lt;BF$8)*($BE$9:$BE$28&lt;$BE13)*$I$9:$AC$28)+SUM(($BF$8:$BZ$8&gt;BF$8)*($BE$9:$BE$28&gt;$BE13)*$I$9:$AC$28)-(SUM(($BF$8:$BZ$8&gt;BF$8)*($BE$9:$BE$28&lt;$BE13)*$I$9:$AC$28)+SUM(($BF$8:$BZ$8&lt;BF$8)*($BE$9:$BE$28&gt;$BE13)*$I$9:$AC$28)))*(INDEX($I$9:$AC$28,$BE13,BF$8)&gt;0)</f>
        <v>0</v>
      </c>
      <c r="BG13" s="243">
        <f t="array" ref="BG13">(SUM(($BF$8:$BZ$8&lt;BG$8)*($BE$9:$BE$28&lt;$BE13)*$I$9:$AC$28)+SUM(($BF$8:$BZ$8&gt;BG$8)*($BE$9:$BE$28&gt;$BE13)*$I$9:$AC$28)-(SUM(($BF$8:$BZ$8&gt;BG$8)*($BE$9:$BE$28&lt;$BE13)*$I$9:$AC$28)+SUM(($BF$8:$BZ$8&lt;BG$8)*($BE$9:$BE$28&gt;$BE13)*$I$9:$AC$28)))*(INDEX($I$9:$AC$28,$BE13,BG$8)&gt;0)</f>
        <v>0</v>
      </c>
      <c r="BH13" s="243">
        <f t="array" ref="BH13">(SUM(($BF$8:$BZ$8&lt;BH$8)*($BE$9:$BE$28&lt;$BE13)*$I$9:$AC$28)+SUM(($BF$8:$BZ$8&gt;BH$8)*($BE$9:$BE$28&gt;$BE13)*$I$9:$AC$28)-(SUM(($BF$8:$BZ$8&gt;BH$8)*($BE$9:$BE$28&lt;$BE13)*$I$9:$AC$28)+SUM(($BF$8:$BZ$8&lt;BH$8)*($BE$9:$BE$28&gt;$BE13)*$I$9:$AC$28)))*(INDEX($I$9:$AC$28,$BE13,BH$8)&gt;0)</f>
        <v>0</v>
      </c>
      <c r="BI13" s="243">
        <f t="array" ref="BI13">(SUM(($BF$8:$BZ$8&lt;BI$8)*($BE$9:$BE$28&lt;$BE13)*$I$9:$AC$28)+SUM(($BF$8:$BZ$8&gt;BI$8)*($BE$9:$BE$28&gt;$BE13)*$I$9:$AC$28)-(SUM(($BF$8:$BZ$8&gt;BI$8)*($BE$9:$BE$28&lt;$BE13)*$I$9:$AC$28)+SUM(($BF$8:$BZ$8&lt;BI$8)*($BE$9:$BE$28&gt;$BE13)*$I$9:$AC$28)))*(INDEX($I$9:$AC$28,$BE13,BI$8)&gt;0)</f>
        <v>0</v>
      </c>
      <c r="BJ13" s="243">
        <f t="array" ref="BJ13">(SUM(($BF$8:$BZ$8&lt;BJ$8)*($BE$9:$BE$28&lt;$BE13)*$I$9:$AC$28)+SUM(($BF$8:$BZ$8&gt;BJ$8)*($BE$9:$BE$28&gt;$BE13)*$I$9:$AC$28)-(SUM(($BF$8:$BZ$8&gt;BJ$8)*($BE$9:$BE$28&lt;$BE13)*$I$9:$AC$28)+SUM(($BF$8:$BZ$8&lt;BJ$8)*($BE$9:$BE$28&gt;$BE13)*$I$9:$AC$28)))*(INDEX($I$9:$AC$28,$BE13,BJ$8)&gt;0)</f>
        <v>0</v>
      </c>
      <c r="BK13" s="243">
        <f t="array" ref="BK13">(SUM(($BF$8:$BZ$8&lt;BK$8)*($BE$9:$BE$28&lt;$BE13)*$I$9:$AC$28)+SUM(($BF$8:$BZ$8&gt;BK$8)*($BE$9:$BE$28&gt;$BE13)*$I$9:$AC$28)-(SUM(($BF$8:$BZ$8&gt;BK$8)*($BE$9:$BE$28&lt;$BE13)*$I$9:$AC$28)+SUM(($BF$8:$BZ$8&lt;BK$8)*($BE$9:$BE$28&gt;$BE13)*$I$9:$AC$28)))*(INDEX($I$9:$AC$28,$BE13,BK$8)&gt;0)</f>
        <v>0</v>
      </c>
      <c r="BL13" s="243">
        <f t="array" ref="BL13">(SUM(($BF$8:$BZ$8&lt;BL$8)*($BE$9:$BE$28&lt;$BE13)*$I$9:$AC$28)+SUM(($BF$8:$BZ$8&gt;BL$8)*($BE$9:$BE$28&gt;$BE13)*$I$9:$AC$28)-(SUM(($BF$8:$BZ$8&gt;BL$8)*($BE$9:$BE$28&lt;$BE13)*$I$9:$AC$28)+SUM(($BF$8:$BZ$8&lt;BL$8)*($BE$9:$BE$28&gt;$BE13)*$I$9:$AC$28)))*(INDEX($I$9:$AC$28,$BE13,BL$8)&gt;0)</f>
        <v>0</v>
      </c>
      <c r="BM13" s="243">
        <f t="array" ref="BM13">(SUM(($BF$8:$BZ$8&lt;BM$8)*($BE$9:$BE$28&lt;$BE13)*$I$9:$AC$28)+SUM(($BF$8:$BZ$8&gt;BM$8)*($BE$9:$BE$28&gt;$BE13)*$I$9:$AC$28)-(SUM(($BF$8:$BZ$8&gt;BM$8)*($BE$9:$BE$28&lt;$BE13)*$I$9:$AC$28)+SUM(($BF$8:$BZ$8&lt;BM$8)*($BE$9:$BE$28&gt;$BE13)*$I$9:$AC$28)))*(INDEX($I$9:$AC$28,$BE13,BM$8)&gt;0)</f>
        <v>0</v>
      </c>
      <c r="BN13" s="243">
        <f t="array" ref="BN13">(SUM(($BF$8:$BZ$8&lt;BN$8)*($BE$9:$BE$28&lt;$BE13)*$I$9:$AC$28)+SUM(($BF$8:$BZ$8&gt;BN$8)*($BE$9:$BE$28&gt;$BE13)*$I$9:$AC$28)-(SUM(($BF$8:$BZ$8&gt;BN$8)*($BE$9:$BE$28&lt;$BE13)*$I$9:$AC$28)+SUM(($BF$8:$BZ$8&lt;BN$8)*($BE$9:$BE$28&gt;$BE13)*$I$9:$AC$28)))*(INDEX($I$9:$AC$28,$BE13,BN$8)&gt;0)</f>
        <v>0</v>
      </c>
      <c r="BO13" s="243">
        <f t="array" ref="BO13">(SUM(($BF$8:$BZ$8&lt;BO$8)*($BE$9:$BE$28&lt;$BE13)*$I$9:$AC$28)+SUM(($BF$8:$BZ$8&gt;BO$8)*($BE$9:$BE$28&gt;$BE13)*$I$9:$AC$28)-(SUM(($BF$8:$BZ$8&gt;BO$8)*($BE$9:$BE$28&lt;$BE13)*$I$9:$AC$28)+SUM(($BF$8:$BZ$8&lt;BO$8)*($BE$9:$BE$28&gt;$BE13)*$I$9:$AC$28)))*(INDEX($I$9:$AC$28,$BE13,BO$8)&gt;0)</f>
        <v>0</v>
      </c>
      <c r="BP13" s="243">
        <f t="array" ref="BP13">(SUM(($BF$8:$BZ$8&lt;BP$8)*($BE$9:$BE$28&lt;$BE13)*$I$9:$AC$28)+SUM(($BF$8:$BZ$8&gt;BP$8)*($BE$9:$BE$28&gt;$BE13)*$I$9:$AC$28)-(SUM(($BF$8:$BZ$8&gt;BP$8)*($BE$9:$BE$28&lt;$BE13)*$I$9:$AC$28)+SUM(($BF$8:$BZ$8&lt;BP$8)*($BE$9:$BE$28&gt;$BE13)*$I$9:$AC$28)))*(INDEX($I$9:$AC$28,$BE13,BP$8)&gt;0)</f>
        <v>0</v>
      </c>
      <c r="BQ13" s="243">
        <f t="array" ref="BQ13">(SUM(($BF$8:$BZ$8&lt;BQ$8)*($BE$9:$BE$28&lt;$BE13)*$I$9:$AC$28)+SUM(($BF$8:$BZ$8&gt;BQ$8)*($BE$9:$BE$28&gt;$BE13)*$I$9:$AC$28)-(SUM(($BF$8:$BZ$8&gt;BQ$8)*($BE$9:$BE$28&lt;$BE13)*$I$9:$AC$28)+SUM(($BF$8:$BZ$8&lt;BQ$8)*($BE$9:$BE$28&gt;$BE13)*$I$9:$AC$28)))*(INDEX($I$9:$AC$28,$BE13,BQ$8)&gt;0)</f>
        <v>0</v>
      </c>
      <c r="BR13" s="243">
        <f t="array" ref="BR13">(SUM(($BF$8:$BZ$8&lt;BR$8)*($BE$9:$BE$28&lt;$BE13)*$I$9:$AC$28)+SUM(($BF$8:$BZ$8&gt;BR$8)*($BE$9:$BE$28&gt;$BE13)*$I$9:$AC$28)-(SUM(($BF$8:$BZ$8&gt;BR$8)*($BE$9:$BE$28&lt;$BE13)*$I$9:$AC$28)+SUM(($BF$8:$BZ$8&lt;BR$8)*($BE$9:$BE$28&gt;$BE13)*$I$9:$AC$28)))*(INDEX($I$9:$AC$28,$BE13,BR$8)&gt;0)</f>
        <v>0</v>
      </c>
      <c r="BS13" s="243">
        <f t="array" ref="BS13">(SUM(($BF$8:$BZ$8&lt;BS$8)*($BE$9:$BE$28&lt;$BE13)*$I$9:$AC$28)+SUM(($BF$8:$BZ$8&gt;BS$8)*($BE$9:$BE$28&gt;$BE13)*$I$9:$AC$28)-(SUM(($BF$8:$BZ$8&gt;BS$8)*($BE$9:$BE$28&lt;$BE13)*$I$9:$AC$28)+SUM(($BF$8:$BZ$8&lt;BS$8)*($BE$9:$BE$28&gt;$BE13)*$I$9:$AC$28)))*(INDEX($I$9:$AC$28,$BE13,BS$8)&gt;0)</f>
        <v>0</v>
      </c>
      <c r="BT13" s="243">
        <f t="array" ref="BT13">(SUM(($BF$8:$BZ$8&lt;BT$8)*($BE$9:$BE$28&lt;$BE13)*$I$9:$AC$28)+SUM(($BF$8:$BZ$8&gt;BT$8)*($BE$9:$BE$28&gt;$BE13)*$I$9:$AC$28)-(SUM(($BF$8:$BZ$8&gt;BT$8)*($BE$9:$BE$28&lt;$BE13)*$I$9:$AC$28)+SUM(($BF$8:$BZ$8&lt;BT$8)*($BE$9:$BE$28&gt;$BE13)*$I$9:$AC$28)))*(INDEX($I$9:$AC$28,$BE13,BT$8)&gt;0)</f>
        <v>0</v>
      </c>
      <c r="BU13" s="243">
        <f t="array" ref="BU13">(SUM(($BF$8:$BZ$8&lt;BU$8)*($BE$9:$BE$28&lt;$BE13)*$I$9:$AC$28)+SUM(($BF$8:$BZ$8&gt;BU$8)*($BE$9:$BE$28&gt;$BE13)*$I$9:$AC$28)-(SUM(($BF$8:$BZ$8&gt;BU$8)*($BE$9:$BE$28&lt;$BE13)*$I$9:$AC$28)+SUM(($BF$8:$BZ$8&lt;BU$8)*($BE$9:$BE$28&gt;$BE13)*$I$9:$AC$28)))*(INDEX($I$9:$AC$28,$BE13,BU$8)&gt;0)</f>
        <v>0</v>
      </c>
      <c r="BV13" s="243">
        <f t="array" ref="BV13">(SUM(($BF$8:$BZ$8&lt;BV$8)*($BE$9:$BE$28&lt;$BE13)*$I$9:$AC$28)+SUM(($BF$8:$BZ$8&gt;BV$8)*($BE$9:$BE$28&gt;$BE13)*$I$9:$AC$28)-(SUM(($BF$8:$BZ$8&gt;BV$8)*($BE$9:$BE$28&lt;$BE13)*$I$9:$AC$28)+SUM(($BF$8:$BZ$8&lt;BV$8)*($BE$9:$BE$28&gt;$BE13)*$I$9:$AC$28)))*(INDEX($I$9:$AC$28,$BE13,BV$8)&gt;0)</f>
        <v>0</v>
      </c>
      <c r="BW13" s="243">
        <f t="array" ref="BW13">(SUM(($BF$8:$BZ$8&lt;BW$8)*($BE$9:$BE$28&lt;$BE13)*$I$9:$AC$28)+SUM(($BF$8:$BZ$8&gt;BW$8)*($BE$9:$BE$28&gt;$BE13)*$I$9:$AC$28)-(SUM(($BF$8:$BZ$8&gt;BW$8)*($BE$9:$BE$28&lt;$BE13)*$I$9:$AC$28)+SUM(($BF$8:$BZ$8&lt;BW$8)*($BE$9:$BE$28&gt;$BE13)*$I$9:$AC$28)))*(INDEX($I$9:$AC$28,$BE13,BW$8)&gt;0)</f>
        <v>0</v>
      </c>
      <c r="BX13" s="243">
        <f t="array" ref="BX13">(SUM(($BF$8:$BZ$8&lt;BX$8)*($BE$9:$BE$28&lt;$BE13)*$I$9:$AC$28)+SUM(($BF$8:$BZ$8&gt;BX$8)*($BE$9:$BE$28&gt;$BE13)*$I$9:$AC$28)-(SUM(($BF$8:$BZ$8&gt;BX$8)*($BE$9:$BE$28&lt;$BE13)*$I$9:$AC$28)+SUM(($BF$8:$BZ$8&lt;BX$8)*($BE$9:$BE$28&gt;$BE13)*$I$9:$AC$28)))*(INDEX($I$9:$AC$28,$BE13,BX$8)&gt;0)</f>
        <v>0</v>
      </c>
      <c r="BY13" s="243">
        <f t="array" ref="BY13">(SUM(($BF$8:$BZ$8&lt;BY$8)*($BE$9:$BE$28&lt;$BE13)*$I$9:$AC$28)+SUM(($BF$8:$BZ$8&gt;BY$8)*($BE$9:$BE$28&gt;$BE13)*$I$9:$AC$28)-(SUM(($BF$8:$BZ$8&gt;BY$8)*($BE$9:$BE$28&lt;$BE13)*$I$9:$AC$28)+SUM(($BF$8:$BZ$8&lt;BY$8)*($BE$9:$BE$28&gt;$BE13)*$I$9:$AC$28)))*(INDEX($I$9:$AC$28,$BE13,BY$8)&gt;0)</f>
        <v>0</v>
      </c>
      <c r="BZ13" s="244">
        <f t="array" ref="BZ13">(SUM(($BF$8:$BZ$8&lt;BZ$8)*($BE$9:$BE$28&lt;$BE13)*$I$9:$AC$28)+SUM(($BF$8:$BZ$8&gt;BZ$8)*($BE$9:$BE$28&gt;$BE13)*$I$9:$AC$28)-(SUM(($BF$8:$BZ$8&gt;BZ$8)*($BE$9:$BE$28&lt;$BE13)*$I$9:$AC$28)+SUM(($BF$8:$BZ$8&lt;BZ$8)*($BE$9:$BE$28&gt;$BE13)*$I$9:$AC$28)))*(INDEX($I$9:$AC$28,$BE13,BZ$8)&gt;0)</f>
        <v>0</v>
      </c>
      <c r="CA13" s="45"/>
      <c r="CE13" s="4">
        <v>0</v>
      </c>
      <c r="CF13" s="4">
        <v>0</v>
      </c>
      <c r="CG13" s="4" t="b">
        <v>0</v>
      </c>
      <c r="CH13" s="4">
        <v>0</v>
      </c>
    </row>
    <row r="14" spans="1:86" x14ac:dyDescent="0.35">
      <c r="A14" s="45"/>
      <c r="B14" s="119" t="s">
        <v>19</v>
      </c>
      <c r="C14" s="424" t="s">
        <v>239</v>
      </c>
      <c r="D14" s="95"/>
      <c r="E14" s="96"/>
      <c r="F14" s="270"/>
      <c r="G14" s="266"/>
      <c r="H14" s="267"/>
      <c r="I14" s="99"/>
      <c r="J14" s="96"/>
      <c r="K14" s="96"/>
      <c r="L14" s="96"/>
      <c r="M14" s="96"/>
      <c r="N14" s="96"/>
      <c r="O14" s="96"/>
      <c r="P14" s="96"/>
      <c r="Q14" s="96"/>
      <c r="R14" s="96"/>
      <c r="S14" s="96"/>
      <c r="T14" s="96"/>
      <c r="U14" s="96"/>
      <c r="V14" s="96"/>
      <c r="W14" s="96"/>
      <c r="X14" s="96"/>
      <c r="Y14" s="96"/>
      <c r="Z14" s="96"/>
      <c r="AA14" s="96"/>
      <c r="AB14" s="96"/>
      <c r="AC14" s="100"/>
      <c r="AD14" s="268"/>
      <c r="AE14" s="266"/>
      <c r="AF14" s="267"/>
      <c r="AG14" s="45"/>
      <c r="AH14" s="259" t="str">
        <f>IF(AND(COUNTA(D14:AF14)=0,D15=""),"",IF(AND('2.1'!E14=0,COUNTA(H14:AF14)&gt;0),"NOT OK",IF(AND(COUNTA(D14:AF14)=0,D15&lt;&gt;""),"NOT OK",IF(OR(AJ14="NOT OK",AK14="NOT OK",AL14="NOT OK",AT14="NOT OK"),"NOT OK",IF(OR(AO14="WARNING",AR14="WARNING"),"WARNING","OK")))))</f>
        <v/>
      </c>
      <c r="AI14" s="276" t="str">
        <f>IF(AND(COUNTA(D14:AF14)=0,'2.1'!D15=""),"",IF(AND(E14=0,COUNTA(H14:AF14)&gt;0),"As number of facilities is zero, please leave columns H to AF empty.",IF(AND(COUNTA(D14:AF14)=0,D15&lt;&gt;""),"Empty lines between grades not allowed.",IF(AND(D14&lt;&gt;"",OR(E14="",G14="")),"Information is missing for this facility grade/pool. Please report number of facilities and average LGD estimate.",IF(AJ14="NOT OK","Row incomplete. Check if zeros values are missing in the row.",IF(AK14="NOT OK","The number of facilities in buckets does not sum up to the total number.",IF(AL14="NOT OK","Please order the pools in ascending order of the weighted average of estimated LGD.",IF(AT14="NOT OK","The p-value of t-Test differs from ECB calculation.",IF(AO14="WARNING","The average LGD^R seems implausible with the given LGD realisation.",IF(AR14="WARNING","The variance of the LGD seems implausible with the given realisation.",""))))))))))</f>
        <v/>
      </c>
      <c r="AJ14" s="262" t="str">
        <f>IF(AND(COUNTA(D14:AF14)=0,'2.1'!D15=""),"",IF(AND(D14&lt;&gt;"",OR(E14="",G14="")),"NOT OK",IF(AND(D14&lt;&gt;"",E14&lt;&gt;"",E14=0,G14&lt;&gt;""),"OK",IF(COUNTA(D14:AF14)=COUNTA($D$9:$D$28)+7+1,"OK",IF(AND(E14=1,COUNTA(D14:AF14)=COUNTA($D$9:$D$28)+4+1),"OK","NOT OK")))))</f>
        <v/>
      </c>
      <c r="AK14" s="262" t="str">
        <f>IF(OR(AND(D14&lt;&gt;"",'2.1'!E14 =0),COUNTA(D14:AF14)=0),"",IF(E14=SUM(I14:AC14),"OK","NOT OK"))</f>
        <v/>
      </c>
      <c r="AL14" s="507" t="str">
        <f>IF('2.1'!G14="","",IF(G14&lt;G13,"NOT OK", "OK"))</f>
        <v/>
      </c>
      <c r="AM14" s="516" t="str">
        <f t="array" ref="AM14">IFERROR(SUM(I14:AC14*TRANSPOSE($AU$8:$AU$28))/SUM(I14:AC14),"")</f>
        <v/>
      </c>
      <c r="AN14" s="271" t="str">
        <f t="array" ref="AN14">IFERROR(SUM(I14:AC14*TRANSPOSE($AV$8:$AV$28))/SUM(I14:AC14),"")</f>
        <v/>
      </c>
      <c r="AO14" s="275" t="str">
        <f>IF(OR(AND(D14&lt;&gt;"",'2.1'!E14 =0),COUNTA(D14:AF14)=0),"",IFERROR(IF(AND(H14&gt;=AM14,H14&lt;=AN14),"OK","WARNING"),""))</f>
        <v/>
      </c>
      <c r="AP14" s="516" t="str">
        <f>IF(COUNTA(H14:AF14)=0,"",IFERROR('2.1'!BG43,""))</f>
        <v/>
      </c>
      <c r="AQ14" s="271" t="str">
        <f>IF(COUNTA(H14:AF14)=0,"",IFERROR('2.1'!BF43,""))</f>
        <v/>
      </c>
      <c r="AR14" s="275" t="str">
        <f>IF(OR(AND(D14&lt;&gt;"",E14 =0),COUNTA(D14:AF14)=0),"",IFERROR(IF(AND('2.1'!AD14&gt;=AP14,AD14&lt;=AQ14),"OK","WARNING"),""))</f>
        <v/>
      </c>
      <c r="AS14" s="510" t="str">
        <f>IFERROR(IF(COUNTA(D14:AF14)=0,"",1-_xlfn.T.DIST(SQRT(E14)*(H14-G14)/SQRT('2.1'!AD14),E14-1,TRUE)),"")</f>
        <v/>
      </c>
      <c r="AT14" s="275" t="str">
        <f>IFERROR(IF(COUNTA(D14:AF14)=0,"",IF(ABS(AF14-'2.1'!AS14)&gt;0.00001,"NOT OK","OK")),"")</f>
        <v/>
      </c>
      <c r="AU14" s="220">
        <f>'2.1'!G14</f>
        <v>0</v>
      </c>
      <c r="AV14" s="218">
        <f>IF('2.1'!G15&lt;&gt;"",G15,IF(G14=0,0,3))</f>
        <v>0</v>
      </c>
      <c r="AW14" s="221">
        <f>IFERROR('2.1'!AV14/2+AU14/2,"")</f>
        <v>0</v>
      </c>
      <c r="AX14" s="45"/>
      <c r="AY14" s="45"/>
      <c r="AZ14" s="45"/>
      <c r="BA14" s="45"/>
      <c r="BB14" s="45"/>
      <c r="BC14" s="45"/>
      <c r="BD14" s="241">
        <f>SUM('2.1'!I14:AC14)</f>
        <v>0</v>
      </c>
      <c r="BE14" s="242">
        <v>6</v>
      </c>
      <c r="BF14" s="243">
        <f t="array" ref="BF14">(SUM(($BF$8:$BZ$8&lt;BF$8)*($BE$9:$BE$28&lt;$BE14)*$I$9:$AC$28)+SUM(($BF$8:$BZ$8&gt;BF$8)*($BE$9:$BE$28&gt;$BE14)*$I$9:$AC$28)-(SUM(($BF$8:$BZ$8&gt;BF$8)*($BE$9:$BE$28&lt;$BE14)*$I$9:$AC$28)+SUM(($BF$8:$BZ$8&lt;BF$8)*($BE$9:$BE$28&gt;$BE14)*$I$9:$AC$28)))*(INDEX($I$9:$AC$28,$BE14,BF$8)&gt;0)</f>
        <v>0</v>
      </c>
      <c r="BG14" s="243">
        <f t="array" ref="BG14">(SUM(($BF$8:$BZ$8&lt;BG$8)*($BE$9:$BE$28&lt;$BE14)*$I$9:$AC$28)+SUM(($BF$8:$BZ$8&gt;BG$8)*($BE$9:$BE$28&gt;$BE14)*$I$9:$AC$28)-(SUM(($BF$8:$BZ$8&gt;BG$8)*($BE$9:$BE$28&lt;$BE14)*$I$9:$AC$28)+SUM(($BF$8:$BZ$8&lt;BG$8)*($BE$9:$BE$28&gt;$BE14)*$I$9:$AC$28)))*(INDEX($I$9:$AC$28,$BE14,BG$8)&gt;0)</f>
        <v>0</v>
      </c>
      <c r="BH14" s="243">
        <f t="array" ref="BH14">(SUM(($BF$8:$BZ$8&lt;BH$8)*($BE$9:$BE$28&lt;$BE14)*$I$9:$AC$28)+SUM(($BF$8:$BZ$8&gt;BH$8)*($BE$9:$BE$28&gt;$BE14)*$I$9:$AC$28)-(SUM(($BF$8:$BZ$8&gt;BH$8)*($BE$9:$BE$28&lt;$BE14)*$I$9:$AC$28)+SUM(($BF$8:$BZ$8&lt;BH$8)*($BE$9:$BE$28&gt;$BE14)*$I$9:$AC$28)))*(INDEX($I$9:$AC$28,$BE14,BH$8)&gt;0)</f>
        <v>0</v>
      </c>
      <c r="BI14" s="243">
        <f t="array" ref="BI14">(SUM(($BF$8:$BZ$8&lt;BI$8)*($BE$9:$BE$28&lt;$BE14)*$I$9:$AC$28)+SUM(($BF$8:$BZ$8&gt;BI$8)*($BE$9:$BE$28&gt;$BE14)*$I$9:$AC$28)-(SUM(($BF$8:$BZ$8&gt;BI$8)*($BE$9:$BE$28&lt;$BE14)*$I$9:$AC$28)+SUM(($BF$8:$BZ$8&lt;BI$8)*($BE$9:$BE$28&gt;$BE14)*$I$9:$AC$28)))*(INDEX($I$9:$AC$28,$BE14,BI$8)&gt;0)</f>
        <v>0</v>
      </c>
      <c r="BJ14" s="243">
        <f t="array" ref="BJ14">(SUM(($BF$8:$BZ$8&lt;BJ$8)*($BE$9:$BE$28&lt;$BE14)*$I$9:$AC$28)+SUM(($BF$8:$BZ$8&gt;BJ$8)*($BE$9:$BE$28&gt;$BE14)*$I$9:$AC$28)-(SUM(($BF$8:$BZ$8&gt;BJ$8)*($BE$9:$BE$28&lt;$BE14)*$I$9:$AC$28)+SUM(($BF$8:$BZ$8&lt;BJ$8)*($BE$9:$BE$28&gt;$BE14)*$I$9:$AC$28)))*(INDEX($I$9:$AC$28,$BE14,BJ$8)&gt;0)</f>
        <v>0</v>
      </c>
      <c r="BK14" s="243">
        <f t="array" ref="BK14">(SUM(($BF$8:$BZ$8&lt;BK$8)*($BE$9:$BE$28&lt;$BE14)*$I$9:$AC$28)+SUM(($BF$8:$BZ$8&gt;BK$8)*($BE$9:$BE$28&gt;$BE14)*$I$9:$AC$28)-(SUM(($BF$8:$BZ$8&gt;BK$8)*($BE$9:$BE$28&lt;$BE14)*$I$9:$AC$28)+SUM(($BF$8:$BZ$8&lt;BK$8)*($BE$9:$BE$28&gt;$BE14)*$I$9:$AC$28)))*(INDEX($I$9:$AC$28,$BE14,BK$8)&gt;0)</f>
        <v>0</v>
      </c>
      <c r="BL14" s="243">
        <f t="array" ref="BL14">(SUM(($BF$8:$BZ$8&lt;BL$8)*($BE$9:$BE$28&lt;$BE14)*$I$9:$AC$28)+SUM(($BF$8:$BZ$8&gt;BL$8)*($BE$9:$BE$28&gt;$BE14)*$I$9:$AC$28)-(SUM(($BF$8:$BZ$8&gt;BL$8)*($BE$9:$BE$28&lt;$BE14)*$I$9:$AC$28)+SUM(($BF$8:$BZ$8&lt;BL$8)*($BE$9:$BE$28&gt;$BE14)*$I$9:$AC$28)))*(INDEX($I$9:$AC$28,$BE14,BL$8)&gt;0)</f>
        <v>0</v>
      </c>
      <c r="BM14" s="243">
        <f t="array" ref="BM14">(SUM(($BF$8:$BZ$8&lt;BM$8)*($BE$9:$BE$28&lt;$BE14)*$I$9:$AC$28)+SUM(($BF$8:$BZ$8&gt;BM$8)*($BE$9:$BE$28&gt;$BE14)*$I$9:$AC$28)-(SUM(($BF$8:$BZ$8&gt;BM$8)*($BE$9:$BE$28&lt;$BE14)*$I$9:$AC$28)+SUM(($BF$8:$BZ$8&lt;BM$8)*($BE$9:$BE$28&gt;$BE14)*$I$9:$AC$28)))*(INDEX($I$9:$AC$28,$BE14,BM$8)&gt;0)</f>
        <v>0</v>
      </c>
      <c r="BN14" s="243">
        <f t="array" ref="BN14">(SUM(($BF$8:$BZ$8&lt;BN$8)*($BE$9:$BE$28&lt;$BE14)*$I$9:$AC$28)+SUM(($BF$8:$BZ$8&gt;BN$8)*($BE$9:$BE$28&gt;$BE14)*$I$9:$AC$28)-(SUM(($BF$8:$BZ$8&gt;BN$8)*($BE$9:$BE$28&lt;$BE14)*$I$9:$AC$28)+SUM(($BF$8:$BZ$8&lt;BN$8)*($BE$9:$BE$28&gt;$BE14)*$I$9:$AC$28)))*(INDEX($I$9:$AC$28,$BE14,BN$8)&gt;0)</f>
        <v>0</v>
      </c>
      <c r="BO14" s="243">
        <f t="array" ref="BO14">(SUM(($BF$8:$BZ$8&lt;BO$8)*($BE$9:$BE$28&lt;$BE14)*$I$9:$AC$28)+SUM(($BF$8:$BZ$8&gt;BO$8)*($BE$9:$BE$28&gt;$BE14)*$I$9:$AC$28)-(SUM(($BF$8:$BZ$8&gt;BO$8)*($BE$9:$BE$28&lt;$BE14)*$I$9:$AC$28)+SUM(($BF$8:$BZ$8&lt;BO$8)*($BE$9:$BE$28&gt;$BE14)*$I$9:$AC$28)))*(INDEX($I$9:$AC$28,$BE14,BO$8)&gt;0)</f>
        <v>0</v>
      </c>
      <c r="BP14" s="243">
        <f t="array" ref="BP14">(SUM(($BF$8:$BZ$8&lt;BP$8)*($BE$9:$BE$28&lt;$BE14)*$I$9:$AC$28)+SUM(($BF$8:$BZ$8&gt;BP$8)*($BE$9:$BE$28&gt;$BE14)*$I$9:$AC$28)-(SUM(($BF$8:$BZ$8&gt;BP$8)*($BE$9:$BE$28&lt;$BE14)*$I$9:$AC$28)+SUM(($BF$8:$BZ$8&lt;BP$8)*($BE$9:$BE$28&gt;$BE14)*$I$9:$AC$28)))*(INDEX($I$9:$AC$28,$BE14,BP$8)&gt;0)</f>
        <v>0</v>
      </c>
      <c r="BQ14" s="243">
        <f t="array" ref="BQ14">(SUM(($BF$8:$BZ$8&lt;BQ$8)*($BE$9:$BE$28&lt;$BE14)*$I$9:$AC$28)+SUM(($BF$8:$BZ$8&gt;BQ$8)*($BE$9:$BE$28&gt;$BE14)*$I$9:$AC$28)-(SUM(($BF$8:$BZ$8&gt;BQ$8)*($BE$9:$BE$28&lt;$BE14)*$I$9:$AC$28)+SUM(($BF$8:$BZ$8&lt;BQ$8)*($BE$9:$BE$28&gt;$BE14)*$I$9:$AC$28)))*(INDEX($I$9:$AC$28,$BE14,BQ$8)&gt;0)</f>
        <v>0</v>
      </c>
      <c r="BR14" s="243">
        <f t="array" ref="BR14">(SUM(($BF$8:$BZ$8&lt;BR$8)*($BE$9:$BE$28&lt;$BE14)*$I$9:$AC$28)+SUM(($BF$8:$BZ$8&gt;BR$8)*($BE$9:$BE$28&gt;$BE14)*$I$9:$AC$28)-(SUM(($BF$8:$BZ$8&gt;BR$8)*($BE$9:$BE$28&lt;$BE14)*$I$9:$AC$28)+SUM(($BF$8:$BZ$8&lt;BR$8)*($BE$9:$BE$28&gt;$BE14)*$I$9:$AC$28)))*(INDEX($I$9:$AC$28,$BE14,BR$8)&gt;0)</f>
        <v>0</v>
      </c>
      <c r="BS14" s="243">
        <f t="array" ref="BS14">(SUM(($BF$8:$BZ$8&lt;BS$8)*($BE$9:$BE$28&lt;$BE14)*$I$9:$AC$28)+SUM(($BF$8:$BZ$8&gt;BS$8)*($BE$9:$BE$28&gt;$BE14)*$I$9:$AC$28)-(SUM(($BF$8:$BZ$8&gt;BS$8)*($BE$9:$BE$28&lt;$BE14)*$I$9:$AC$28)+SUM(($BF$8:$BZ$8&lt;BS$8)*($BE$9:$BE$28&gt;$BE14)*$I$9:$AC$28)))*(INDEX($I$9:$AC$28,$BE14,BS$8)&gt;0)</f>
        <v>0</v>
      </c>
      <c r="BT14" s="243">
        <f t="array" ref="BT14">(SUM(($BF$8:$BZ$8&lt;BT$8)*($BE$9:$BE$28&lt;$BE14)*$I$9:$AC$28)+SUM(($BF$8:$BZ$8&gt;BT$8)*($BE$9:$BE$28&gt;$BE14)*$I$9:$AC$28)-(SUM(($BF$8:$BZ$8&gt;BT$8)*($BE$9:$BE$28&lt;$BE14)*$I$9:$AC$28)+SUM(($BF$8:$BZ$8&lt;BT$8)*($BE$9:$BE$28&gt;$BE14)*$I$9:$AC$28)))*(INDEX($I$9:$AC$28,$BE14,BT$8)&gt;0)</f>
        <v>0</v>
      </c>
      <c r="BU14" s="243">
        <f t="array" ref="BU14">(SUM(($BF$8:$BZ$8&lt;BU$8)*($BE$9:$BE$28&lt;$BE14)*$I$9:$AC$28)+SUM(($BF$8:$BZ$8&gt;BU$8)*($BE$9:$BE$28&gt;$BE14)*$I$9:$AC$28)-(SUM(($BF$8:$BZ$8&gt;BU$8)*($BE$9:$BE$28&lt;$BE14)*$I$9:$AC$28)+SUM(($BF$8:$BZ$8&lt;BU$8)*($BE$9:$BE$28&gt;$BE14)*$I$9:$AC$28)))*(INDEX($I$9:$AC$28,$BE14,BU$8)&gt;0)</f>
        <v>0</v>
      </c>
      <c r="BV14" s="243">
        <f t="array" ref="BV14">(SUM(($BF$8:$BZ$8&lt;BV$8)*($BE$9:$BE$28&lt;$BE14)*$I$9:$AC$28)+SUM(($BF$8:$BZ$8&gt;BV$8)*($BE$9:$BE$28&gt;$BE14)*$I$9:$AC$28)-(SUM(($BF$8:$BZ$8&gt;BV$8)*($BE$9:$BE$28&lt;$BE14)*$I$9:$AC$28)+SUM(($BF$8:$BZ$8&lt;BV$8)*($BE$9:$BE$28&gt;$BE14)*$I$9:$AC$28)))*(INDEX($I$9:$AC$28,$BE14,BV$8)&gt;0)</f>
        <v>0</v>
      </c>
      <c r="BW14" s="243">
        <f t="array" ref="BW14">(SUM(($BF$8:$BZ$8&lt;BW$8)*($BE$9:$BE$28&lt;$BE14)*$I$9:$AC$28)+SUM(($BF$8:$BZ$8&gt;BW$8)*($BE$9:$BE$28&gt;$BE14)*$I$9:$AC$28)-(SUM(($BF$8:$BZ$8&gt;BW$8)*($BE$9:$BE$28&lt;$BE14)*$I$9:$AC$28)+SUM(($BF$8:$BZ$8&lt;BW$8)*($BE$9:$BE$28&gt;$BE14)*$I$9:$AC$28)))*(INDEX($I$9:$AC$28,$BE14,BW$8)&gt;0)</f>
        <v>0</v>
      </c>
      <c r="BX14" s="243">
        <f t="array" ref="BX14">(SUM(($BF$8:$BZ$8&lt;BX$8)*($BE$9:$BE$28&lt;$BE14)*$I$9:$AC$28)+SUM(($BF$8:$BZ$8&gt;BX$8)*($BE$9:$BE$28&gt;$BE14)*$I$9:$AC$28)-(SUM(($BF$8:$BZ$8&gt;BX$8)*($BE$9:$BE$28&lt;$BE14)*$I$9:$AC$28)+SUM(($BF$8:$BZ$8&lt;BX$8)*($BE$9:$BE$28&gt;$BE14)*$I$9:$AC$28)))*(INDEX($I$9:$AC$28,$BE14,BX$8)&gt;0)</f>
        <v>0</v>
      </c>
      <c r="BY14" s="243">
        <f t="array" ref="BY14">(SUM(($BF$8:$BZ$8&lt;BY$8)*($BE$9:$BE$28&lt;$BE14)*$I$9:$AC$28)+SUM(($BF$8:$BZ$8&gt;BY$8)*($BE$9:$BE$28&gt;$BE14)*$I$9:$AC$28)-(SUM(($BF$8:$BZ$8&gt;BY$8)*($BE$9:$BE$28&lt;$BE14)*$I$9:$AC$28)+SUM(($BF$8:$BZ$8&lt;BY$8)*($BE$9:$BE$28&gt;$BE14)*$I$9:$AC$28)))*(INDEX($I$9:$AC$28,$BE14,BY$8)&gt;0)</f>
        <v>0</v>
      </c>
      <c r="BZ14" s="244">
        <f t="array" ref="BZ14">(SUM(($BF$8:$BZ$8&lt;BZ$8)*($BE$9:$BE$28&lt;$BE14)*$I$9:$AC$28)+SUM(($BF$8:$BZ$8&gt;BZ$8)*($BE$9:$BE$28&gt;$BE14)*$I$9:$AC$28)-(SUM(($BF$8:$BZ$8&gt;BZ$8)*($BE$9:$BE$28&lt;$BE14)*$I$9:$AC$28)+SUM(($BF$8:$BZ$8&lt;BZ$8)*($BE$9:$BE$28&gt;$BE14)*$I$9:$AC$28)))*(INDEX($I$9:$AC$28,$BE14,BZ$8)&gt;0)</f>
        <v>0</v>
      </c>
      <c r="CA14" s="45"/>
      <c r="CE14" s="4">
        <v>0</v>
      </c>
      <c r="CF14" s="4">
        <v>0</v>
      </c>
      <c r="CG14" s="4" t="b">
        <v>0</v>
      </c>
      <c r="CH14" s="4">
        <v>0</v>
      </c>
    </row>
    <row r="15" spans="1:86" x14ac:dyDescent="0.35">
      <c r="A15" s="45"/>
      <c r="B15" s="399" t="s">
        <v>20</v>
      </c>
      <c r="C15" s="424" t="s">
        <v>240</v>
      </c>
      <c r="D15" s="95"/>
      <c r="E15" s="96"/>
      <c r="F15" s="270"/>
      <c r="G15" s="266"/>
      <c r="H15" s="267"/>
      <c r="I15" s="99"/>
      <c r="J15" s="96"/>
      <c r="K15" s="96"/>
      <c r="L15" s="96"/>
      <c r="M15" s="96"/>
      <c r="N15" s="96"/>
      <c r="O15" s="96"/>
      <c r="P15" s="96"/>
      <c r="Q15" s="96"/>
      <c r="R15" s="96"/>
      <c r="S15" s="96"/>
      <c r="T15" s="96"/>
      <c r="U15" s="96"/>
      <c r="V15" s="96"/>
      <c r="W15" s="96"/>
      <c r="X15" s="96"/>
      <c r="Y15" s="96"/>
      <c r="Z15" s="96"/>
      <c r="AA15" s="96"/>
      <c r="AB15" s="96"/>
      <c r="AC15" s="100"/>
      <c r="AD15" s="268"/>
      <c r="AE15" s="266"/>
      <c r="AF15" s="267"/>
      <c r="AG15" s="45"/>
      <c r="AH15" s="259" t="str">
        <f>IF(AND(COUNTA(D15:AF15)=0,D16=""),"",IF(AND('2.1'!E15=0,COUNTA(H15:AF15)&gt;0),"NOT OK",IF(AND(COUNTA(D15:AF15)=0,D16&lt;&gt;""),"NOT OK",IF(OR(AJ15="NOT OK",AK15="NOT OK",AL15="NOT OK",AT15="NOT OK"),"NOT OK",IF(OR(AO15="WARNING",AR15="WARNING"),"WARNING","OK")))))</f>
        <v/>
      </c>
      <c r="AI15" s="276" t="str">
        <f>IF(AND(COUNTA(D15:AF15)=0,'2.1'!D16=""),"",IF(AND(E15=0,COUNTA(H15:AF15)&gt;0),"As number of facilities is zero, please leave columns H to AF empty.",IF(AND(COUNTA(D15:AF15)=0,D16&lt;&gt;""),"Empty lines between grades not allowed.",IF(AND(D15&lt;&gt;"",OR(E15="",G15="")),"Information is missing for this facility grade/pool. Please report number of facilities and average LGD estimate.",IF(AJ15="NOT OK","Row incomplete. Check if zeros values are missing in the row.",IF(AK15="NOT OK","The number of facilities in buckets does not sum up to the total number.",IF(AL15="NOT OK","Please order the pools in ascending order of the weighted average of estimated LGD.",IF(AT15="NOT OK","The p-value of t-Test differs from ECB calculation.",IF(AO15="WARNING","The average LGD^R seems implausible with the given LGD realisation.",IF(AR15="WARNING","The variance of the LGD seems implausible with the given realisation.",""))))))))))</f>
        <v/>
      </c>
      <c r="AJ15" s="262" t="str">
        <f>IF(AND(COUNTA(D15:AF15)=0,'2.1'!D16=""),"",IF(AND(D15&lt;&gt;"",OR(E15="",G15="")),"NOT OK",IF(AND(D15&lt;&gt;"",E15&lt;&gt;"",E15=0,G15&lt;&gt;""),"OK",IF(COUNTA(D15:AF15)=COUNTA($D$9:$D$28)+7+1,"OK",IF(AND(E15=1,COUNTA(D15:AF15)=COUNTA($D$9:$D$28)+4+1),"OK","NOT OK")))))</f>
        <v/>
      </c>
      <c r="AK15" s="262" t="str">
        <f>IF(OR(AND(D15&lt;&gt;"",'2.1'!E15 =0),COUNTA(D15:AF15)=0),"",IF(E15=SUM(I15:AC15),"OK","NOT OK"))</f>
        <v/>
      </c>
      <c r="AL15" s="507" t="str">
        <f>IF('2.1'!G15="","",IF(G15&lt;G14,"NOT OK", "OK"))</f>
        <v/>
      </c>
      <c r="AM15" s="516" t="str">
        <f t="array" ref="AM15">IFERROR(SUM(I15:AC15*TRANSPOSE($AU$8:$AU$28))/SUM(I15:AC15),"")</f>
        <v/>
      </c>
      <c r="AN15" s="271" t="str">
        <f t="array" ref="AN15">IFERROR(SUM(I15:AC15*TRANSPOSE($AV$8:$AV$28))/SUM(I15:AC15),"")</f>
        <v/>
      </c>
      <c r="AO15" s="275" t="str">
        <f>IF(OR(AND(D15&lt;&gt;"",'2.1'!E15 =0),COUNTA(D15:AF15)=0),"",IFERROR(IF(AND(H15&gt;=AM15,H15&lt;=AN15),"OK","WARNING"),""))</f>
        <v/>
      </c>
      <c r="AP15" s="516" t="str">
        <f>IF(COUNTA(H15:AF15)=0,"",IFERROR('2.1'!BG44,""))</f>
        <v/>
      </c>
      <c r="AQ15" s="271" t="str">
        <f>IF(COUNTA(H15:AF15)=0,"",IFERROR('2.1'!BF44,""))</f>
        <v/>
      </c>
      <c r="AR15" s="275" t="str">
        <f>IF(OR(AND(D15&lt;&gt;"",E15 =0),COUNTA(D15:AF15)=0),"",IFERROR(IF(AND('2.1'!AD15&gt;=AP15,AD15&lt;=AQ15),"OK","WARNING"),""))</f>
        <v/>
      </c>
      <c r="AS15" s="510" t="str">
        <f>IFERROR(IF(COUNTA(D15:AF15)=0,"",1-_xlfn.T.DIST(SQRT(E15)*(H15-G15)/SQRT('2.1'!AD15),E15-1,TRUE)),"")</f>
        <v/>
      </c>
      <c r="AT15" s="275" t="str">
        <f>IFERROR(IF(COUNTA(D15:AF15)=0,"",IF(ABS(AF15-'2.1'!AS15)&gt;0.00001,"NOT OK","OK")),"")</f>
        <v/>
      </c>
      <c r="AU15" s="220">
        <f>'2.1'!G15</f>
        <v>0</v>
      </c>
      <c r="AV15" s="218">
        <f>IF('2.1'!G16&lt;&gt;"",G16,IF(G15=0,0,3))</f>
        <v>0</v>
      </c>
      <c r="AW15" s="221">
        <f>IFERROR('2.1'!AV15/2+AU15/2,"")</f>
        <v>0</v>
      </c>
      <c r="AX15" s="45"/>
      <c r="AY15" s="45"/>
      <c r="AZ15" s="45"/>
      <c r="BA15" s="45"/>
      <c r="BB15" s="45"/>
      <c r="BC15" s="45"/>
      <c r="BD15" s="241">
        <f>SUM('2.1'!I15:AC15)</f>
        <v>0</v>
      </c>
      <c r="BE15" s="242">
        <v>7</v>
      </c>
      <c r="BF15" s="243">
        <f t="array" ref="BF15">(SUM(($BF$8:$BZ$8&lt;BF$8)*($BE$9:$BE$28&lt;$BE15)*$I$9:$AC$28)+SUM(($BF$8:$BZ$8&gt;BF$8)*($BE$9:$BE$28&gt;$BE15)*$I$9:$AC$28)-(SUM(($BF$8:$BZ$8&gt;BF$8)*($BE$9:$BE$28&lt;$BE15)*$I$9:$AC$28)+SUM(($BF$8:$BZ$8&lt;BF$8)*($BE$9:$BE$28&gt;$BE15)*$I$9:$AC$28)))*(INDEX($I$9:$AC$28,$BE15,BF$8)&gt;0)</f>
        <v>0</v>
      </c>
      <c r="BG15" s="243">
        <f t="array" ref="BG15">(SUM(($BF$8:$BZ$8&lt;BG$8)*($BE$9:$BE$28&lt;$BE15)*$I$9:$AC$28)+SUM(($BF$8:$BZ$8&gt;BG$8)*($BE$9:$BE$28&gt;$BE15)*$I$9:$AC$28)-(SUM(($BF$8:$BZ$8&gt;BG$8)*($BE$9:$BE$28&lt;$BE15)*$I$9:$AC$28)+SUM(($BF$8:$BZ$8&lt;BG$8)*($BE$9:$BE$28&gt;$BE15)*$I$9:$AC$28)))*(INDEX($I$9:$AC$28,$BE15,BG$8)&gt;0)</f>
        <v>0</v>
      </c>
      <c r="BH15" s="243">
        <f t="array" ref="BH15">(SUM(($BF$8:$BZ$8&lt;BH$8)*($BE$9:$BE$28&lt;$BE15)*$I$9:$AC$28)+SUM(($BF$8:$BZ$8&gt;BH$8)*($BE$9:$BE$28&gt;$BE15)*$I$9:$AC$28)-(SUM(($BF$8:$BZ$8&gt;BH$8)*($BE$9:$BE$28&lt;$BE15)*$I$9:$AC$28)+SUM(($BF$8:$BZ$8&lt;BH$8)*($BE$9:$BE$28&gt;$BE15)*$I$9:$AC$28)))*(INDEX($I$9:$AC$28,$BE15,BH$8)&gt;0)</f>
        <v>0</v>
      </c>
      <c r="BI15" s="243">
        <f t="array" ref="BI15">(SUM(($BF$8:$BZ$8&lt;BI$8)*($BE$9:$BE$28&lt;$BE15)*$I$9:$AC$28)+SUM(($BF$8:$BZ$8&gt;BI$8)*($BE$9:$BE$28&gt;$BE15)*$I$9:$AC$28)-(SUM(($BF$8:$BZ$8&gt;BI$8)*($BE$9:$BE$28&lt;$BE15)*$I$9:$AC$28)+SUM(($BF$8:$BZ$8&lt;BI$8)*($BE$9:$BE$28&gt;$BE15)*$I$9:$AC$28)))*(INDEX($I$9:$AC$28,$BE15,BI$8)&gt;0)</f>
        <v>0</v>
      </c>
      <c r="BJ15" s="243">
        <f t="array" ref="BJ15">(SUM(($BF$8:$BZ$8&lt;BJ$8)*($BE$9:$BE$28&lt;$BE15)*$I$9:$AC$28)+SUM(($BF$8:$BZ$8&gt;BJ$8)*($BE$9:$BE$28&gt;$BE15)*$I$9:$AC$28)-(SUM(($BF$8:$BZ$8&gt;BJ$8)*($BE$9:$BE$28&lt;$BE15)*$I$9:$AC$28)+SUM(($BF$8:$BZ$8&lt;BJ$8)*($BE$9:$BE$28&gt;$BE15)*$I$9:$AC$28)))*(INDEX($I$9:$AC$28,$BE15,BJ$8)&gt;0)</f>
        <v>0</v>
      </c>
      <c r="BK15" s="243">
        <f t="array" ref="BK15">(SUM(($BF$8:$BZ$8&lt;BK$8)*($BE$9:$BE$28&lt;$BE15)*$I$9:$AC$28)+SUM(($BF$8:$BZ$8&gt;BK$8)*($BE$9:$BE$28&gt;$BE15)*$I$9:$AC$28)-(SUM(($BF$8:$BZ$8&gt;BK$8)*($BE$9:$BE$28&lt;$BE15)*$I$9:$AC$28)+SUM(($BF$8:$BZ$8&lt;BK$8)*($BE$9:$BE$28&gt;$BE15)*$I$9:$AC$28)))*(INDEX($I$9:$AC$28,$BE15,BK$8)&gt;0)</f>
        <v>0</v>
      </c>
      <c r="BL15" s="243">
        <f t="array" ref="BL15">(SUM(($BF$8:$BZ$8&lt;BL$8)*($BE$9:$BE$28&lt;$BE15)*$I$9:$AC$28)+SUM(($BF$8:$BZ$8&gt;BL$8)*($BE$9:$BE$28&gt;$BE15)*$I$9:$AC$28)-(SUM(($BF$8:$BZ$8&gt;BL$8)*($BE$9:$BE$28&lt;$BE15)*$I$9:$AC$28)+SUM(($BF$8:$BZ$8&lt;BL$8)*($BE$9:$BE$28&gt;$BE15)*$I$9:$AC$28)))*(INDEX($I$9:$AC$28,$BE15,BL$8)&gt;0)</f>
        <v>0</v>
      </c>
      <c r="BM15" s="243">
        <f t="array" ref="BM15">(SUM(($BF$8:$BZ$8&lt;BM$8)*($BE$9:$BE$28&lt;$BE15)*$I$9:$AC$28)+SUM(($BF$8:$BZ$8&gt;BM$8)*($BE$9:$BE$28&gt;$BE15)*$I$9:$AC$28)-(SUM(($BF$8:$BZ$8&gt;BM$8)*($BE$9:$BE$28&lt;$BE15)*$I$9:$AC$28)+SUM(($BF$8:$BZ$8&lt;BM$8)*($BE$9:$BE$28&gt;$BE15)*$I$9:$AC$28)))*(INDEX($I$9:$AC$28,$BE15,BM$8)&gt;0)</f>
        <v>0</v>
      </c>
      <c r="BN15" s="243">
        <f t="array" ref="BN15">(SUM(($BF$8:$BZ$8&lt;BN$8)*($BE$9:$BE$28&lt;$BE15)*$I$9:$AC$28)+SUM(($BF$8:$BZ$8&gt;BN$8)*($BE$9:$BE$28&gt;$BE15)*$I$9:$AC$28)-(SUM(($BF$8:$BZ$8&gt;BN$8)*($BE$9:$BE$28&lt;$BE15)*$I$9:$AC$28)+SUM(($BF$8:$BZ$8&lt;BN$8)*($BE$9:$BE$28&gt;$BE15)*$I$9:$AC$28)))*(INDEX($I$9:$AC$28,$BE15,BN$8)&gt;0)</f>
        <v>0</v>
      </c>
      <c r="BO15" s="243">
        <f t="array" ref="BO15">(SUM(($BF$8:$BZ$8&lt;BO$8)*($BE$9:$BE$28&lt;$BE15)*$I$9:$AC$28)+SUM(($BF$8:$BZ$8&gt;BO$8)*($BE$9:$BE$28&gt;$BE15)*$I$9:$AC$28)-(SUM(($BF$8:$BZ$8&gt;BO$8)*($BE$9:$BE$28&lt;$BE15)*$I$9:$AC$28)+SUM(($BF$8:$BZ$8&lt;BO$8)*($BE$9:$BE$28&gt;$BE15)*$I$9:$AC$28)))*(INDEX($I$9:$AC$28,$BE15,BO$8)&gt;0)</f>
        <v>0</v>
      </c>
      <c r="BP15" s="243">
        <f t="array" ref="BP15">(SUM(($BF$8:$BZ$8&lt;BP$8)*($BE$9:$BE$28&lt;$BE15)*$I$9:$AC$28)+SUM(($BF$8:$BZ$8&gt;BP$8)*($BE$9:$BE$28&gt;$BE15)*$I$9:$AC$28)-(SUM(($BF$8:$BZ$8&gt;BP$8)*($BE$9:$BE$28&lt;$BE15)*$I$9:$AC$28)+SUM(($BF$8:$BZ$8&lt;BP$8)*($BE$9:$BE$28&gt;$BE15)*$I$9:$AC$28)))*(INDEX($I$9:$AC$28,$BE15,BP$8)&gt;0)</f>
        <v>0</v>
      </c>
      <c r="BQ15" s="243">
        <f t="array" ref="BQ15">(SUM(($BF$8:$BZ$8&lt;BQ$8)*($BE$9:$BE$28&lt;$BE15)*$I$9:$AC$28)+SUM(($BF$8:$BZ$8&gt;BQ$8)*($BE$9:$BE$28&gt;$BE15)*$I$9:$AC$28)-(SUM(($BF$8:$BZ$8&gt;BQ$8)*($BE$9:$BE$28&lt;$BE15)*$I$9:$AC$28)+SUM(($BF$8:$BZ$8&lt;BQ$8)*($BE$9:$BE$28&gt;$BE15)*$I$9:$AC$28)))*(INDEX($I$9:$AC$28,$BE15,BQ$8)&gt;0)</f>
        <v>0</v>
      </c>
      <c r="BR15" s="243">
        <f t="array" ref="BR15">(SUM(($BF$8:$BZ$8&lt;BR$8)*($BE$9:$BE$28&lt;$BE15)*$I$9:$AC$28)+SUM(($BF$8:$BZ$8&gt;BR$8)*($BE$9:$BE$28&gt;$BE15)*$I$9:$AC$28)-(SUM(($BF$8:$BZ$8&gt;BR$8)*($BE$9:$BE$28&lt;$BE15)*$I$9:$AC$28)+SUM(($BF$8:$BZ$8&lt;BR$8)*($BE$9:$BE$28&gt;$BE15)*$I$9:$AC$28)))*(INDEX($I$9:$AC$28,$BE15,BR$8)&gt;0)</f>
        <v>0</v>
      </c>
      <c r="BS15" s="243">
        <f t="array" ref="BS15">(SUM(($BF$8:$BZ$8&lt;BS$8)*($BE$9:$BE$28&lt;$BE15)*$I$9:$AC$28)+SUM(($BF$8:$BZ$8&gt;BS$8)*($BE$9:$BE$28&gt;$BE15)*$I$9:$AC$28)-(SUM(($BF$8:$BZ$8&gt;BS$8)*($BE$9:$BE$28&lt;$BE15)*$I$9:$AC$28)+SUM(($BF$8:$BZ$8&lt;BS$8)*($BE$9:$BE$28&gt;$BE15)*$I$9:$AC$28)))*(INDEX($I$9:$AC$28,$BE15,BS$8)&gt;0)</f>
        <v>0</v>
      </c>
      <c r="BT15" s="243">
        <f t="array" ref="BT15">(SUM(($BF$8:$BZ$8&lt;BT$8)*($BE$9:$BE$28&lt;$BE15)*$I$9:$AC$28)+SUM(($BF$8:$BZ$8&gt;BT$8)*($BE$9:$BE$28&gt;$BE15)*$I$9:$AC$28)-(SUM(($BF$8:$BZ$8&gt;BT$8)*($BE$9:$BE$28&lt;$BE15)*$I$9:$AC$28)+SUM(($BF$8:$BZ$8&lt;BT$8)*($BE$9:$BE$28&gt;$BE15)*$I$9:$AC$28)))*(INDEX($I$9:$AC$28,$BE15,BT$8)&gt;0)</f>
        <v>0</v>
      </c>
      <c r="BU15" s="243">
        <f t="array" ref="BU15">(SUM(($BF$8:$BZ$8&lt;BU$8)*($BE$9:$BE$28&lt;$BE15)*$I$9:$AC$28)+SUM(($BF$8:$BZ$8&gt;BU$8)*($BE$9:$BE$28&gt;$BE15)*$I$9:$AC$28)-(SUM(($BF$8:$BZ$8&gt;BU$8)*($BE$9:$BE$28&lt;$BE15)*$I$9:$AC$28)+SUM(($BF$8:$BZ$8&lt;BU$8)*($BE$9:$BE$28&gt;$BE15)*$I$9:$AC$28)))*(INDEX($I$9:$AC$28,$BE15,BU$8)&gt;0)</f>
        <v>0</v>
      </c>
      <c r="BV15" s="243">
        <f t="array" ref="BV15">(SUM(($BF$8:$BZ$8&lt;BV$8)*($BE$9:$BE$28&lt;$BE15)*$I$9:$AC$28)+SUM(($BF$8:$BZ$8&gt;BV$8)*($BE$9:$BE$28&gt;$BE15)*$I$9:$AC$28)-(SUM(($BF$8:$BZ$8&gt;BV$8)*($BE$9:$BE$28&lt;$BE15)*$I$9:$AC$28)+SUM(($BF$8:$BZ$8&lt;BV$8)*($BE$9:$BE$28&gt;$BE15)*$I$9:$AC$28)))*(INDEX($I$9:$AC$28,$BE15,BV$8)&gt;0)</f>
        <v>0</v>
      </c>
      <c r="BW15" s="243">
        <f t="array" ref="BW15">(SUM(($BF$8:$BZ$8&lt;BW$8)*($BE$9:$BE$28&lt;$BE15)*$I$9:$AC$28)+SUM(($BF$8:$BZ$8&gt;BW$8)*($BE$9:$BE$28&gt;$BE15)*$I$9:$AC$28)-(SUM(($BF$8:$BZ$8&gt;BW$8)*($BE$9:$BE$28&lt;$BE15)*$I$9:$AC$28)+SUM(($BF$8:$BZ$8&lt;BW$8)*($BE$9:$BE$28&gt;$BE15)*$I$9:$AC$28)))*(INDEX($I$9:$AC$28,$BE15,BW$8)&gt;0)</f>
        <v>0</v>
      </c>
      <c r="BX15" s="243">
        <f t="array" ref="BX15">(SUM(($BF$8:$BZ$8&lt;BX$8)*($BE$9:$BE$28&lt;$BE15)*$I$9:$AC$28)+SUM(($BF$8:$BZ$8&gt;BX$8)*($BE$9:$BE$28&gt;$BE15)*$I$9:$AC$28)-(SUM(($BF$8:$BZ$8&gt;BX$8)*($BE$9:$BE$28&lt;$BE15)*$I$9:$AC$28)+SUM(($BF$8:$BZ$8&lt;BX$8)*($BE$9:$BE$28&gt;$BE15)*$I$9:$AC$28)))*(INDEX($I$9:$AC$28,$BE15,BX$8)&gt;0)</f>
        <v>0</v>
      </c>
      <c r="BY15" s="243">
        <f t="array" ref="BY15">(SUM(($BF$8:$BZ$8&lt;BY$8)*($BE$9:$BE$28&lt;$BE15)*$I$9:$AC$28)+SUM(($BF$8:$BZ$8&gt;BY$8)*($BE$9:$BE$28&gt;$BE15)*$I$9:$AC$28)-(SUM(($BF$8:$BZ$8&gt;BY$8)*($BE$9:$BE$28&lt;$BE15)*$I$9:$AC$28)+SUM(($BF$8:$BZ$8&lt;BY$8)*($BE$9:$BE$28&gt;$BE15)*$I$9:$AC$28)))*(INDEX($I$9:$AC$28,$BE15,BY$8)&gt;0)</f>
        <v>0</v>
      </c>
      <c r="BZ15" s="244">
        <f t="array" ref="BZ15">(SUM(($BF$8:$BZ$8&lt;BZ$8)*($BE$9:$BE$28&lt;$BE15)*$I$9:$AC$28)+SUM(($BF$8:$BZ$8&gt;BZ$8)*($BE$9:$BE$28&gt;$BE15)*$I$9:$AC$28)-(SUM(($BF$8:$BZ$8&gt;BZ$8)*($BE$9:$BE$28&lt;$BE15)*$I$9:$AC$28)+SUM(($BF$8:$BZ$8&lt;BZ$8)*($BE$9:$BE$28&gt;$BE15)*$I$9:$AC$28)))*(INDEX($I$9:$AC$28,$BE15,BZ$8)&gt;0)</f>
        <v>0</v>
      </c>
      <c r="CA15" s="45"/>
      <c r="CE15" s="4">
        <v>0</v>
      </c>
      <c r="CF15" s="4">
        <v>0</v>
      </c>
      <c r="CG15" s="4" t="b">
        <v>0</v>
      </c>
      <c r="CH15" s="4">
        <v>0</v>
      </c>
    </row>
    <row r="16" spans="1:86" x14ac:dyDescent="0.35">
      <c r="A16" s="45"/>
      <c r="B16" s="119" t="s">
        <v>21</v>
      </c>
      <c r="C16" s="424" t="s">
        <v>241</v>
      </c>
      <c r="D16" s="95"/>
      <c r="E16" s="96"/>
      <c r="F16" s="270"/>
      <c r="G16" s="266"/>
      <c r="H16" s="267"/>
      <c r="I16" s="99"/>
      <c r="J16" s="96"/>
      <c r="K16" s="96"/>
      <c r="L16" s="96"/>
      <c r="M16" s="96"/>
      <c r="N16" s="96"/>
      <c r="O16" s="96"/>
      <c r="P16" s="96"/>
      <c r="Q16" s="96"/>
      <c r="R16" s="96"/>
      <c r="S16" s="96"/>
      <c r="T16" s="96"/>
      <c r="U16" s="96"/>
      <c r="V16" s="96"/>
      <c r="W16" s="96"/>
      <c r="X16" s="96"/>
      <c r="Y16" s="96"/>
      <c r="Z16" s="96"/>
      <c r="AA16" s="96"/>
      <c r="AB16" s="96"/>
      <c r="AC16" s="100"/>
      <c r="AD16" s="268"/>
      <c r="AE16" s="266"/>
      <c r="AF16" s="267"/>
      <c r="AG16" s="45"/>
      <c r="AH16" s="259" t="str">
        <f>IF(AND(COUNTA(D16:AF16)=0,D17=""),"",IF(AND('2.1'!E16=0,COUNTA(H16:AF16)&gt;0),"NOT OK",IF(AND(COUNTA(D16:AF16)=0,D17&lt;&gt;""),"NOT OK",IF(OR(AJ16="NOT OK",AK16="NOT OK",AL16="NOT OK",AT16="NOT OK"),"NOT OK",IF(OR(AO16="WARNING",AR16="WARNING"),"WARNING","OK")))))</f>
        <v/>
      </c>
      <c r="AI16" s="276" t="str">
        <f>IF(AND(COUNTA(D16:AF16)=0,'2.1'!D17=""),"",IF(AND(E16=0,COUNTA(H16:AF16)&gt;0),"As number of facilities is zero, please leave columns H to AF empty.",IF(AND(COUNTA(D16:AF16)=0,D17&lt;&gt;""),"Empty lines between grades not allowed.",IF(AND(D16&lt;&gt;"",OR(E16="",G16="")),"Information is missing for this facility grade/pool. Please report number of facilities and average LGD estimate.",IF(AJ16="NOT OK","Row incomplete. Check if zeros values are missing in the row.",IF(AK16="NOT OK","The number of facilities in buckets does not sum up to the total number.",IF(AL16="NOT OK","Please order the pools in ascending order of the weighted average of estimated LGD.",IF(AT16="NOT OK","The p-value of t-Test differs from ECB calculation.",IF(AO16="WARNING","The average LGD^R seems implausible with the given LGD realisation.",IF(AR16="WARNING","The variance of the LGD seems implausible with the given realisation.",""))))))))))</f>
        <v/>
      </c>
      <c r="AJ16" s="262" t="str">
        <f>IF(AND(COUNTA(D16:AF16)=0,'2.1'!D17=""),"",IF(AND(D16&lt;&gt;"",OR(E16="",G16="")),"NOT OK",IF(AND(D16&lt;&gt;"",E16&lt;&gt;"",E16=0,G16&lt;&gt;""),"OK",IF(COUNTA(D16:AF16)=COUNTA($D$9:$D$28)+7+1,"OK",IF(AND(E16=1,COUNTA(D16:AF16)=COUNTA($D$9:$D$28)+4+1),"OK","NOT OK")))))</f>
        <v/>
      </c>
      <c r="AK16" s="262" t="str">
        <f>IF(OR(AND(D16&lt;&gt;"",'2.1'!E16 =0),COUNTA(D16:AF16)=0),"",IF(E16=SUM(I16:AC16),"OK","NOT OK"))</f>
        <v/>
      </c>
      <c r="AL16" s="507" t="str">
        <f>IF('2.1'!G16="","",IF(G16&lt;G15,"NOT OK", "OK"))</f>
        <v/>
      </c>
      <c r="AM16" s="516" t="str">
        <f t="array" ref="AM16">IFERROR(SUM(I16:AC16*TRANSPOSE($AU$8:$AU$28))/SUM(I16:AC16),"")</f>
        <v/>
      </c>
      <c r="AN16" s="271" t="str">
        <f t="array" ref="AN16">IFERROR(SUM(I16:AC16*TRANSPOSE($AV$8:$AV$28))/SUM(I16:AC16),"")</f>
        <v/>
      </c>
      <c r="AO16" s="275" t="str">
        <f>IF(OR(AND(D16&lt;&gt;"",'2.1'!E16 =0),COUNTA(D16:AF16)=0),"",IFERROR(IF(AND(H16&gt;=AM16,H16&lt;=AN16),"OK","WARNING"),""))</f>
        <v/>
      </c>
      <c r="AP16" s="516" t="str">
        <f>IF(COUNTA(H16:AF16)=0,"",IFERROR('2.1'!BG45,""))</f>
        <v/>
      </c>
      <c r="AQ16" s="271" t="str">
        <f>IF(COUNTA(H16:AF16)=0,"",IFERROR('2.1'!BF45,""))</f>
        <v/>
      </c>
      <c r="AR16" s="275" t="str">
        <f>IF(OR(AND(D16&lt;&gt;"",E16 =0),COUNTA(D16:AF16)=0),"",IFERROR(IF(AND('2.1'!AD16&gt;=AP16,AD16&lt;=AQ16),"OK","WARNING"),""))</f>
        <v/>
      </c>
      <c r="AS16" s="510" t="str">
        <f>IFERROR(IF(COUNTA(D16:AF16)=0,"",1-_xlfn.T.DIST(SQRT(E16)*(H16-G16)/SQRT('2.1'!AD16),E16-1,TRUE)),"")</f>
        <v/>
      </c>
      <c r="AT16" s="275" t="str">
        <f>IFERROR(IF(COUNTA(D16:AF16)=0,"",IF(ABS(AF16-'2.1'!AS16)&gt;0.00001,"NOT OK","OK")),"")</f>
        <v/>
      </c>
      <c r="AU16" s="220">
        <f>'2.1'!G16</f>
        <v>0</v>
      </c>
      <c r="AV16" s="218">
        <f>IF('2.1'!G17&lt;&gt;"",G17,IF(G16=0,0,3))</f>
        <v>0</v>
      </c>
      <c r="AW16" s="221">
        <f>IFERROR('2.1'!AV16/2+AU16/2,"")</f>
        <v>0</v>
      </c>
      <c r="AX16" s="45"/>
      <c r="AY16" s="45"/>
      <c r="AZ16" s="45"/>
      <c r="BA16" s="45"/>
      <c r="BB16" s="45"/>
      <c r="BC16" s="45"/>
      <c r="BD16" s="241">
        <f>SUM('2.1'!I16:AC16)</f>
        <v>0</v>
      </c>
      <c r="BE16" s="242">
        <v>8</v>
      </c>
      <c r="BF16" s="243">
        <f t="array" ref="BF16">(SUM(($BF$8:$BZ$8&lt;BF$8)*($BE$9:$BE$28&lt;$BE16)*$I$9:$AC$28)+SUM(($BF$8:$BZ$8&gt;BF$8)*($BE$9:$BE$28&gt;$BE16)*$I$9:$AC$28)-(SUM(($BF$8:$BZ$8&gt;BF$8)*($BE$9:$BE$28&lt;$BE16)*$I$9:$AC$28)+SUM(($BF$8:$BZ$8&lt;BF$8)*($BE$9:$BE$28&gt;$BE16)*$I$9:$AC$28)))*(INDEX($I$9:$AC$28,$BE16,BF$8)&gt;0)</f>
        <v>0</v>
      </c>
      <c r="BG16" s="243">
        <f t="array" ref="BG16">(SUM(($BF$8:$BZ$8&lt;BG$8)*($BE$9:$BE$28&lt;$BE16)*$I$9:$AC$28)+SUM(($BF$8:$BZ$8&gt;BG$8)*($BE$9:$BE$28&gt;$BE16)*$I$9:$AC$28)-(SUM(($BF$8:$BZ$8&gt;BG$8)*($BE$9:$BE$28&lt;$BE16)*$I$9:$AC$28)+SUM(($BF$8:$BZ$8&lt;BG$8)*($BE$9:$BE$28&gt;$BE16)*$I$9:$AC$28)))*(INDEX($I$9:$AC$28,$BE16,BG$8)&gt;0)</f>
        <v>0</v>
      </c>
      <c r="BH16" s="243">
        <f t="array" ref="BH16">(SUM(($BF$8:$BZ$8&lt;BH$8)*($BE$9:$BE$28&lt;$BE16)*$I$9:$AC$28)+SUM(($BF$8:$BZ$8&gt;BH$8)*($BE$9:$BE$28&gt;$BE16)*$I$9:$AC$28)-(SUM(($BF$8:$BZ$8&gt;BH$8)*($BE$9:$BE$28&lt;$BE16)*$I$9:$AC$28)+SUM(($BF$8:$BZ$8&lt;BH$8)*($BE$9:$BE$28&gt;$BE16)*$I$9:$AC$28)))*(INDEX($I$9:$AC$28,$BE16,BH$8)&gt;0)</f>
        <v>0</v>
      </c>
      <c r="BI16" s="243">
        <f t="array" ref="BI16">(SUM(($BF$8:$BZ$8&lt;BI$8)*($BE$9:$BE$28&lt;$BE16)*$I$9:$AC$28)+SUM(($BF$8:$BZ$8&gt;BI$8)*($BE$9:$BE$28&gt;$BE16)*$I$9:$AC$28)-(SUM(($BF$8:$BZ$8&gt;BI$8)*($BE$9:$BE$28&lt;$BE16)*$I$9:$AC$28)+SUM(($BF$8:$BZ$8&lt;BI$8)*($BE$9:$BE$28&gt;$BE16)*$I$9:$AC$28)))*(INDEX($I$9:$AC$28,$BE16,BI$8)&gt;0)</f>
        <v>0</v>
      </c>
      <c r="BJ16" s="243">
        <f t="array" ref="BJ16">(SUM(($BF$8:$BZ$8&lt;BJ$8)*($BE$9:$BE$28&lt;$BE16)*$I$9:$AC$28)+SUM(($BF$8:$BZ$8&gt;BJ$8)*($BE$9:$BE$28&gt;$BE16)*$I$9:$AC$28)-(SUM(($BF$8:$BZ$8&gt;BJ$8)*($BE$9:$BE$28&lt;$BE16)*$I$9:$AC$28)+SUM(($BF$8:$BZ$8&lt;BJ$8)*($BE$9:$BE$28&gt;$BE16)*$I$9:$AC$28)))*(INDEX($I$9:$AC$28,$BE16,BJ$8)&gt;0)</f>
        <v>0</v>
      </c>
      <c r="BK16" s="243">
        <f t="array" ref="BK16">(SUM(($BF$8:$BZ$8&lt;BK$8)*($BE$9:$BE$28&lt;$BE16)*$I$9:$AC$28)+SUM(($BF$8:$BZ$8&gt;BK$8)*($BE$9:$BE$28&gt;$BE16)*$I$9:$AC$28)-(SUM(($BF$8:$BZ$8&gt;BK$8)*($BE$9:$BE$28&lt;$BE16)*$I$9:$AC$28)+SUM(($BF$8:$BZ$8&lt;BK$8)*($BE$9:$BE$28&gt;$BE16)*$I$9:$AC$28)))*(INDEX($I$9:$AC$28,$BE16,BK$8)&gt;0)</f>
        <v>0</v>
      </c>
      <c r="BL16" s="243">
        <f t="array" ref="BL16">(SUM(($BF$8:$BZ$8&lt;BL$8)*($BE$9:$BE$28&lt;$BE16)*$I$9:$AC$28)+SUM(($BF$8:$BZ$8&gt;BL$8)*($BE$9:$BE$28&gt;$BE16)*$I$9:$AC$28)-(SUM(($BF$8:$BZ$8&gt;BL$8)*($BE$9:$BE$28&lt;$BE16)*$I$9:$AC$28)+SUM(($BF$8:$BZ$8&lt;BL$8)*($BE$9:$BE$28&gt;$BE16)*$I$9:$AC$28)))*(INDEX($I$9:$AC$28,$BE16,BL$8)&gt;0)</f>
        <v>0</v>
      </c>
      <c r="BM16" s="243">
        <f t="array" ref="BM16">(SUM(($BF$8:$BZ$8&lt;BM$8)*($BE$9:$BE$28&lt;$BE16)*$I$9:$AC$28)+SUM(($BF$8:$BZ$8&gt;BM$8)*($BE$9:$BE$28&gt;$BE16)*$I$9:$AC$28)-(SUM(($BF$8:$BZ$8&gt;BM$8)*($BE$9:$BE$28&lt;$BE16)*$I$9:$AC$28)+SUM(($BF$8:$BZ$8&lt;BM$8)*($BE$9:$BE$28&gt;$BE16)*$I$9:$AC$28)))*(INDEX($I$9:$AC$28,$BE16,BM$8)&gt;0)</f>
        <v>0</v>
      </c>
      <c r="BN16" s="243">
        <f t="array" ref="BN16">(SUM(($BF$8:$BZ$8&lt;BN$8)*($BE$9:$BE$28&lt;$BE16)*$I$9:$AC$28)+SUM(($BF$8:$BZ$8&gt;BN$8)*($BE$9:$BE$28&gt;$BE16)*$I$9:$AC$28)-(SUM(($BF$8:$BZ$8&gt;BN$8)*($BE$9:$BE$28&lt;$BE16)*$I$9:$AC$28)+SUM(($BF$8:$BZ$8&lt;BN$8)*($BE$9:$BE$28&gt;$BE16)*$I$9:$AC$28)))*(INDEX($I$9:$AC$28,$BE16,BN$8)&gt;0)</f>
        <v>0</v>
      </c>
      <c r="BO16" s="243">
        <f t="array" ref="BO16">(SUM(($BF$8:$BZ$8&lt;BO$8)*($BE$9:$BE$28&lt;$BE16)*$I$9:$AC$28)+SUM(($BF$8:$BZ$8&gt;BO$8)*($BE$9:$BE$28&gt;$BE16)*$I$9:$AC$28)-(SUM(($BF$8:$BZ$8&gt;BO$8)*($BE$9:$BE$28&lt;$BE16)*$I$9:$AC$28)+SUM(($BF$8:$BZ$8&lt;BO$8)*($BE$9:$BE$28&gt;$BE16)*$I$9:$AC$28)))*(INDEX($I$9:$AC$28,$BE16,BO$8)&gt;0)</f>
        <v>0</v>
      </c>
      <c r="BP16" s="243">
        <f t="array" ref="BP16">(SUM(($BF$8:$BZ$8&lt;BP$8)*($BE$9:$BE$28&lt;$BE16)*$I$9:$AC$28)+SUM(($BF$8:$BZ$8&gt;BP$8)*($BE$9:$BE$28&gt;$BE16)*$I$9:$AC$28)-(SUM(($BF$8:$BZ$8&gt;BP$8)*($BE$9:$BE$28&lt;$BE16)*$I$9:$AC$28)+SUM(($BF$8:$BZ$8&lt;BP$8)*($BE$9:$BE$28&gt;$BE16)*$I$9:$AC$28)))*(INDEX($I$9:$AC$28,$BE16,BP$8)&gt;0)</f>
        <v>0</v>
      </c>
      <c r="BQ16" s="243">
        <f t="array" ref="BQ16">(SUM(($BF$8:$BZ$8&lt;BQ$8)*($BE$9:$BE$28&lt;$BE16)*$I$9:$AC$28)+SUM(($BF$8:$BZ$8&gt;BQ$8)*($BE$9:$BE$28&gt;$BE16)*$I$9:$AC$28)-(SUM(($BF$8:$BZ$8&gt;BQ$8)*($BE$9:$BE$28&lt;$BE16)*$I$9:$AC$28)+SUM(($BF$8:$BZ$8&lt;BQ$8)*($BE$9:$BE$28&gt;$BE16)*$I$9:$AC$28)))*(INDEX($I$9:$AC$28,$BE16,BQ$8)&gt;0)</f>
        <v>0</v>
      </c>
      <c r="BR16" s="243">
        <f t="array" ref="BR16">(SUM(($BF$8:$BZ$8&lt;BR$8)*($BE$9:$BE$28&lt;$BE16)*$I$9:$AC$28)+SUM(($BF$8:$BZ$8&gt;BR$8)*($BE$9:$BE$28&gt;$BE16)*$I$9:$AC$28)-(SUM(($BF$8:$BZ$8&gt;BR$8)*($BE$9:$BE$28&lt;$BE16)*$I$9:$AC$28)+SUM(($BF$8:$BZ$8&lt;BR$8)*($BE$9:$BE$28&gt;$BE16)*$I$9:$AC$28)))*(INDEX($I$9:$AC$28,$BE16,BR$8)&gt;0)</f>
        <v>0</v>
      </c>
      <c r="BS16" s="243">
        <f t="array" ref="BS16">(SUM(($BF$8:$BZ$8&lt;BS$8)*($BE$9:$BE$28&lt;$BE16)*$I$9:$AC$28)+SUM(($BF$8:$BZ$8&gt;BS$8)*($BE$9:$BE$28&gt;$BE16)*$I$9:$AC$28)-(SUM(($BF$8:$BZ$8&gt;BS$8)*($BE$9:$BE$28&lt;$BE16)*$I$9:$AC$28)+SUM(($BF$8:$BZ$8&lt;BS$8)*($BE$9:$BE$28&gt;$BE16)*$I$9:$AC$28)))*(INDEX($I$9:$AC$28,$BE16,BS$8)&gt;0)</f>
        <v>0</v>
      </c>
      <c r="BT16" s="243">
        <f t="array" ref="BT16">(SUM(($BF$8:$BZ$8&lt;BT$8)*($BE$9:$BE$28&lt;$BE16)*$I$9:$AC$28)+SUM(($BF$8:$BZ$8&gt;BT$8)*($BE$9:$BE$28&gt;$BE16)*$I$9:$AC$28)-(SUM(($BF$8:$BZ$8&gt;BT$8)*($BE$9:$BE$28&lt;$BE16)*$I$9:$AC$28)+SUM(($BF$8:$BZ$8&lt;BT$8)*($BE$9:$BE$28&gt;$BE16)*$I$9:$AC$28)))*(INDEX($I$9:$AC$28,$BE16,BT$8)&gt;0)</f>
        <v>0</v>
      </c>
      <c r="BU16" s="243">
        <f t="array" ref="BU16">(SUM(($BF$8:$BZ$8&lt;BU$8)*($BE$9:$BE$28&lt;$BE16)*$I$9:$AC$28)+SUM(($BF$8:$BZ$8&gt;BU$8)*($BE$9:$BE$28&gt;$BE16)*$I$9:$AC$28)-(SUM(($BF$8:$BZ$8&gt;BU$8)*($BE$9:$BE$28&lt;$BE16)*$I$9:$AC$28)+SUM(($BF$8:$BZ$8&lt;BU$8)*($BE$9:$BE$28&gt;$BE16)*$I$9:$AC$28)))*(INDEX($I$9:$AC$28,$BE16,BU$8)&gt;0)</f>
        <v>0</v>
      </c>
      <c r="BV16" s="243">
        <f t="array" ref="BV16">(SUM(($BF$8:$BZ$8&lt;BV$8)*($BE$9:$BE$28&lt;$BE16)*$I$9:$AC$28)+SUM(($BF$8:$BZ$8&gt;BV$8)*($BE$9:$BE$28&gt;$BE16)*$I$9:$AC$28)-(SUM(($BF$8:$BZ$8&gt;BV$8)*($BE$9:$BE$28&lt;$BE16)*$I$9:$AC$28)+SUM(($BF$8:$BZ$8&lt;BV$8)*($BE$9:$BE$28&gt;$BE16)*$I$9:$AC$28)))*(INDEX($I$9:$AC$28,$BE16,BV$8)&gt;0)</f>
        <v>0</v>
      </c>
      <c r="BW16" s="243">
        <f t="array" ref="BW16">(SUM(($BF$8:$BZ$8&lt;BW$8)*($BE$9:$BE$28&lt;$BE16)*$I$9:$AC$28)+SUM(($BF$8:$BZ$8&gt;BW$8)*($BE$9:$BE$28&gt;$BE16)*$I$9:$AC$28)-(SUM(($BF$8:$BZ$8&gt;BW$8)*($BE$9:$BE$28&lt;$BE16)*$I$9:$AC$28)+SUM(($BF$8:$BZ$8&lt;BW$8)*($BE$9:$BE$28&gt;$BE16)*$I$9:$AC$28)))*(INDEX($I$9:$AC$28,$BE16,BW$8)&gt;0)</f>
        <v>0</v>
      </c>
      <c r="BX16" s="243">
        <f t="array" ref="BX16">(SUM(($BF$8:$BZ$8&lt;BX$8)*($BE$9:$BE$28&lt;$BE16)*$I$9:$AC$28)+SUM(($BF$8:$BZ$8&gt;BX$8)*($BE$9:$BE$28&gt;$BE16)*$I$9:$AC$28)-(SUM(($BF$8:$BZ$8&gt;BX$8)*($BE$9:$BE$28&lt;$BE16)*$I$9:$AC$28)+SUM(($BF$8:$BZ$8&lt;BX$8)*($BE$9:$BE$28&gt;$BE16)*$I$9:$AC$28)))*(INDEX($I$9:$AC$28,$BE16,BX$8)&gt;0)</f>
        <v>0</v>
      </c>
      <c r="BY16" s="243">
        <f t="array" ref="BY16">(SUM(($BF$8:$BZ$8&lt;BY$8)*($BE$9:$BE$28&lt;$BE16)*$I$9:$AC$28)+SUM(($BF$8:$BZ$8&gt;BY$8)*($BE$9:$BE$28&gt;$BE16)*$I$9:$AC$28)-(SUM(($BF$8:$BZ$8&gt;BY$8)*($BE$9:$BE$28&lt;$BE16)*$I$9:$AC$28)+SUM(($BF$8:$BZ$8&lt;BY$8)*($BE$9:$BE$28&gt;$BE16)*$I$9:$AC$28)))*(INDEX($I$9:$AC$28,$BE16,BY$8)&gt;0)</f>
        <v>0</v>
      </c>
      <c r="BZ16" s="244">
        <f t="array" ref="BZ16">(SUM(($BF$8:$BZ$8&lt;BZ$8)*($BE$9:$BE$28&lt;$BE16)*$I$9:$AC$28)+SUM(($BF$8:$BZ$8&gt;BZ$8)*($BE$9:$BE$28&gt;$BE16)*$I$9:$AC$28)-(SUM(($BF$8:$BZ$8&gt;BZ$8)*($BE$9:$BE$28&lt;$BE16)*$I$9:$AC$28)+SUM(($BF$8:$BZ$8&lt;BZ$8)*($BE$9:$BE$28&gt;$BE16)*$I$9:$AC$28)))*(INDEX($I$9:$AC$28,$BE16,BZ$8)&gt;0)</f>
        <v>0</v>
      </c>
      <c r="CA16" s="45"/>
      <c r="CE16" s="4">
        <v>0</v>
      </c>
      <c r="CF16" s="4">
        <v>0</v>
      </c>
      <c r="CG16" s="4" t="b">
        <v>0</v>
      </c>
      <c r="CH16" s="4">
        <v>0</v>
      </c>
    </row>
    <row r="17" spans="1:86" x14ac:dyDescent="0.35">
      <c r="A17" s="45"/>
      <c r="B17" s="399" t="s">
        <v>22</v>
      </c>
      <c r="C17" s="424" t="s">
        <v>242</v>
      </c>
      <c r="D17" s="95"/>
      <c r="E17" s="96"/>
      <c r="F17" s="270"/>
      <c r="G17" s="266"/>
      <c r="H17" s="267"/>
      <c r="I17" s="99"/>
      <c r="J17" s="96"/>
      <c r="K17" s="96"/>
      <c r="L17" s="96"/>
      <c r="M17" s="96"/>
      <c r="N17" s="96"/>
      <c r="O17" s="96"/>
      <c r="P17" s="96"/>
      <c r="Q17" s="96"/>
      <c r="R17" s="96"/>
      <c r="S17" s="96"/>
      <c r="T17" s="96"/>
      <c r="U17" s="96"/>
      <c r="V17" s="96"/>
      <c r="W17" s="96"/>
      <c r="X17" s="96"/>
      <c r="Y17" s="96"/>
      <c r="Z17" s="96"/>
      <c r="AA17" s="96"/>
      <c r="AB17" s="96"/>
      <c r="AC17" s="100"/>
      <c r="AD17" s="268"/>
      <c r="AE17" s="266"/>
      <c r="AF17" s="267"/>
      <c r="AG17" s="45"/>
      <c r="AH17" s="259" t="str">
        <f>IF(AND(COUNTA(D17:AF17)=0,D18=""),"",IF(AND('2.1'!E17=0,COUNTA(H17:AF17)&gt;0),"NOT OK",IF(AND(COUNTA(D17:AF17)=0,D18&lt;&gt;""),"NOT OK",IF(OR(AJ17="NOT OK",AK17="NOT OK",AL17="NOT OK",AT17="NOT OK"),"NOT OK",IF(OR(AO17="WARNING",AR17="WARNING"),"WARNING","OK")))))</f>
        <v/>
      </c>
      <c r="AI17" s="276" t="str">
        <f>IF(AND(COUNTA(D17:AF17)=0,'2.1'!D18=""),"",IF(AND(E17=0,COUNTA(H17:AF17)&gt;0),"As number of facilities is zero, please leave columns H to AF empty.",IF(AND(COUNTA(D17:AF17)=0,D18&lt;&gt;""),"Empty lines between grades not allowed.",IF(AND(D17&lt;&gt;"",OR(E17="",G17="")),"Information is missing for this facility grade/pool. Please report number of facilities and average LGD estimate.",IF(AJ17="NOT OK","Row incomplete. Check if zeros values are missing in the row.",IF(AK17="NOT OK","The number of facilities in buckets does not sum up to the total number.",IF(AL17="NOT OK","Please order the pools in ascending order of the weighted average of estimated LGD.",IF(AT17="NOT OK","The p-value of t-Test differs from ECB calculation.",IF(AO17="WARNING","The average LGD^R seems implausible with the given LGD realisation.",IF(AR17="WARNING","The variance of the LGD seems implausible with the given realisation.",""))))))))))</f>
        <v/>
      </c>
      <c r="AJ17" s="262" t="str">
        <f>IF(AND(COUNTA(D17:AF17)=0,'2.1'!D18=""),"",IF(AND(D17&lt;&gt;"",OR(E17="",G17="")),"NOT OK",IF(AND(D17&lt;&gt;"",E17&lt;&gt;"",E17=0,G17&lt;&gt;""),"OK",IF(COUNTA(D17:AF17)=COUNTA($D$9:$D$28)+7+1,"OK",IF(AND(E17=1,COUNTA(D17:AF17)=COUNTA($D$9:$D$28)+4+1),"OK","NOT OK")))))</f>
        <v/>
      </c>
      <c r="AK17" s="262" t="str">
        <f>IF(OR(AND(D17&lt;&gt;"",'2.1'!E17 =0),COUNTA(D17:AF17)=0),"",IF(E17=SUM(I17:AC17),"OK","NOT OK"))</f>
        <v/>
      </c>
      <c r="AL17" s="507" t="str">
        <f>IF('2.1'!G17="","",IF(G17&lt;G16,"NOT OK", "OK"))</f>
        <v/>
      </c>
      <c r="AM17" s="516" t="str">
        <f t="array" ref="AM17">IFERROR(SUM(I17:AC17*TRANSPOSE($AU$8:$AU$28))/SUM(I17:AC17),"")</f>
        <v/>
      </c>
      <c r="AN17" s="271" t="str">
        <f t="array" ref="AN17">IFERROR(SUM(I17:AC17*TRANSPOSE($AV$8:$AV$28))/SUM(I17:AC17),"")</f>
        <v/>
      </c>
      <c r="AO17" s="275" t="str">
        <f>IF(OR(AND(D17&lt;&gt;"",'2.1'!E17 =0),COUNTA(D17:AF17)=0),"",IFERROR(IF(AND(H17&gt;=AM17,H17&lt;=AN17),"OK","WARNING"),""))</f>
        <v/>
      </c>
      <c r="AP17" s="516" t="str">
        <f>IF(COUNTA(H17:AF17)=0,"",IFERROR('2.1'!BG46,""))</f>
        <v/>
      </c>
      <c r="AQ17" s="271" t="str">
        <f>IF(COUNTA(H17:AF17)=0,"",IFERROR('2.1'!BF46,""))</f>
        <v/>
      </c>
      <c r="AR17" s="275" t="str">
        <f>IF(OR(AND(D17&lt;&gt;"",E17 =0),COUNTA(D17:AF17)=0),"",IFERROR(IF(AND('2.1'!AD17&gt;=AP17,AD17&lt;=AQ17),"OK","WARNING"),""))</f>
        <v/>
      </c>
      <c r="AS17" s="510" t="str">
        <f>IFERROR(IF(COUNTA(D17:AF17)=0,"",1-_xlfn.T.DIST(SQRT(E17)*(H17-G17)/SQRT('2.1'!AD17),E17-1,TRUE)),"")</f>
        <v/>
      </c>
      <c r="AT17" s="275" t="str">
        <f>IFERROR(IF(COUNTA(D17:AF17)=0,"",IF(ABS(AF17-'2.1'!AS17)&gt;0.00001,"NOT OK","OK")),"")</f>
        <v/>
      </c>
      <c r="AU17" s="220">
        <f>'2.1'!G17</f>
        <v>0</v>
      </c>
      <c r="AV17" s="218">
        <f>IF('2.1'!G18&lt;&gt;"",G18,IF(G17=0,0,3))</f>
        <v>0</v>
      </c>
      <c r="AW17" s="221">
        <f>IFERROR('2.1'!AV17/2+AU17/2,"")</f>
        <v>0</v>
      </c>
      <c r="AX17" s="45"/>
      <c r="AY17" s="45"/>
      <c r="AZ17" s="45"/>
      <c r="BA17" s="45"/>
      <c r="BB17" s="45"/>
      <c r="BC17" s="45"/>
      <c r="BD17" s="241">
        <f>SUM('2.1'!I17:AC17)</f>
        <v>0</v>
      </c>
      <c r="BE17" s="242">
        <v>9</v>
      </c>
      <c r="BF17" s="243">
        <f t="array" ref="BF17">(SUM(($BF$8:$BZ$8&lt;BF$8)*($BE$9:$BE$28&lt;$BE17)*$I$9:$AC$28)+SUM(($BF$8:$BZ$8&gt;BF$8)*($BE$9:$BE$28&gt;$BE17)*$I$9:$AC$28)-(SUM(($BF$8:$BZ$8&gt;BF$8)*($BE$9:$BE$28&lt;$BE17)*$I$9:$AC$28)+SUM(($BF$8:$BZ$8&lt;BF$8)*($BE$9:$BE$28&gt;$BE17)*$I$9:$AC$28)))*(INDEX($I$9:$AC$28,$BE17,BF$8)&gt;0)</f>
        <v>0</v>
      </c>
      <c r="BG17" s="243">
        <f t="array" ref="BG17">(SUM(($BF$8:$BZ$8&lt;BG$8)*($BE$9:$BE$28&lt;$BE17)*$I$9:$AC$28)+SUM(($BF$8:$BZ$8&gt;BG$8)*($BE$9:$BE$28&gt;$BE17)*$I$9:$AC$28)-(SUM(($BF$8:$BZ$8&gt;BG$8)*($BE$9:$BE$28&lt;$BE17)*$I$9:$AC$28)+SUM(($BF$8:$BZ$8&lt;BG$8)*($BE$9:$BE$28&gt;$BE17)*$I$9:$AC$28)))*(INDEX($I$9:$AC$28,$BE17,BG$8)&gt;0)</f>
        <v>0</v>
      </c>
      <c r="BH17" s="243">
        <f t="array" ref="BH17">(SUM(($BF$8:$BZ$8&lt;BH$8)*($BE$9:$BE$28&lt;$BE17)*$I$9:$AC$28)+SUM(($BF$8:$BZ$8&gt;BH$8)*($BE$9:$BE$28&gt;$BE17)*$I$9:$AC$28)-(SUM(($BF$8:$BZ$8&gt;BH$8)*($BE$9:$BE$28&lt;$BE17)*$I$9:$AC$28)+SUM(($BF$8:$BZ$8&lt;BH$8)*($BE$9:$BE$28&gt;$BE17)*$I$9:$AC$28)))*(INDEX($I$9:$AC$28,$BE17,BH$8)&gt;0)</f>
        <v>0</v>
      </c>
      <c r="BI17" s="243">
        <f t="array" ref="BI17">(SUM(($BF$8:$BZ$8&lt;BI$8)*($BE$9:$BE$28&lt;$BE17)*$I$9:$AC$28)+SUM(($BF$8:$BZ$8&gt;BI$8)*($BE$9:$BE$28&gt;$BE17)*$I$9:$AC$28)-(SUM(($BF$8:$BZ$8&gt;BI$8)*($BE$9:$BE$28&lt;$BE17)*$I$9:$AC$28)+SUM(($BF$8:$BZ$8&lt;BI$8)*($BE$9:$BE$28&gt;$BE17)*$I$9:$AC$28)))*(INDEX($I$9:$AC$28,$BE17,BI$8)&gt;0)</f>
        <v>0</v>
      </c>
      <c r="BJ17" s="243">
        <f t="array" ref="BJ17">(SUM(($BF$8:$BZ$8&lt;BJ$8)*($BE$9:$BE$28&lt;$BE17)*$I$9:$AC$28)+SUM(($BF$8:$BZ$8&gt;BJ$8)*($BE$9:$BE$28&gt;$BE17)*$I$9:$AC$28)-(SUM(($BF$8:$BZ$8&gt;BJ$8)*($BE$9:$BE$28&lt;$BE17)*$I$9:$AC$28)+SUM(($BF$8:$BZ$8&lt;BJ$8)*($BE$9:$BE$28&gt;$BE17)*$I$9:$AC$28)))*(INDEX($I$9:$AC$28,$BE17,BJ$8)&gt;0)</f>
        <v>0</v>
      </c>
      <c r="BK17" s="243">
        <f t="array" ref="BK17">(SUM(($BF$8:$BZ$8&lt;BK$8)*($BE$9:$BE$28&lt;$BE17)*$I$9:$AC$28)+SUM(($BF$8:$BZ$8&gt;BK$8)*($BE$9:$BE$28&gt;$BE17)*$I$9:$AC$28)-(SUM(($BF$8:$BZ$8&gt;BK$8)*($BE$9:$BE$28&lt;$BE17)*$I$9:$AC$28)+SUM(($BF$8:$BZ$8&lt;BK$8)*($BE$9:$BE$28&gt;$BE17)*$I$9:$AC$28)))*(INDEX($I$9:$AC$28,$BE17,BK$8)&gt;0)</f>
        <v>0</v>
      </c>
      <c r="BL17" s="243">
        <f t="array" ref="BL17">(SUM(($BF$8:$BZ$8&lt;BL$8)*($BE$9:$BE$28&lt;$BE17)*$I$9:$AC$28)+SUM(($BF$8:$BZ$8&gt;BL$8)*($BE$9:$BE$28&gt;$BE17)*$I$9:$AC$28)-(SUM(($BF$8:$BZ$8&gt;BL$8)*($BE$9:$BE$28&lt;$BE17)*$I$9:$AC$28)+SUM(($BF$8:$BZ$8&lt;BL$8)*($BE$9:$BE$28&gt;$BE17)*$I$9:$AC$28)))*(INDEX($I$9:$AC$28,$BE17,BL$8)&gt;0)</f>
        <v>0</v>
      </c>
      <c r="BM17" s="243">
        <f t="array" ref="BM17">(SUM(($BF$8:$BZ$8&lt;BM$8)*($BE$9:$BE$28&lt;$BE17)*$I$9:$AC$28)+SUM(($BF$8:$BZ$8&gt;BM$8)*($BE$9:$BE$28&gt;$BE17)*$I$9:$AC$28)-(SUM(($BF$8:$BZ$8&gt;BM$8)*($BE$9:$BE$28&lt;$BE17)*$I$9:$AC$28)+SUM(($BF$8:$BZ$8&lt;BM$8)*($BE$9:$BE$28&gt;$BE17)*$I$9:$AC$28)))*(INDEX($I$9:$AC$28,$BE17,BM$8)&gt;0)</f>
        <v>0</v>
      </c>
      <c r="BN17" s="243">
        <f t="array" ref="BN17">(SUM(($BF$8:$BZ$8&lt;BN$8)*($BE$9:$BE$28&lt;$BE17)*$I$9:$AC$28)+SUM(($BF$8:$BZ$8&gt;BN$8)*($BE$9:$BE$28&gt;$BE17)*$I$9:$AC$28)-(SUM(($BF$8:$BZ$8&gt;BN$8)*($BE$9:$BE$28&lt;$BE17)*$I$9:$AC$28)+SUM(($BF$8:$BZ$8&lt;BN$8)*($BE$9:$BE$28&gt;$BE17)*$I$9:$AC$28)))*(INDEX($I$9:$AC$28,$BE17,BN$8)&gt;0)</f>
        <v>0</v>
      </c>
      <c r="BO17" s="243">
        <f t="array" ref="BO17">(SUM(($BF$8:$BZ$8&lt;BO$8)*($BE$9:$BE$28&lt;$BE17)*$I$9:$AC$28)+SUM(($BF$8:$BZ$8&gt;BO$8)*($BE$9:$BE$28&gt;$BE17)*$I$9:$AC$28)-(SUM(($BF$8:$BZ$8&gt;BO$8)*($BE$9:$BE$28&lt;$BE17)*$I$9:$AC$28)+SUM(($BF$8:$BZ$8&lt;BO$8)*($BE$9:$BE$28&gt;$BE17)*$I$9:$AC$28)))*(INDEX($I$9:$AC$28,$BE17,BO$8)&gt;0)</f>
        <v>0</v>
      </c>
      <c r="BP17" s="243">
        <f t="array" ref="BP17">(SUM(($BF$8:$BZ$8&lt;BP$8)*($BE$9:$BE$28&lt;$BE17)*$I$9:$AC$28)+SUM(($BF$8:$BZ$8&gt;BP$8)*($BE$9:$BE$28&gt;$BE17)*$I$9:$AC$28)-(SUM(($BF$8:$BZ$8&gt;BP$8)*($BE$9:$BE$28&lt;$BE17)*$I$9:$AC$28)+SUM(($BF$8:$BZ$8&lt;BP$8)*($BE$9:$BE$28&gt;$BE17)*$I$9:$AC$28)))*(INDEX($I$9:$AC$28,$BE17,BP$8)&gt;0)</f>
        <v>0</v>
      </c>
      <c r="BQ17" s="243">
        <f t="array" ref="BQ17">(SUM(($BF$8:$BZ$8&lt;BQ$8)*($BE$9:$BE$28&lt;$BE17)*$I$9:$AC$28)+SUM(($BF$8:$BZ$8&gt;BQ$8)*($BE$9:$BE$28&gt;$BE17)*$I$9:$AC$28)-(SUM(($BF$8:$BZ$8&gt;BQ$8)*($BE$9:$BE$28&lt;$BE17)*$I$9:$AC$28)+SUM(($BF$8:$BZ$8&lt;BQ$8)*($BE$9:$BE$28&gt;$BE17)*$I$9:$AC$28)))*(INDEX($I$9:$AC$28,$BE17,BQ$8)&gt;0)</f>
        <v>0</v>
      </c>
      <c r="BR17" s="243">
        <f t="array" ref="BR17">(SUM(($BF$8:$BZ$8&lt;BR$8)*($BE$9:$BE$28&lt;$BE17)*$I$9:$AC$28)+SUM(($BF$8:$BZ$8&gt;BR$8)*($BE$9:$BE$28&gt;$BE17)*$I$9:$AC$28)-(SUM(($BF$8:$BZ$8&gt;BR$8)*($BE$9:$BE$28&lt;$BE17)*$I$9:$AC$28)+SUM(($BF$8:$BZ$8&lt;BR$8)*($BE$9:$BE$28&gt;$BE17)*$I$9:$AC$28)))*(INDEX($I$9:$AC$28,$BE17,BR$8)&gt;0)</f>
        <v>0</v>
      </c>
      <c r="BS17" s="243">
        <f t="array" ref="BS17">(SUM(($BF$8:$BZ$8&lt;BS$8)*($BE$9:$BE$28&lt;$BE17)*$I$9:$AC$28)+SUM(($BF$8:$BZ$8&gt;BS$8)*($BE$9:$BE$28&gt;$BE17)*$I$9:$AC$28)-(SUM(($BF$8:$BZ$8&gt;BS$8)*($BE$9:$BE$28&lt;$BE17)*$I$9:$AC$28)+SUM(($BF$8:$BZ$8&lt;BS$8)*($BE$9:$BE$28&gt;$BE17)*$I$9:$AC$28)))*(INDEX($I$9:$AC$28,$BE17,BS$8)&gt;0)</f>
        <v>0</v>
      </c>
      <c r="BT17" s="243">
        <f t="array" ref="BT17">(SUM(($BF$8:$BZ$8&lt;BT$8)*($BE$9:$BE$28&lt;$BE17)*$I$9:$AC$28)+SUM(($BF$8:$BZ$8&gt;BT$8)*($BE$9:$BE$28&gt;$BE17)*$I$9:$AC$28)-(SUM(($BF$8:$BZ$8&gt;BT$8)*($BE$9:$BE$28&lt;$BE17)*$I$9:$AC$28)+SUM(($BF$8:$BZ$8&lt;BT$8)*($BE$9:$BE$28&gt;$BE17)*$I$9:$AC$28)))*(INDEX($I$9:$AC$28,$BE17,BT$8)&gt;0)</f>
        <v>0</v>
      </c>
      <c r="BU17" s="243">
        <f t="array" ref="BU17">(SUM(($BF$8:$BZ$8&lt;BU$8)*($BE$9:$BE$28&lt;$BE17)*$I$9:$AC$28)+SUM(($BF$8:$BZ$8&gt;BU$8)*($BE$9:$BE$28&gt;$BE17)*$I$9:$AC$28)-(SUM(($BF$8:$BZ$8&gt;BU$8)*($BE$9:$BE$28&lt;$BE17)*$I$9:$AC$28)+SUM(($BF$8:$BZ$8&lt;BU$8)*($BE$9:$BE$28&gt;$BE17)*$I$9:$AC$28)))*(INDEX($I$9:$AC$28,$BE17,BU$8)&gt;0)</f>
        <v>0</v>
      </c>
      <c r="BV17" s="243">
        <f t="array" ref="BV17">(SUM(($BF$8:$BZ$8&lt;BV$8)*($BE$9:$BE$28&lt;$BE17)*$I$9:$AC$28)+SUM(($BF$8:$BZ$8&gt;BV$8)*($BE$9:$BE$28&gt;$BE17)*$I$9:$AC$28)-(SUM(($BF$8:$BZ$8&gt;BV$8)*($BE$9:$BE$28&lt;$BE17)*$I$9:$AC$28)+SUM(($BF$8:$BZ$8&lt;BV$8)*($BE$9:$BE$28&gt;$BE17)*$I$9:$AC$28)))*(INDEX($I$9:$AC$28,$BE17,BV$8)&gt;0)</f>
        <v>0</v>
      </c>
      <c r="BW17" s="243">
        <f t="array" ref="BW17">(SUM(($BF$8:$BZ$8&lt;BW$8)*($BE$9:$BE$28&lt;$BE17)*$I$9:$AC$28)+SUM(($BF$8:$BZ$8&gt;BW$8)*($BE$9:$BE$28&gt;$BE17)*$I$9:$AC$28)-(SUM(($BF$8:$BZ$8&gt;BW$8)*($BE$9:$BE$28&lt;$BE17)*$I$9:$AC$28)+SUM(($BF$8:$BZ$8&lt;BW$8)*($BE$9:$BE$28&gt;$BE17)*$I$9:$AC$28)))*(INDEX($I$9:$AC$28,$BE17,BW$8)&gt;0)</f>
        <v>0</v>
      </c>
      <c r="BX17" s="243">
        <f t="array" ref="BX17">(SUM(($BF$8:$BZ$8&lt;BX$8)*($BE$9:$BE$28&lt;$BE17)*$I$9:$AC$28)+SUM(($BF$8:$BZ$8&gt;BX$8)*($BE$9:$BE$28&gt;$BE17)*$I$9:$AC$28)-(SUM(($BF$8:$BZ$8&gt;BX$8)*($BE$9:$BE$28&lt;$BE17)*$I$9:$AC$28)+SUM(($BF$8:$BZ$8&lt;BX$8)*($BE$9:$BE$28&gt;$BE17)*$I$9:$AC$28)))*(INDEX($I$9:$AC$28,$BE17,BX$8)&gt;0)</f>
        <v>0</v>
      </c>
      <c r="BY17" s="243">
        <f t="array" ref="BY17">(SUM(($BF$8:$BZ$8&lt;BY$8)*($BE$9:$BE$28&lt;$BE17)*$I$9:$AC$28)+SUM(($BF$8:$BZ$8&gt;BY$8)*($BE$9:$BE$28&gt;$BE17)*$I$9:$AC$28)-(SUM(($BF$8:$BZ$8&gt;BY$8)*($BE$9:$BE$28&lt;$BE17)*$I$9:$AC$28)+SUM(($BF$8:$BZ$8&lt;BY$8)*($BE$9:$BE$28&gt;$BE17)*$I$9:$AC$28)))*(INDEX($I$9:$AC$28,$BE17,BY$8)&gt;0)</f>
        <v>0</v>
      </c>
      <c r="BZ17" s="244">
        <f t="array" ref="BZ17">(SUM(($BF$8:$BZ$8&lt;BZ$8)*($BE$9:$BE$28&lt;$BE17)*$I$9:$AC$28)+SUM(($BF$8:$BZ$8&gt;BZ$8)*($BE$9:$BE$28&gt;$BE17)*$I$9:$AC$28)-(SUM(($BF$8:$BZ$8&gt;BZ$8)*($BE$9:$BE$28&lt;$BE17)*$I$9:$AC$28)+SUM(($BF$8:$BZ$8&lt;BZ$8)*($BE$9:$BE$28&gt;$BE17)*$I$9:$AC$28)))*(INDEX($I$9:$AC$28,$BE17,BZ$8)&gt;0)</f>
        <v>0</v>
      </c>
      <c r="CA17" s="45"/>
      <c r="CE17" s="4">
        <v>0</v>
      </c>
      <c r="CF17" s="4">
        <v>0</v>
      </c>
      <c r="CG17" s="4" t="b">
        <v>0</v>
      </c>
      <c r="CH17" s="4">
        <v>0</v>
      </c>
    </row>
    <row r="18" spans="1:86" x14ac:dyDescent="0.35">
      <c r="A18" s="45"/>
      <c r="B18" s="119" t="s">
        <v>12</v>
      </c>
      <c r="C18" s="424" t="s">
        <v>243</v>
      </c>
      <c r="D18" s="95"/>
      <c r="E18" s="96"/>
      <c r="F18" s="270"/>
      <c r="G18" s="266"/>
      <c r="H18" s="267"/>
      <c r="I18" s="99"/>
      <c r="J18" s="96"/>
      <c r="K18" s="96"/>
      <c r="L18" s="96"/>
      <c r="M18" s="96"/>
      <c r="N18" s="96"/>
      <c r="O18" s="96"/>
      <c r="P18" s="96"/>
      <c r="Q18" s="96"/>
      <c r="R18" s="96"/>
      <c r="S18" s="96"/>
      <c r="T18" s="96"/>
      <c r="U18" s="96"/>
      <c r="V18" s="96"/>
      <c r="W18" s="96"/>
      <c r="X18" s="96"/>
      <c r="Y18" s="96"/>
      <c r="Z18" s="96"/>
      <c r="AA18" s="96"/>
      <c r="AB18" s="96"/>
      <c r="AC18" s="100"/>
      <c r="AD18" s="268"/>
      <c r="AE18" s="266"/>
      <c r="AF18" s="267"/>
      <c r="AG18" s="45"/>
      <c r="AH18" s="259" t="str">
        <f>IF(AND(COUNTA(D18:AF18)=0,D19=""),"",IF(AND('2.1'!E18=0,COUNTA(H18:AF18)&gt;0),"NOT OK",IF(AND(COUNTA(D18:AF18)=0,D19&lt;&gt;""),"NOT OK",IF(OR(AJ18="NOT OK",AK18="NOT OK",AL18="NOT OK",AT18="NOT OK"),"NOT OK",IF(OR(AO18="WARNING",AR18="WARNING"),"WARNING","OK")))))</f>
        <v/>
      </c>
      <c r="AI18" s="276" t="str">
        <f>IF(AND(COUNTA(D18:AF18)=0,'2.1'!D19=""),"",IF(AND(E18=0,COUNTA(H18:AF18)&gt;0),"As number of facilities is zero, please leave columns H to AF empty.",IF(AND(COUNTA(D18:AF18)=0,D19&lt;&gt;""),"Empty lines between grades not allowed.",IF(AND(D18&lt;&gt;"",OR(E18="",G18="")),"Information is missing for this facility grade/pool. Please report number of facilities and average LGD estimate.",IF(AJ18="NOT OK","Row incomplete. Check if zeros values are missing in the row.",IF(AK18="NOT OK","The number of facilities in buckets does not sum up to the total number.",IF(AL18="NOT OK","Please order the pools in ascending order of the weighted average of estimated LGD.",IF(AT18="NOT OK","The p-value of t-Test differs from ECB calculation.",IF(AO18="WARNING","The average LGD^R seems implausible with the given LGD realisation.",IF(AR18="WARNING","The variance of the LGD seems implausible with the given realisation.",""))))))))))</f>
        <v/>
      </c>
      <c r="AJ18" s="262" t="str">
        <f>IF(AND(COUNTA(D18:AF18)=0,'2.1'!D19=""),"",IF(AND(D18&lt;&gt;"",OR(E18="",G18="")),"NOT OK",IF(AND(D18&lt;&gt;"",E18&lt;&gt;"",E18=0,G18&lt;&gt;""),"OK",IF(COUNTA(D18:AF18)=COUNTA($D$9:$D$28)+7+1,"OK",IF(AND(E18=1,COUNTA(D18:AF18)=COUNTA($D$9:$D$28)+4+1),"OK","NOT OK")))))</f>
        <v/>
      </c>
      <c r="AK18" s="262" t="str">
        <f>IF(OR(AND(D18&lt;&gt;"",'2.1'!E18 =0),COUNTA(D18:AF18)=0),"",IF(E18=SUM(I18:AC18),"OK","NOT OK"))</f>
        <v/>
      </c>
      <c r="AL18" s="507" t="str">
        <f>IF('2.1'!G18="","",IF(G18&lt;G17,"NOT OK", "OK"))</f>
        <v/>
      </c>
      <c r="AM18" s="516" t="str">
        <f t="array" ref="AM18">IFERROR(SUM(I18:AC18*TRANSPOSE($AU$8:$AU$28))/SUM(I18:AC18),"")</f>
        <v/>
      </c>
      <c r="AN18" s="271" t="str">
        <f t="array" ref="AN18">IFERROR(SUM(I18:AC18*TRANSPOSE($AV$8:$AV$28))/SUM(I18:AC18),"")</f>
        <v/>
      </c>
      <c r="AO18" s="275" t="str">
        <f>IF(OR(AND(D18&lt;&gt;"",'2.1'!E18 =0),COUNTA(D18:AF18)=0),"",IFERROR(IF(AND(H18&gt;=AM18,H18&lt;=AN18),"OK","WARNING"),""))</f>
        <v/>
      </c>
      <c r="AP18" s="516" t="str">
        <f>IF(COUNTA(H18:AF18)=0,"",IFERROR('2.1'!BG47,""))</f>
        <v/>
      </c>
      <c r="AQ18" s="271" t="str">
        <f>IF(COUNTA(H18:AF18)=0,"",IFERROR('2.1'!BF47,""))</f>
        <v/>
      </c>
      <c r="AR18" s="275" t="str">
        <f>IF(OR(AND(D18&lt;&gt;"",E18 =0),COUNTA(D18:AF18)=0),"",IFERROR(IF(AND('2.1'!AD18&gt;=AP18,AD18&lt;=AQ18),"OK","WARNING"),""))</f>
        <v/>
      </c>
      <c r="AS18" s="510" t="str">
        <f>IFERROR(IF(COUNTA(D18:AF18)=0,"",1-_xlfn.T.DIST(SQRT(E18)*(H18-G18)/SQRT('2.1'!AD18),E18-1,TRUE)),"")</f>
        <v/>
      </c>
      <c r="AT18" s="275" t="str">
        <f>IFERROR(IF(COUNTA(D18:AF18)=0,"",IF(ABS(AF18-'2.1'!AS18)&gt;0.00001,"NOT OK","OK")),"")</f>
        <v/>
      </c>
      <c r="AU18" s="220">
        <f>'2.1'!G18</f>
        <v>0</v>
      </c>
      <c r="AV18" s="218">
        <f>IF('2.1'!G19&lt;&gt;"",G19,IF(G18=0,0,3))</f>
        <v>0</v>
      </c>
      <c r="AW18" s="221">
        <f>IFERROR('2.1'!AV18/2+AU18/2,"")</f>
        <v>0</v>
      </c>
      <c r="AX18" s="45"/>
      <c r="AY18" s="45"/>
      <c r="AZ18" s="45"/>
      <c r="BA18" s="45"/>
      <c r="BB18" s="45"/>
      <c r="BC18" s="45"/>
      <c r="BD18" s="241">
        <f>SUM('2.1'!I18:AC18)</f>
        <v>0</v>
      </c>
      <c r="BE18" s="242">
        <v>10</v>
      </c>
      <c r="BF18" s="243">
        <f t="array" ref="BF18">(SUM(($BF$8:$BZ$8&lt;BF$8)*($BE$9:$BE$28&lt;$BE18)*$I$9:$AC$28)+SUM(($BF$8:$BZ$8&gt;BF$8)*($BE$9:$BE$28&gt;$BE18)*$I$9:$AC$28)-(SUM(($BF$8:$BZ$8&gt;BF$8)*($BE$9:$BE$28&lt;$BE18)*$I$9:$AC$28)+SUM(($BF$8:$BZ$8&lt;BF$8)*($BE$9:$BE$28&gt;$BE18)*$I$9:$AC$28)))*(INDEX($I$9:$AC$28,$BE18,BF$8)&gt;0)</f>
        <v>0</v>
      </c>
      <c r="BG18" s="243">
        <f t="array" ref="BG18">(SUM(($BF$8:$BZ$8&lt;BG$8)*($BE$9:$BE$28&lt;$BE18)*$I$9:$AC$28)+SUM(($BF$8:$BZ$8&gt;BG$8)*($BE$9:$BE$28&gt;$BE18)*$I$9:$AC$28)-(SUM(($BF$8:$BZ$8&gt;BG$8)*($BE$9:$BE$28&lt;$BE18)*$I$9:$AC$28)+SUM(($BF$8:$BZ$8&lt;BG$8)*($BE$9:$BE$28&gt;$BE18)*$I$9:$AC$28)))*(INDEX($I$9:$AC$28,$BE18,BG$8)&gt;0)</f>
        <v>0</v>
      </c>
      <c r="BH18" s="243">
        <f t="array" ref="BH18">(SUM(($BF$8:$BZ$8&lt;BH$8)*($BE$9:$BE$28&lt;$BE18)*$I$9:$AC$28)+SUM(($BF$8:$BZ$8&gt;BH$8)*($BE$9:$BE$28&gt;$BE18)*$I$9:$AC$28)-(SUM(($BF$8:$BZ$8&gt;BH$8)*($BE$9:$BE$28&lt;$BE18)*$I$9:$AC$28)+SUM(($BF$8:$BZ$8&lt;BH$8)*($BE$9:$BE$28&gt;$BE18)*$I$9:$AC$28)))*(INDEX($I$9:$AC$28,$BE18,BH$8)&gt;0)</f>
        <v>0</v>
      </c>
      <c r="BI18" s="243">
        <f t="array" ref="BI18">(SUM(($BF$8:$BZ$8&lt;BI$8)*($BE$9:$BE$28&lt;$BE18)*$I$9:$AC$28)+SUM(($BF$8:$BZ$8&gt;BI$8)*($BE$9:$BE$28&gt;$BE18)*$I$9:$AC$28)-(SUM(($BF$8:$BZ$8&gt;BI$8)*($BE$9:$BE$28&lt;$BE18)*$I$9:$AC$28)+SUM(($BF$8:$BZ$8&lt;BI$8)*($BE$9:$BE$28&gt;$BE18)*$I$9:$AC$28)))*(INDEX($I$9:$AC$28,$BE18,BI$8)&gt;0)</f>
        <v>0</v>
      </c>
      <c r="BJ18" s="243">
        <f t="array" ref="BJ18">(SUM(($BF$8:$BZ$8&lt;BJ$8)*($BE$9:$BE$28&lt;$BE18)*$I$9:$AC$28)+SUM(($BF$8:$BZ$8&gt;BJ$8)*($BE$9:$BE$28&gt;$BE18)*$I$9:$AC$28)-(SUM(($BF$8:$BZ$8&gt;BJ$8)*($BE$9:$BE$28&lt;$BE18)*$I$9:$AC$28)+SUM(($BF$8:$BZ$8&lt;BJ$8)*($BE$9:$BE$28&gt;$BE18)*$I$9:$AC$28)))*(INDEX($I$9:$AC$28,$BE18,BJ$8)&gt;0)</f>
        <v>0</v>
      </c>
      <c r="BK18" s="243">
        <f t="array" ref="BK18">(SUM(($BF$8:$BZ$8&lt;BK$8)*($BE$9:$BE$28&lt;$BE18)*$I$9:$AC$28)+SUM(($BF$8:$BZ$8&gt;BK$8)*($BE$9:$BE$28&gt;$BE18)*$I$9:$AC$28)-(SUM(($BF$8:$BZ$8&gt;BK$8)*($BE$9:$BE$28&lt;$BE18)*$I$9:$AC$28)+SUM(($BF$8:$BZ$8&lt;BK$8)*($BE$9:$BE$28&gt;$BE18)*$I$9:$AC$28)))*(INDEX($I$9:$AC$28,$BE18,BK$8)&gt;0)</f>
        <v>0</v>
      </c>
      <c r="BL18" s="243">
        <f t="array" ref="BL18">(SUM(($BF$8:$BZ$8&lt;BL$8)*($BE$9:$BE$28&lt;$BE18)*$I$9:$AC$28)+SUM(($BF$8:$BZ$8&gt;BL$8)*($BE$9:$BE$28&gt;$BE18)*$I$9:$AC$28)-(SUM(($BF$8:$BZ$8&gt;BL$8)*($BE$9:$BE$28&lt;$BE18)*$I$9:$AC$28)+SUM(($BF$8:$BZ$8&lt;BL$8)*($BE$9:$BE$28&gt;$BE18)*$I$9:$AC$28)))*(INDEX($I$9:$AC$28,$BE18,BL$8)&gt;0)</f>
        <v>0</v>
      </c>
      <c r="BM18" s="243">
        <f t="array" ref="BM18">(SUM(($BF$8:$BZ$8&lt;BM$8)*($BE$9:$BE$28&lt;$BE18)*$I$9:$AC$28)+SUM(($BF$8:$BZ$8&gt;BM$8)*($BE$9:$BE$28&gt;$BE18)*$I$9:$AC$28)-(SUM(($BF$8:$BZ$8&gt;BM$8)*($BE$9:$BE$28&lt;$BE18)*$I$9:$AC$28)+SUM(($BF$8:$BZ$8&lt;BM$8)*($BE$9:$BE$28&gt;$BE18)*$I$9:$AC$28)))*(INDEX($I$9:$AC$28,$BE18,BM$8)&gt;0)</f>
        <v>0</v>
      </c>
      <c r="BN18" s="243">
        <f t="array" ref="BN18">(SUM(($BF$8:$BZ$8&lt;BN$8)*($BE$9:$BE$28&lt;$BE18)*$I$9:$AC$28)+SUM(($BF$8:$BZ$8&gt;BN$8)*($BE$9:$BE$28&gt;$BE18)*$I$9:$AC$28)-(SUM(($BF$8:$BZ$8&gt;BN$8)*($BE$9:$BE$28&lt;$BE18)*$I$9:$AC$28)+SUM(($BF$8:$BZ$8&lt;BN$8)*($BE$9:$BE$28&gt;$BE18)*$I$9:$AC$28)))*(INDEX($I$9:$AC$28,$BE18,BN$8)&gt;0)</f>
        <v>0</v>
      </c>
      <c r="BO18" s="243">
        <f t="array" ref="BO18">(SUM(($BF$8:$BZ$8&lt;BO$8)*($BE$9:$BE$28&lt;$BE18)*$I$9:$AC$28)+SUM(($BF$8:$BZ$8&gt;BO$8)*($BE$9:$BE$28&gt;$BE18)*$I$9:$AC$28)-(SUM(($BF$8:$BZ$8&gt;BO$8)*($BE$9:$BE$28&lt;$BE18)*$I$9:$AC$28)+SUM(($BF$8:$BZ$8&lt;BO$8)*($BE$9:$BE$28&gt;$BE18)*$I$9:$AC$28)))*(INDEX($I$9:$AC$28,$BE18,BO$8)&gt;0)</f>
        <v>0</v>
      </c>
      <c r="BP18" s="243">
        <f t="array" ref="BP18">(SUM(($BF$8:$BZ$8&lt;BP$8)*($BE$9:$BE$28&lt;$BE18)*$I$9:$AC$28)+SUM(($BF$8:$BZ$8&gt;BP$8)*($BE$9:$BE$28&gt;$BE18)*$I$9:$AC$28)-(SUM(($BF$8:$BZ$8&gt;BP$8)*($BE$9:$BE$28&lt;$BE18)*$I$9:$AC$28)+SUM(($BF$8:$BZ$8&lt;BP$8)*($BE$9:$BE$28&gt;$BE18)*$I$9:$AC$28)))*(INDEX($I$9:$AC$28,$BE18,BP$8)&gt;0)</f>
        <v>0</v>
      </c>
      <c r="BQ18" s="243">
        <f t="array" ref="BQ18">(SUM(($BF$8:$BZ$8&lt;BQ$8)*($BE$9:$BE$28&lt;$BE18)*$I$9:$AC$28)+SUM(($BF$8:$BZ$8&gt;BQ$8)*($BE$9:$BE$28&gt;$BE18)*$I$9:$AC$28)-(SUM(($BF$8:$BZ$8&gt;BQ$8)*($BE$9:$BE$28&lt;$BE18)*$I$9:$AC$28)+SUM(($BF$8:$BZ$8&lt;BQ$8)*($BE$9:$BE$28&gt;$BE18)*$I$9:$AC$28)))*(INDEX($I$9:$AC$28,$BE18,BQ$8)&gt;0)</f>
        <v>0</v>
      </c>
      <c r="BR18" s="243">
        <f t="array" ref="BR18">(SUM(($BF$8:$BZ$8&lt;BR$8)*($BE$9:$BE$28&lt;$BE18)*$I$9:$AC$28)+SUM(($BF$8:$BZ$8&gt;BR$8)*($BE$9:$BE$28&gt;$BE18)*$I$9:$AC$28)-(SUM(($BF$8:$BZ$8&gt;BR$8)*($BE$9:$BE$28&lt;$BE18)*$I$9:$AC$28)+SUM(($BF$8:$BZ$8&lt;BR$8)*($BE$9:$BE$28&gt;$BE18)*$I$9:$AC$28)))*(INDEX($I$9:$AC$28,$BE18,BR$8)&gt;0)</f>
        <v>0</v>
      </c>
      <c r="BS18" s="243">
        <f t="array" ref="BS18">(SUM(($BF$8:$BZ$8&lt;BS$8)*($BE$9:$BE$28&lt;$BE18)*$I$9:$AC$28)+SUM(($BF$8:$BZ$8&gt;BS$8)*($BE$9:$BE$28&gt;$BE18)*$I$9:$AC$28)-(SUM(($BF$8:$BZ$8&gt;BS$8)*($BE$9:$BE$28&lt;$BE18)*$I$9:$AC$28)+SUM(($BF$8:$BZ$8&lt;BS$8)*($BE$9:$BE$28&gt;$BE18)*$I$9:$AC$28)))*(INDEX($I$9:$AC$28,$BE18,BS$8)&gt;0)</f>
        <v>0</v>
      </c>
      <c r="BT18" s="243">
        <f t="array" ref="BT18">(SUM(($BF$8:$BZ$8&lt;BT$8)*($BE$9:$BE$28&lt;$BE18)*$I$9:$AC$28)+SUM(($BF$8:$BZ$8&gt;BT$8)*($BE$9:$BE$28&gt;$BE18)*$I$9:$AC$28)-(SUM(($BF$8:$BZ$8&gt;BT$8)*($BE$9:$BE$28&lt;$BE18)*$I$9:$AC$28)+SUM(($BF$8:$BZ$8&lt;BT$8)*($BE$9:$BE$28&gt;$BE18)*$I$9:$AC$28)))*(INDEX($I$9:$AC$28,$BE18,BT$8)&gt;0)</f>
        <v>0</v>
      </c>
      <c r="BU18" s="243">
        <f t="array" ref="BU18">(SUM(($BF$8:$BZ$8&lt;BU$8)*($BE$9:$BE$28&lt;$BE18)*$I$9:$AC$28)+SUM(($BF$8:$BZ$8&gt;BU$8)*($BE$9:$BE$28&gt;$BE18)*$I$9:$AC$28)-(SUM(($BF$8:$BZ$8&gt;BU$8)*($BE$9:$BE$28&lt;$BE18)*$I$9:$AC$28)+SUM(($BF$8:$BZ$8&lt;BU$8)*($BE$9:$BE$28&gt;$BE18)*$I$9:$AC$28)))*(INDEX($I$9:$AC$28,$BE18,BU$8)&gt;0)</f>
        <v>0</v>
      </c>
      <c r="BV18" s="243">
        <f t="array" ref="BV18">(SUM(($BF$8:$BZ$8&lt;BV$8)*($BE$9:$BE$28&lt;$BE18)*$I$9:$AC$28)+SUM(($BF$8:$BZ$8&gt;BV$8)*($BE$9:$BE$28&gt;$BE18)*$I$9:$AC$28)-(SUM(($BF$8:$BZ$8&gt;BV$8)*($BE$9:$BE$28&lt;$BE18)*$I$9:$AC$28)+SUM(($BF$8:$BZ$8&lt;BV$8)*($BE$9:$BE$28&gt;$BE18)*$I$9:$AC$28)))*(INDEX($I$9:$AC$28,$BE18,BV$8)&gt;0)</f>
        <v>0</v>
      </c>
      <c r="BW18" s="243">
        <f t="array" ref="BW18">(SUM(($BF$8:$BZ$8&lt;BW$8)*($BE$9:$BE$28&lt;$BE18)*$I$9:$AC$28)+SUM(($BF$8:$BZ$8&gt;BW$8)*($BE$9:$BE$28&gt;$BE18)*$I$9:$AC$28)-(SUM(($BF$8:$BZ$8&gt;BW$8)*($BE$9:$BE$28&lt;$BE18)*$I$9:$AC$28)+SUM(($BF$8:$BZ$8&lt;BW$8)*($BE$9:$BE$28&gt;$BE18)*$I$9:$AC$28)))*(INDEX($I$9:$AC$28,$BE18,BW$8)&gt;0)</f>
        <v>0</v>
      </c>
      <c r="BX18" s="243">
        <f t="array" ref="BX18">(SUM(($BF$8:$BZ$8&lt;BX$8)*($BE$9:$BE$28&lt;$BE18)*$I$9:$AC$28)+SUM(($BF$8:$BZ$8&gt;BX$8)*($BE$9:$BE$28&gt;$BE18)*$I$9:$AC$28)-(SUM(($BF$8:$BZ$8&gt;BX$8)*($BE$9:$BE$28&lt;$BE18)*$I$9:$AC$28)+SUM(($BF$8:$BZ$8&lt;BX$8)*($BE$9:$BE$28&gt;$BE18)*$I$9:$AC$28)))*(INDEX($I$9:$AC$28,$BE18,BX$8)&gt;0)</f>
        <v>0</v>
      </c>
      <c r="BY18" s="243">
        <f t="array" ref="BY18">(SUM(($BF$8:$BZ$8&lt;BY$8)*($BE$9:$BE$28&lt;$BE18)*$I$9:$AC$28)+SUM(($BF$8:$BZ$8&gt;BY$8)*($BE$9:$BE$28&gt;$BE18)*$I$9:$AC$28)-(SUM(($BF$8:$BZ$8&gt;BY$8)*($BE$9:$BE$28&lt;$BE18)*$I$9:$AC$28)+SUM(($BF$8:$BZ$8&lt;BY$8)*($BE$9:$BE$28&gt;$BE18)*$I$9:$AC$28)))*(INDEX($I$9:$AC$28,$BE18,BY$8)&gt;0)</f>
        <v>0</v>
      </c>
      <c r="BZ18" s="244">
        <f t="array" ref="BZ18">(SUM(($BF$8:$BZ$8&lt;BZ$8)*($BE$9:$BE$28&lt;$BE18)*$I$9:$AC$28)+SUM(($BF$8:$BZ$8&gt;BZ$8)*($BE$9:$BE$28&gt;$BE18)*$I$9:$AC$28)-(SUM(($BF$8:$BZ$8&gt;BZ$8)*($BE$9:$BE$28&lt;$BE18)*$I$9:$AC$28)+SUM(($BF$8:$BZ$8&lt;BZ$8)*($BE$9:$BE$28&gt;$BE18)*$I$9:$AC$28)))*(INDEX($I$9:$AC$28,$BE18,BZ$8)&gt;0)</f>
        <v>0</v>
      </c>
      <c r="CA18" s="45"/>
      <c r="CE18" s="4">
        <v>0</v>
      </c>
      <c r="CF18" s="4">
        <v>0</v>
      </c>
      <c r="CG18" s="4" t="b">
        <v>0</v>
      </c>
      <c r="CH18" s="4">
        <v>0</v>
      </c>
    </row>
    <row r="19" spans="1:86" x14ac:dyDescent="0.35">
      <c r="A19" s="45"/>
      <c r="B19" s="119" t="s">
        <v>23</v>
      </c>
      <c r="C19" s="424" t="s">
        <v>244</v>
      </c>
      <c r="D19" s="95"/>
      <c r="E19" s="96"/>
      <c r="F19" s="270"/>
      <c r="G19" s="266"/>
      <c r="H19" s="267"/>
      <c r="I19" s="99"/>
      <c r="J19" s="96"/>
      <c r="K19" s="96"/>
      <c r="L19" s="96"/>
      <c r="M19" s="96"/>
      <c r="N19" s="96"/>
      <c r="O19" s="96"/>
      <c r="P19" s="96"/>
      <c r="Q19" s="96"/>
      <c r="R19" s="96"/>
      <c r="S19" s="96"/>
      <c r="T19" s="96"/>
      <c r="U19" s="96"/>
      <c r="V19" s="96"/>
      <c r="W19" s="96"/>
      <c r="X19" s="96"/>
      <c r="Y19" s="96"/>
      <c r="Z19" s="96"/>
      <c r="AA19" s="96"/>
      <c r="AB19" s="96"/>
      <c r="AC19" s="100"/>
      <c r="AD19" s="268"/>
      <c r="AE19" s="266"/>
      <c r="AF19" s="267"/>
      <c r="AG19" s="45"/>
      <c r="AH19" s="259" t="str">
        <f>IF(AND(COUNTA(D19:AF19)=0,D20=""),"",IF(AND('2.1'!E19=0,COUNTA(H19:AF19)&gt;0),"NOT OK",IF(AND(COUNTA(D19:AF19)=0,D20&lt;&gt;""),"NOT OK",IF(OR(AJ19="NOT OK",AK19="NOT OK",AL19="NOT OK",AT19="NOT OK"),"NOT OK",IF(OR(AO19="WARNING",AR19="WARNING"),"WARNING","OK")))))</f>
        <v/>
      </c>
      <c r="AI19" s="276" t="str">
        <f>IF(AND(COUNTA(D19:AF19)=0,'2.1'!D20=""),"",IF(AND(E19=0,COUNTA(H19:AF19)&gt;0),"As number of facilities is zero, please leave columns H to AF empty.",IF(AND(COUNTA(D19:AF19)=0,D20&lt;&gt;""),"Empty lines between grades not allowed.",IF(AND(D19&lt;&gt;"",OR(E19="",G19="")),"Information is missing for this facility grade/pool. Please report number of facilities and average LGD estimate.",IF(AJ19="NOT OK","Row incomplete. Check if zeros values are missing in the row.",IF(AK19="NOT OK","The number of facilities in buckets does not sum up to the total number.",IF(AL19="NOT OK","Please order the pools in ascending order of the weighted average of estimated LGD.",IF(AT19="NOT OK","The p-value of t-Test differs from ECB calculation.",IF(AO19="WARNING","The average LGD^R seems implausible with the given LGD realisation.",IF(AR19="WARNING","The variance of the LGD seems implausible with the given realisation.",""))))))))))</f>
        <v/>
      </c>
      <c r="AJ19" s="262" t="str">
        <f>IF(AND(COUNTA(D19:AF19)=0,'2.1'!D20=""),"",IF(AND(D19&lt;&gt;"",OR(E19="",G19="")),"NOT OK",IF(AND(D19&lt;&gt;"",E19&lt;&gt;"",E19=0,G19&lt;&gt;""),"OK",IF(COUNTA(D19:AF19)=COUNTA($D$9:$D$28)+7+1,"OK",IF(AND(E19=1,COUNTA(D19:AF19)=COUNTA($D$9:$D$28)+4+1),"OK","NOT OK")))))</f>
        <v/>
      </c>
      <c r="AK19" s="262" t="str">
        <f>IF(OR(AND(D19&lt;&gt;"",'2.1'!E19 =0),COUNTA(D19:AF19)=0),"",IF(E19=SUM(I19:AC19),"OK","NOT OK"))</f>
        <v/>
      </c>
      <c r="AL19" s="507" t="str">
        <f>IF('2.1'!G19="","",IF(G19&lt;G18,"NOT OK", "OK"))</f>
        <v/>
      </c>
      <c r="AM19" s="516" t="str">
        <f t="array" ref="AM19">IFERROR(SUM(I19:AC19*TRANSPOSE($AU$8:$AU$28))/SUM(I19:AC19),"")</f>
        <v/>
      </c>
      <c r="AN19" s="271" t="str">
        <f t="array" ref="AN19">IFERROR(SUM(I19:AC19*TRANSPOSE($AV$8:$AV$28))/SUM(I19:AC19),"")</f>
        <v/>
      </c>
      <c r="AO19" s="275" t="str">
        <f>IF(OR(AND(D19&lt;&gt;"",'2.1'!E19 =0),COUNTA(D19:AF19)=0),"",IFERROR(IF(AND(H19&gt;=AM19,H19&lt;=AN19),"OK","WARNING"),""))</f>
        <v/>
      </c>
      <c r="AP19" s="516" t="str">
        <f>IF(COUNTA(H19:AF19)=0,"",IFERROR('2.1'!BG48,""))</f>
        <v/>
      </c>
      <c r="AQ19" s="271" t="str">
        <f>IF(COUNTA(H19:AF19)=0,"",IFERROR('2.1'!BF48,""))</f>
        <v/>
      </c>
      <c r="AR19" s="275" t="str">
        <f>IF(OR(AND(D19&lt;&gt;"",E19 =0),COUNTA(D19:AF19)=0),"",IFERROR(IF(AND('2.1'!AD19&gt;=AP19,AD19&lt;=AQ19),"OK","WARNING"),""))</f>
        <v/>
      </c>
      <c r="AS19" s="510" t="str">
        <f>IFERROR(IF(COUNTA(D19:AF19)=0,"",1-_xlfn.T.DIST(SQRT(E19)*(H19-G19)/SQRT('2.1'!AD19),E19-1,TRUE)),"")</f>
        <v/>
      </c>
      <c r="AT19" s="275" t="str">
        <f>IFERROR(IF(COUNTA(D19:AF19)=0,"",IF(ABS(AF19-'2.1'!AS19)&gt;0.00001,"NOT OK","OK")),"")</f>
        <v/>
      </c>
      <c r="AU19" s="220">
        <f>'2.1'!G19</f>
        <v>0</v>
      </c>
      <c r="AV19" s="218">
        <f>IF('2.1'!G20&lt;&gt;"",G20,IF(G19=0,0,3))</f>
        <v>0</v>
      </c>
      <c r="AW19" s="221">
        <f>IFERROR('2.1'!AV19/2+AU19/2,"")</f>
        <v>0</v>
      </c>
      <c r="AX19" s="45"/>
      <c r="AY19" s="45"/>
      <c r="AZ19" s="45"/>
      <c r="BA19" s="45"/>
      <c r="BB19" s="45"/>
      <c r="BC19" s="45"/>
      <c r="BD19" s="241">
        <f>SUM('2.1'!I19:AC19)</f>
        <v>0</v>
      </c>
      <c r="BE19" s="242">
        <v>11</v>
      </c>
      <c r="BF19" s="243">
        <f t="array" ref="BF19">(SUM(($BF$8:$BZ$8&lt;BF$8)*($BE$9:$BE$28&lt;$BE19)*$I$9:$AC$28)+SUM(($BF$8:$BZ$8&gt;BF$8)*($BE$9:$BE$28&gt;$BE19)*$I$9:$AC$28)-(SUM(($BF$8:$BZ$8&gt;BF$8)*($BE$9:$BE$28&lt;$BE19)*$I$9:$AC$28)+SUM(($BF$8:$BZ$8&lt;BF$8)*($BE$9:$BE$28&gt;$BE19)*$I$9:$AC$28)))*(INDEX($I$9:$AC$28,$BE19,BF$8)&gt;0)</f>
        <v>0</v>
      </c>
      <c r="BG19" s="243">
        <f t="array" ref="BG19">(SUM(($BF$8:$BZ$8&lt;BG$8)*($BE$9:$BE$28&lt;$BE19)*$I$9:$AC$28)+SUM(($BF$8:$BZ$8&gt;BG$8)*($BE$9:$BE$28&gt;$BE19)*$I$9:$AC$28)-(SUM(($BF$8:$BZ$8&gt;BG$8)*($BE$9:$BE$28&lt;$BE19)*$I$9:$AC$28)+SUM(($BF$8:$BZ$8&lt;BG$8)*($BE$9:$BE$28&gt;$BE19)*$I$9:$AC$28)))*(INDEX($I$9:$AC$28,$BE19,BG$8)&gt;0)</f>
        <v>0</v>
      </c>
      <c r="BH19" s="243">
        <f t="array" ref="BH19">(SUM(($BF$8:$BZ$8&lt;BH$8)*($BE$9:$BE$28&lt;$BE19)*$I$9:$AC$28)+SUM(($BF$8:$BZ$8&gt;BH$8)*($BE$9:$BE$28&gt;$BE19)*$I$9:$AC$28)-(SUM(($BF$8:$BZ$8&gt;BH$8)*($BE$9:$BE$28&lt;$BE19)*$I$9:$AC$28)+SUM(($BF$8:$BZ$8&lt;BH$8)*($BE$9:$BE$28&gt;$BE19)*$I$9:$AC$28)))*(INDEX($I$9:$AC$28,$BE19,BH$8)&gt;0)</f>
        <v>0</v>
      </c>
      <c r="BI19" s="243">
        <f t="array" ref="BI19">(SUM(($BF$8:$BZ$8&lt;BI$8)*($BE$9:$BE$28&lt;$BE19)*$I$9:$AC$28)+SUM(($BF$8:$BZ$8&gt;BI$8)*($BE$9:$BE$28&gt;$BE19)*$I$9:$AC$28)-(SUM(($BF$8:$BZ$8&gt;BI$8)*($BE$9:$BE$28&lt;$BE19)*$I$9:$AC$28)+SUM(($BF$8:$BZ$8&lt;BI$8)*($BE$9:$BE$28&gt;$BE19)*$I$9:$AC$28)))*(INDEX($I$9:$AC$28,$BE19,BI$8)&gt;0)</f>
        <v>0</v>
      </c>
      <c r="BJ19" s="243">
        <f t="array" ref="BJ19">(SUM(($BF$8:$BZ$8&lt;BJ$8)*($BE$9:$BE$28&lt;$BE19)*$I$9:$AC$28)+SUM(($BF$8:$BZ$8&gt;BJ$8)*($BE$9:$BE$28&gt;$BE19)*$I$9:$AC$28)-(SUM(($BF$8:$BZ$8&gt;BJ$8)*($BE$9:$BE$28&lt;$BE19)*$I$9:$AC$28)+SUM(($BF$8:$BZ$8&lt;BJ$8)*($BE$9:$BE$28&gt;$BE19)*$I$9:$AC$28)))*(INDEX($I$9:$AC$28,$BE19,BJ$8)&gt;0)</f>
        <v>0</v>
      </c>
      <c r="BK19" s="243">
        <f t="array" ref="BK19">(SUM(($BF$8:$BZ$8&lt;BK$8)*($BE$9:$BE$28&lt;$BE19)*$I$9:$AC$28)+SUM(($BF$8:$BZ$8&gt;BK$8)*($BE$9:$BE$28&gt;$BE19)*$I$9:$AC$28)-(SUM(($BF$8:$BZ$8&gt;BK$8)*($BE$9:$BE$28&lt;$BE19)*$I$9:$AC$28)+SUM(($BF$8:$BZ$8&lt;BK$8)*($BE$9:$BE$28&gt;$BE19)*$I$9:$AC$28)))*(INDEX($I$9:$AC$28,$BE19,BK$8)&gt;0)</f>
        <v>0</v>
      </c>
      <c r="BL19" s="243">
        <f t="array" ref="BL19">(SUM(($BF$8:$BZ$8&lt;BL$8)*($BE$9:$BE$28&lt;$BE19)*$I$9:$AC$28)+SUM(($BF$8:$BZ$8&gt;BL$8)*($BE$9:$BE$28&gt;$BE19)*$I$9:$AC$28)-(SUM(($BF$8:$BZ$8&gt;BL$8)*($BE$9:$BE$28&lt;$BE19)*$I$9:$AC$28)+SUM(($BF$8:$BZ$8&lt;BL$8)*($BE$9:$BE$28&gt;$BE19)*$I$9:$AC$28)))*(INDEX($I$9:$AC$28,$BE19,BL$8)&gt;0)</f>
        <v>0</v>
      </c>
      <c r="BM19" s="243">
        <f t="array" ref="BM19">(SUM(($BF$8:$BZ$8&lt;BM$8)*($BE$9:$BE$28&lt;$BE19)*$I$9:$AC$28)+SUM(($BF$8:$BZ$8&gt;BM$8)*($BE$9:$BE$28&gt;$BE19)*$I$9:$AC$28)-(SUM(($BF$8:$BZ$8&gt;BM$8)*($BE$9:$BE$28&lt;$BE19)*$I$9:$AC$28)+SUM(($BF$8:$BZ$8&lt;BM$8)*($BE$9:$BE$28&gt;$BE19)*$I$9:$AC$28)))*(INDEX($I$9:$AC$28,$BE19,BM$8)&gt;0)</f>
        <v>0</v>
      </c>
      <c r="BN19" s="243">
        <f t="array" ref="BN19">(SUM(($BF$8:$BZ$8&lt;BN$8)*($BE$9:$BE$28&lt;$BE19)*$I$9:$AC$28)+SUM(($BF$8:$BZ$8&gt;BN$8)*($BE$9:$BE$28&gt;$BE19)*$I$9:$AC$28)-(SUM(($BF$8:$BZ$8&gt;BN$8)*($BE$9:$BE$28&lt;$BE19)*$I$9:$AC$28)+SUM(($BF$8:$BZ$8&lt;BN$8)*($BE$9:$BE$28&gt;$BE19)*$I$9:$AC$28)))*(INDEX($I$9:$AC$28,$BE19,BN$8)&gt;0)</f>
        <v>0</v>
      </c>
      <c r="BO19" s="243">
        <f t="array" ref="BO19">(SUM(($BF$8:$BZ$8&lt;BO$8)*($BE$9:$BE$28&lt;$BE19)*$I$9:$AC$28)+SUM(($BF$8:$BZ$8&gt;BO$8)*($BE$9:$BE$28&gt;$BE19)*$I$9:$AC$28)-(SUM(($BF$8:$BZ$8&gt;BO$8)*($BE$9:$BE$28&lt;$BE19)*$I$9:$AC$28)+SUM(($BF$8:$BZ$8&lt;BO$8)*($BE$9:$BE$28&gt;$BE19)*$I$9:$AC$28)))*(INDEX($I$9:$AC$28,$BE19,BO$8)&gt;0)</f>
        <v>0</v>
      </c>
      <c r="BP19" s="243">
        <f t="array" ref="BP19">(SUM(($BF$8:$BZ$8&lt;BP$8)*($BE$9:$BE$28&lt;$BE19)*$I$9:$AC$28)+SUM(($BF$8:$BZ$8&gt;BP$8)*($BE$9:$BE$28&gt;$BE19)*$I$9:$AC$28)-(SUM(($BF$8:$BZ$8&gt;BP$8)*($BE$9:$BE$28&lt;$BE19)*$I$9:$AC$28)+SUM(($BF$8:$BZ$8&lt;BP$8)*($BE$9:$BE$28&gt;$BE19)*$I$9:$AC$28)))*(INDEX($I$9:$AC$28,$BE19,BP$8)&gt;0)</f>
        <v>0</v>
      </c>
      <c r="BQ19" s="243">
        <f t="array" ref="BQ19">(SUM(($BF$8:$BZ$8&lt;BQ$8)*($BE$9:$BE$28&lt;$BE19)*$I$9:$AC$28)+SUM(($BF$8:$BZ$8&gt;BQ$8)*($BE$9:$BE$28&gt;$BE19)*$I$9:$AC$28)-(SUM(($BF$8:$BZ$8&gt;BQ$8)*($BE$9:$BE$28&lt;$BE19)*$I$9:$AC$28)+SUM(($BF$8:$BZ$8&lt;BQ$8)*($BE$9:$BE$28&gt;$BE19)*$I$9:$AC$28)))*(INDEX($I$9:$AC$28,$BE19,BQ$8)&gt;0)</f>
        <v>0</v>
      </c>
      <c r="BR19" s="243">
        <f t="array" ref="BR19">(SUM(($BF$8:$BZ$8&lt;BR$8)*($BE$9:$BE$28&lt;$BE19)*$I$9:$AC$28)+SUM(($BF$8:$BZ$8&gt;BR$8)*($BE$9:$BE$28&gt;$BE19)*$I$9:$AC$28)-(SUM(($BF$8:$BZ$8&gt;BR$8)*($BE$9:$BE$28&lt;$BE19)*$I$9:$AC$28)+SUM(($BF$8:$BZ$8&lt;BR$8)*($BE$9:$BE$28&gt;$BE19)*$I$9:$AC$28)))*(INDEX($I$9:$AC$28,$BE19,BR$8)&gt;0)</f>
        <v>0</v>
      </c>
      <c r="BS19" s="243">
        <f t="array" ref="BS19">(SUM(($BF$8:$BZ$8&lt;BS$8)*($BE$9:$BE$28&lt;$BE19)*$I$9:$AC$28)+SUM(($BF$8:$BZ$8&gt;BS$8)*($BE$9:$BE$28&gt;$BE19)*$I$9:$AC$28)-(SUM(($BF$8:$BZ$8&gt;BS$8)*($BE$9:$BE$28&lt;$BE19)*$I$9:$AC$28)+SUM(($BF$8:$BZ$8&lt;BS$8)*($BE$9:$BE$28&gt;$BE19)*$I$9:$AC$28)))*(INDEX($I$9:$AC$28,$BE19,BS$8)&gt;0)</f>
        <v>0</v>
      </c>
      <c r="BT19" s="243">
        <f t="array" ref="BT19">(SUM(($BF$8:$BZ$8&lt;BT$8)*($BE$9:$BE$28&lt;$BE19)*$I$9:$AC$28)+SUM(($BF$8:$BZ$8&gt;BT$8)*($BE$9:$BE$28&gt;$BE19)*$I$9:$AC$28)-(SUM(($BF$8:$BZ$8&gt;BT$8)*($BE$9:$BE$28&lt;$BE19)*$I$9:$AC$28)+SUM(($BF$8:$BZ$8&lt;BT$8)*($BE$9:$BE$28&gt;$BE19)*$I$9:$AC$28)))*(INDEX($I$9:$AC$28,$BE19,BT$8)&gt;0)</f>
        <v>0</v>
      </c>
      <c r="BU19" s="243">
        <f t="array" ref="BU19">(SUM(($BF$8:$BZ$8&lt;BU$8)*($BE$9:$BE$28&lt;$BE19)*$I$9:$AC$28)+SUM(($BF$8:$BZ$8&gt;BU$8)*($BE$9:$BE$28&gt;$BE19)*$I$9:$AC$28)-(SUM(($BF$8:$BZ$8&gt;BU$8)*($BE$9:$BE$28&lt;$BE19)*$I$9:$AC$28)+SUM(($BF$8:$BZ$8&lt;BU$8)*($BE$9:$BE$28&gt;$BE19)*$I$9:$AC$28)))*(INDEX($I$9:$AC$28,$BE19,BU$8)&gt;0)</f>
        <v>0</v>
      </c>
      <c r="BV19" s="243">
        <f t="array" ref="BV19">(SUM(($BF$8:$BZ$8&lt;BV$8)*($BE$9:$BE$28&lt;$BE19)*$I$9:$AC$28)+SUM(($BF$8:$BZ$8&gt;BV$8)*($BE$9:$BE$28&gt;$BE19)*$I$9:$AC$28)-(SUM(($BF$8:$BZ$8&gt;BV$8)*($BE$9:$BE$28&lt;$BE19)*$I$9:$AC$28)+SUM(($BF$8:$BZ$8&lt;BV$8)*($BE$9:$BE$28&gt;$BE19)*$I$9:$AC$28)))*(INDEX($I$9:$AC$28,$BE19,BV$8)&gt;0)</f>
        <v>0</v>
      </c>
      <c r="BW19" s="243">
        <f t="array" ref="BW19">(SUM(($BF$8:$BZ$8&lt;BW$8)*($BE$9:$BE$28&lt;$BE19)*$I$9:$AC$28)+SUM(($BF$8:$BZ$8&gt;BW$8)*($BE$9:$BE$28&gt;$BE19)*$I$9:$AC$28)-(SUM(($BF$8:$BZ$8&gt;BW$8)*($BE$9:$BE$28&lt;$BE19)*$I$9:$AC$28)+SUM(($BF$8:$BZ$8&lt;BW$8)*($BE$9:$BE$28&gt;$BE19)*$I$9:$AC$28)))*(INDEX($I$9:$AC$28,$BE19,BW$8)&gt;0)</f>
        <v>0</v>
      </c>
      <c r="BX19" s="243">
        <f t="array" ref="BX19">(SUM(($BF$8:$BZ$8&lt;BX$8)*($BE$9:$BE$28&lt;$BE19)*$I$9:$AC$28)+SUM(($BF$8:$BZ$8&gt;BX$8)*($BE$9:$BE$28&gt;$BE19)*$I$9:$AC$28)-(SUM(($BF$8:$BZ$8&gt;BX$8)*($BE$9:$BE$28&lt;$BE19)*$I$9:$AC$28)+SUM(($BF$8:$BZ$8&lt;BX$8)*($BE$9:$BE$28&gt;$BE19)*$I$9:$AC$28)))*(INDEX($I$9:$AC$28,$BE19,BX$8)&gt;0)</f>
        <v>0</v>
      </c>
      <c r="BY19" s="243">
        <f t="array" ref="BY19">(SUM(($BF$8:$BZ$8&lt;BY$8)*($BE$9:$BE$28&lt;$BE19)*$I$9:$AC$28)+SUM(($BF$8:$BZ$8&gt;BY$8)*($BE$9:$BE$28&gt;$BE19)*$I$9:$AC$28)-(SUM(($BF$8:$BZ$8&gt;BY$8)*($BE$9:$BE$28&lt;$BE19)*$I$9:$AC$28)+SUM(($BF$8:$BZ$8&lt;BY$8)*($BE$9:$BE$28&gt;$BE19)*$I$9:$AC$28)))*(INDEX($I$9:$AC$28,$BE19,BY$8)&gt;0)</f>
        <v>0</v>
      </c>
      <c r="BZ19" s="244">
        <f t="array" ref="BZ19">(SUM(($BF$8:$BZ$8&lt;BZ$8)*($BE$9:$BE$28&lt;$BE19)*$I$9:$AC$28)+SUM(($BF$8:$BZ$8&gt;BZ$8)*($BE$9:$BE$28&gt;$BE19)*$I$9:$AC$28)-(SUM(($BF$8:$BZ$8&gt;BZ$8)*($BE$9:$BE$28&lt;$BE19)*$I$9:$AC$28)+SUM(($BF$8:$BZ$8&lt;BZ$8)*($BE$9:$BE$28&gt;$BE19)*$I$9:$AC$28)))*(INDEX($I$9:$AC$28,$BE19,BZ$8)&gt;0)</f>
        <v>0</v>
      </c>
      <c r="CA19" s="45"/>
      <c r="CE19" s="4">
        <v>0</v>
      </c>
      <c r="CF19" s="4">
        <v>0</v>
      </c>
      <c r="CG19" s="4" t="b">
        <v>0</v>
      </c>
      <c r="CH19" s="4">
        <v>0</v>
      </c>
    </row>
    <row r="20" spans="1:86" x14ac:dyDescent="0.35">
      <c r="A20" s="45"/>
      <c r="B20" s="119" t="s">
        <v>26</v>
      </c>
      <c r="C20" s="424" t="s">
        <v>245</v>
      </c>
      <c r="D20" s="95"/>
      <c r="E20" s="96"/>
      <c r="F20" s="270"/>
      <c r="G20" s="266"/>
      <c r="H20" s="267"/>
      <c r="I20" s="99"/>
      <c r="J20" s="96"/>
      <c r="K20" s="96"/>
      <c r="L20" s="96"/>
      <c r="M20" s="96"/>
      <c r="N20" s="96"/>
      <c r="O20" s="96"/>
      <c r="P20" s="96"/>
      <c r="Q20" s="96"/>
      <c r="R20" s="96"/>
      <c r="S20" s="96"/>
      <c r="T20" s="96"/>
      <c r="U20" s="96"/>
      <c r="V20" s="96"/>
      <c r="W20" s="96"/>
      <c r="X20" s="96"/>
      <c r="Y20" s="96"/>
      <c r="Z20" s="96"/>
      <c r="AA20" s="96"/>
      <c r="AB20" s="96"/>
      <c r="AC20" s="100"/>
      <c r="AD20" s="268"/>
      <c r="AE20" s="266"/>
      <c r="AF20" s="267"/>
      <c r="AG20" s="45"/>
      <c r="AH20" s="259" t="str">
        <f>IF(AND(COUNTA(D20:AF20)=0,D21=""),"",IF(AND('2.1'!E20=0,COUNTA(H20:AF20)&gt;0),"NOT OK",IF(AND(COUNTA(D20:AF20)=0,D21&lt;&gt;""),"NOT OK",IF(OR(AJ20="NOT OK",AK20="NOT OK",AL20="NOT OK",AT20="NOT OK"),"NOT OK",IF(OR(AO20="WARNING",AR20="WARNING"),"WARNING","OK")))))</f>
        <v/>
      </c>
      <c r="AI20" s="276" t="str">
        <f>IF(AND(COUNTA(D20:AF20)=0,'2.1'!D21=""),"",IF(AND(E20=0,COUNTA(H20:AF20)&gt;0),"As number of facilities is zero, please leave columns H to AF empty.",IF(AND(COUNTA(D20:AF20)=0,D21&lt;&gt;""),"Empty lines between grades not allowed.",IF(AND(D20&lt;&gt;"",OR(E20="",G20="")),"Information is missing for this facility grade/pool. Please report number of facilities and average LGD estimate.",IF(AJ20="NOT OK","Row incomplete. Check if zeros values are missing in the row.",IF(AK20="NOT OK","The number of facilities in buckets does not sum up to the total number.",IF(AL20="NOT OK","Please order the pools in ascending order of the weighted average of estimated LGD.",IF(AT20="NOT OK","The p-value of t-Test differs from ECB calculation.",IF(AO20="WARNING","The average LGD^R seems implausible with the given LGD realisation.",IF(AR20="WARNING","The variance of the LGD seems implausible with the given realisation.",""))))))))))</f>
        <v/>
      </c>
      <c r="AJ20" s="262" t="str">
        <f>IF(AND(COUNTA(D20:AF20)=0,'2.1'!D21=""),"",IF(AND(D20&lt;&gt;"",OR(E20="",G20="")),"NOT OK",IF(AND(D20&lt;&gt;"",E20&lt;&gt;"",E20=0,G20&lt;&gt;""),"OK",IF(COUNTA(D20:AF20)=COUNTA($D$9:$D$28)+7+1,"OK",IF(AND(E20=1,COUNTA(D20:AF20)=COUNTA($D$9:$D$28)+4+1),"OK","NOT OK")))))</f>
        <v/>
      </c>
      <c r="AK20" s="262" t="str">
        <f>IF(OR(AND(D20&lt;&gt;"",'2.1'!E20 =0),COUNTA(D20:AF20)=0),"",IF(E20=SUM(I20:AC20),"OK","NOT OK"))</f>
        <v/>
      </c>
      <c r="AL20" s="507" t="str">
        <f>IF('2.1'!G20="","",IF(G20&lt;G19,"NOT OK", "OK"))</f>
        <v/>
      </c>
      <c r="AM20" s="516" t="str">
        <f t="array" ref="AM20">IFERROR(SUM(I20:AC20*TRANSPOSE($AU$8:$AU$28))/SUM(I20:AC20),"")</f>
        <v/>
      </c>
      <c r="AN20" s="271" t="str">
        <f t="array" ref="AN20">IFERROR(SUM(I20:AC20*TRANSPOSE($AV$8:$AV$28))/SUM(I20:AC20),"")</f>
        <v/>
      </c>
      <c r="AO20" s="275" t="str">
        <f>IF(OR(AND(D20&lt;&gt;"",'2.1'!E20 =0),COUNTA(D20:AF20)=0),"",IFERROR(IF(AND(H20&gt;=AM20,H20&lt;=AN20),"OK","WARNING"),""))</f>
        <v/>
      </c>
      <c r="AP20" s="516" t="str">
        <f>IF(COUNTA(H20:AF20)=0,"",IFERROR('2.1'!BG49,""))</f>
        <v/>
      </c>
      <c r="AQ20" s="271" t="str">
        <f>IF(COUNTA(H20:AF20)=0,"",IFERROR('2.1'!BF49,""))</f>
        <v/>
      </c>
      <c r="AR20" s="275" t="str">
        <f>IF(OR(AND(D20&lt;&gt;"",E20 =0),COUNTA(D20:AF20)=0),"",IFERROR(IF(AND('2.1'!AD20&gt;=AP20,AD20&lt;=AQ20),"OK","WARNING"),""))</f>
        <v/>
      </c>
      <c r="AS20" s="510" t="str">
        <f>IFERROR(IF(COUNTA(D20:AF20)=0,"",1-_xlfn.T.DIST(SQRT(E20)*(H20-G20)/SQRT('2.1'!AD20),E20-1,TRUE)),"")</f>
        <v/>
      </c>
      <c r="AT20" s="275" t="str">
        <f>IFERROR(IF(COUNTA(D20:AF20)=0,"",IF(ABS(AF20-'2.1'!AS20)&gt;0.00001,"NOT OK","OK")),"")</f>
        <v/>
      </c>
      <c r="AU20" s="220">
        <f>'2.1'!G20</f>
        <v>0</v>
      </c>
      <c r="AV20" s="218">
        <f>IF('2.1'!G21&lt;&gt;"",G21,IF(G20=0,0,3))</f>
        <v>0</v>
      </c>
      <c r="AW20" s="221">
        <f>IFERROR('2.1'!AV20/2+AU20/2,"")</f>
        <v>0</v>
      </c>
      <c r="AX20" s="45"/>
      <c r="AY20" s="45"/>
      <c r="AZ20" s="45"/>
      <c r="BA20" s="45"/>
      <c r="BB20" s="45"/>
      <c r="BC20" s="45"/>
      <c r="BD20" s="241">
        <f>SUM('2.1'!I20:AC20)</f>
        <v>0</v>
      </c>
      <c r="BE20" s="242">
        <v>12</v>
      </c>
      <c r="BF20" s="243">
        <f t="array" ref="BF20">(SUM(($BF$8:$BZ$8&lt;BF$8)*($BE$9:$BE$28&lt;$BE20)*$I$9:$AC$28)+SUM(($BF$8:$BZ$8&gt;BF$8)*($BE$9:$BE$28&gt;$BE20)*$I$9:$AC$28)-(SUM(($BF$8:$BZ$8&gt;BF$8)*($BE$9:$BE$28&lt;$BE20)*$I$9:$AC$28)+SUM(($BF$8:$BZ$8&lt;BF$8)*($BE$9:$BE$28&gt;$BE20)*$I$9:$AC$28)))*(INDEX($I$9:$AC$28,$BE20,BF$8)&gt;0)</f>
        <v>0</v>
      </c>
      <c r="BG20" s="243">
        <f t="array" ref="BG20">(SUM(($BF$8:$BZ$8&lt;BG$8)*($BE$9:$BE$28&lt;$BE20)*$I$9:$AC$28)+SUM(($BF$8:$BZ$8&gt;BG$8)*($BE$9:$BE$28&gt;$BE20)*$I$9:$AC$28)-(SUM(($BF$8:$BZ$8&gt;BG$8)*($BE$9:$BE$28&lt;$BE20)*$I$9:$AC$28)+SUM(($BF$8:$BZ$8&lt;BG$8)*($BE$9:$BE$28&gt;$BE20)*$I$9:$AC$28)))*(INDEX($I$9:$AC$28,$BE20,BG$8)&gt;0)</f>
        <v>0</v>
      </c>
      <c r="BH20" s="243">
        <f t="array" ref="BH20">(SUM(($BF$8:$BZ$8&lt;BH$8)*($BE$9:$BE$28&lt;$BE20)*$I$9:$AC$28)+SUM(($BF$8:$BZ$8&gt;BH$8)*($BE$9:$BE$28&gt;$BE20)*$I$9:$AC$28)-(SUM(($BF$8:$BZ$8&gt;BH$8)*($BE$9:$BE$28&lt;$BE20)*$I$9:$AC$28)+SUM(($BF$8:$BZ$8&lt;BH$8)*($BE$9:$BE$28&gt;$BE20)*$I$9:$AC$28)))*(INDEX($I$9:$AC$28,$BE20,BH$8)&gt;0)</f>
        <v>0</v>
      </c>
      <c r="BI20" s="243">
        <f t="array" ref="BI20">(SUM(($BF$8:$BZ$8&lt;BI$8)*($BE$9:$BE$28&lt;$BE20)*$I$9:$AC$28)+SUM(($BF$8:$BZ$8&gt;BI$8)*($BE$9:$BE$28&gt;$BE20)*$I$9:$AC$28)-(SUM(($BF$8:$BZ$8&gt;BI$8)*($BE$9:$BE$28&lt;$BE20)*$I$9:$AC$28)+SUM(($BF$8:$BZ$8&lt;BI$8)*($BE$9:$BE$28&gt;$BE20)*$I$9:$AC$28)))*(INDEX($I$9:$AC$28,$BE20,BI$8)&gt;0)</f>
        <v>0</v>
      </c>
      <c r="BJ20" s="243">
        <f t="array" ref="BJ20">(SUM(($BF$8:$BZ$8&lt;BJ$8)*($BE$9:$BE$28&lt;$BE20)*$I$9:$AC$28)+SUM(($BF$8:$BZ$8&gt;BJ$8)*($BE$9:$BE$28&gt;$BE20)*$I$9:$AC$28)-(SUM(($BF$8:$BZ$8&gt;BJ$8)*($BE$9:$BE$28&lt;$BE20)*$I$9:$AC$28)+SUM(($BF$8:$BZ$8&lt;BJ$8)*($BE$9:$BE$28&gt;$BE20)*$I$9:$AC$28)))*(INDEX($I$9:$AC$28,$BE20,BJ$8)&gt;0)</f>
        <v>0</v>
      </c>
      <c r="BK20" s="243">
        <f t="array" ref="BK20">(SUM(($BF$8:$BZ$8&lt;BK$8)*($BE$9:$BE$28&lt;$BE20)*$I$9:$AC$28)+SUM(($BF$8:$BZ$8&gt;BK$8)*($BE$9:$BE$28&gt;$BE20)*$I$9:$AC$28)-(SUM(($BF$8:$BZ$8&gt;BK$8)*($BE$9:$BE$28&lt;$BE20)*$I$9:$AC$28)+SUM(($BF$8:$BZ$8&lt;BK$8)*($BE$9:$BE$28&gt;$BE20)*$I$9:$AC$28)))*(INDEX($I$9:$AC$28,$BE20,BK$8)&gt;0)</f>
        <v>0</v>
      </c>
      <c r="BL20" s="243">
        <f t="array" ref="BL20">(SUM(($BF$8:$BZ$8&lt;BL$8)*($BE$9:$BE$28&lt;$BE20)*$I$9:$AC$28)+SUM(($BF$8:$BZ$8&gt;BL$8)*($BE$9:$BE$28&gt;$BE20)*$I$9:$AC$28)-(SUM(($BF$8:$BZ$8&gt;BL$8)*($BE$9:$BE$28&lt;$BE20)*$I$9:$AC$28)+SUM(($BF$8:$BZ$8&lt;BL$8)*($BE$9:$BE$28&gt;$BE20)*$I$9:$AC$28)))*(INDEX($I$9:$AC$28,$BE20,BL$8)&gt;0)</f>
        <v>0</v>
      </c>
      <c r="BM20" s="243">
        <f t="array" ref="BM20">(SUM(($BF$8:$BZ$8&lt;BM$8)*($BE$9:$BE$28&lt;$BE20)*$I$9:$AC$28)+SUM(($BF$8:$BZ$8&gt;BM$8)*($BE$9:$BE$28&gt;$BE20)*$I$9:$AC$28)-(SUM(($BF$8:$BZ$8&gt;BM$8)*($BE$9:$BE$28&lt;$BE20)*$I$9:$AC$28)+SUM(($BF$8:$BZ$8&lt;BM$8)*($BE$9:$BE$28&gt;$BE20)*$I$9:$AC$28)))*(INDEX($I$9:$AC$28,$BE20,BM$8)&gt;0)</f>
        <v>0</v>
      </c>
      <c r="BN20" s="243">
        <f t="array" ref="BN20">(SUM(($BF$8:$BZ$8&lt;BN$8)*($BE$9:$BE$28&lt;$BE20)*$I$9:$AC$28)+SUM(($BF$8:$BZ$8&gt;BN$8)*($BE$9:$BE$28&gt;$BE20)*$I$9:$AC$28)-(SUM(($BF$8:$BZ$8&gt;BN$8)*($BE$9:$BE$28&lt;$BE20)*$I$9:$AC$28)+SUM(($BF$8:$BZ$8&lt;BN$8)*($BE$9:$BE$28&gt;$BE20)*$I$9:$AC$28)))*(INDEX($I$9:$AC$28,$BE20,BN$8)&gt;0)</f>
        <v>0</v>
      </c>
      <c r="BO20" s="243">
        <f t="array" ref="BO20">(SUM(($BF$8:$BZ$8&lt;BO$8)*($BE$9:$BE$28&lt;$BE20)*$I$9:$AC$28)+SUM(($BF$8:$BZ$8&gt;BO$8)*($BE$9:$BE$28&gt;$BE20)*$I$9:$AC$28)-(SUM(($BF$8:$BZ$8&gt;BO$8)*($BE$9:$BE$28&lt;$BE20)*$I$9:$AC$28)+SUM(($BF$8:$BZ$8&lt;BO$8)*($BE$9:$BE$28&gt;$BE20)*$I$9:$AC$28)))*(INDEX($I$9:$AC$28,$BE20,BO$8)&gt;0)</f>
        <v>0</v>
      </c>
      <c r="BP20" s="243">
        <f t="array" ref="BP20">(SUM(($BF$8:$BZ$8&lt;BP$8)*($BE$9:$BE$28&lt;$BE20)*$I$9:$AC$28)+SUM(($BF$8:$BZ$8&gt;BP$8)*($BE$9:$BE$28&gt;$BE20)*$I$9:$AC$28)-(SUM(($BF$8:$BZ$8&gt;BP$8)*($BE$9:$BE$28&lt;$BE20)*$I$9:$AC$28)+SUM(($BF$8:$BZ$8&lt;BP$8)*($BE$9:$BE$28&gt;$BE20)*$I$9:$AC$28)))*(INDEX($I$9:$AC$28,$BE20,BP$8)&gt;0)</f>
        <v>0</v>
      </c>
      <c r="BQ20" s="243">
        <f t="array" ref="BQ20">(SUM(($BF$8:$BZ$8&lt;BQ$8)*($BE$9:$BE$28&lt;$BE20)*$I$9:$AC$28)+SUM(($BF$8:$BZ$8&gt;BQ$8)*($BE$9:$BE$28&gt;$BE20)*$I$9:$AC$28)-(SUM(($BF$8:$BZ$8&gt;BQ$8)*($BE$9:$BE$28&lt;$BE20)*$I$9:$AC$28)+SUM(($BF$8:$BZ$8&lt;BQ$8)*($BE$9:$BE$28&gt;$BE20)*$I$9:$AC$28)))*(INDEX($I$9:$AC$28,$BE20,BQ$8)&gt;0)</f>
        <v>0</v>
      </c>
      <c r="BR20" s="243">
        <f t="array" ref="BR20">(SUM(($BF$8:$BZ$8&lt;BR$8)*($BE$9:$BE$28&lt;$BE20)*$I$9:$AC$28)+SUM(($BF$8:$BZ$8&gt;BR$8)*($BE$9:$BE$28&gt;$BE20)*$I$9:$AC$28)-(SUM(($BF$8:$BZ$8&gt;BR$8)*($BE$9:$BE$28&lt;$BE20)*$I$9:$AC$28)+SUM(($BF$8:$BZ$8&lt;BR$8)*($BE$9:$BE$28&gt;$BE20)*$I$9:$AC$28)))*(INDEX($I$9:$AC$28,$BE20,BR$8)&gt;0)</f>
        <v>0</v>
      </c>
      <c r="BS20" s="243">
        <f t="array" ref="BS20">(SUM(($BF$8:$BZ$8&lt;BS$8)*($BE$9:$BE$28&lt;$BE20)*$I$9:$AC$28)+SUM(($BF$8:$BZ$8&gt;BS$8)*($BE$9:$BE$28&gt;$BE20)*$I$9:$AC$28)-(SUM(($BF$8:$BZ$8&gt;BS$8)*($BE$9:$BE$28&lt;$BE20)*$I$9:$AC$28)+SUM(($BF$8:$BZ$8&lt;BS$8)*($BE$9:$BE$28&gt;$BE20)*$I$9:$AC$28)))*(INDEX($I$9:$AC$28,$BE20,BS$8)&gt;0)</f>
        <v>0</v>
      </c>
      <c r="BT20" s="243">
        <f t="array" ref="BT20">(SUM(($BF$8:$BZ$8&lt;BT$8)*($BE$9:$BE$28&lt;$BE20)*$I$9:$AC$28)+SUM(($BF$8:$BZ$8&gt;BT$8)*($BE$9:$BE$28&gt;$BE20)*$I$9:$AC$28)-(SUM(($BF$8:$BZ$8&gt;BT$8)*($BE$9:$BE$28&lt;$BE20)*$I$9:$AC$28)+SUM(($BF$8:$BZ$8&lt;BT$8)*($BE$9:$BE$28&gt;$BE20)*$I$9:$AC$28)))*(INDEX($I$9:$AC$28,$BE20,BT$8)&gt;0)</f>
        <v>0</v>
      </c>
      <c r="BU20" s="243">
        <f t="array" ref="BU20">(SUM(($BF$8:$BZ$8&lt;BU$8)*($BE$9:$BE$28&lt;$BE20)*$I$9:$AC$28)+SUM(($BF$8:$BZ$8&gt;BU$8)*($BE$9:$BE$28&gt;$BE20)*$I$9:$AC$28)-(SUM(($BF$8:$BZ$8&gt;BU$8)*($BE$9:$BE$28&lt;$BE20)*$I$9:$AC$28)+SUM(($BF$8:$BZ$8&lt;BU$8)*($BE$9:$BE$28&gt;$BE20)*$I$9:$AC$28)))*(INDEX($I$9:$AC$28,$BE20,BU$8)&gt;0)</f>
        <v>0</v>
      </c>
      <c r="BV20" s="243">
        <f t="array" ref="BV20">(SUM(($BF$8:$BZ$8&lt;BV$8)*($BE$9:$BE$28&lt;$BE20)*$I$9:$AC$28)+SUM(($BF$8:$BZ$8&gt;BV$8)*($BE$9:$BE$28&gt;$BE20)*$I$9:$AC$28)-(SUM(($BF$8:$BZ$8&gt;BV$8)*($BE$9:$BE$28&lt;$BE20)*$I$9:$AC$28)+SUM(($BF$8:$BZ$8&lt;BV$8)*($BE$9:$BE$28&gt;$BE20)*$I$9:$AC$28)))*(INDEX($I$9:$AC$28,$BE20,BV$8)&gt;0)</f>
        <v>0</v>
      </c>
      <c r="BW20" s="243">
        <f t="array" ref="BW20">(SUM(($BF$8:$BZ$8&lt;BW$8)*($BE$9:$BE$28&lt;$BE20)*$I$9:$AC$28)+SUM(($BF$8:$BZ$8&gt;BW$8)*($BE$9:$BE$28&gt;$BE20)*$I$9:$AC$28)-(SUM(($BF$8:$BZ$8&gt;BW$8)*($BE$9:$BE$28&lt;$BE20)*$I$9:$AC$28)+SUM(($BF$8:$BZ$8&lt;BW$8)*($BE$9:$BE$28&gt;$BE20)*$I$9:$AC$28)))*(INDEX($I$9:$AC$28,$BE20,BW$8)&gt;0)</f>
        <v>0</v>
      </c>
      <c r="BX20" s="243">
        <f t="array" ref="BX20">(SUM(($BF$8:$BZ$8&lt;BX$8)*($BE$9:$BE$28&lt;$BE20)*$I$9:$AC$28)+SUM(($BF$8:$BZ$8&gt;BX$8)*($BE$9:$BE$28&gt;$BE20)*$I$9:$AC$28)-(SUM(($BF$8:$BZ$8&gt;BX$8)*($BE$9:$BE$28&lt;$BE20)*$I$9:$AC$28)+SUM(($BF$8:$BZ$8&lt;BX$8)*($BE$9:$BE$28&gt;$BE20)*$I$9:$AC$28)))*(INDEX($I$9:$AC$28,$BE20,BX$8)&gt;0)</f>
        <v>0</v>
      </c>
      <c r="BY20" s="243">
        <f t="array" ref="BY20">(SUM(($BF$8:$BZ$8&lt;BY$8)*($BE$9:$BE$28&lt;$BE20)*$I$9:$AC$28)+SUM(($BF$8:$BZ$8&gt;BY$8)*($BE$9:$BE$28&gt;$BE20)*$I$9:$AC$28)-(SUM(($BF$8:$BZ$8&gt;BY$8)*($BE$9:$BE$28&lt;$BE20)*$I$9:$AC$28)+SUM(($BF$8:$BZ$8&lt;BY$8)*($BE$9:$BE$28&gt;$BE20)*$I$9:$AC$28)))*(INDEX($I$9:$AC$28,$BE20,BY$8)&gt;0)</f>
        <v>0</v>
      </c>
      <c r="BZ20" s="244">
        <f t="array" ref="BZ20">(SUM(($BF$8:$BZ$8&lt;BZ$8)*($BE$9:$BE$28&lt;$BE20)*$I$9:$AC$28)+SUM(($BF$8:$BZ$8&gt;BZ$8)*($BE$9:$BE$28&gt;$BE20)*$I$9:$AC$28)-(SUM(($BF$8:$BZ$8&gt;BZ$8)*($BE$9:$BE$28&lt;$BE20)*$I$9:$AC$28)+SUM(($BF$8:$BZ$8&lt;BZ$8)*($BE$9:$BE$28&gt;$BE20)*$I$9:$AC$28)))*(INDEX($I$9:$AC$28,$BE20,BZ$8)&gt;0)</f>
        <v>0</v>
      </c>
      <c r="CA20" s="45"/>
      <c r="CE20" s="4">
        <v>0</v>
      </c>
      <c r="CF20" s="4">
        <v>0</v>
      </c>
      <c r="CG20" s="4" t="b">
        <v>0</v>
      </c>
      <c r="CH20" s="4">
        <v>0</v>
      </c>
    </row>
    <row r="21" spans="1:86" x14ac:dyDescent="0.35">
      <c r="A21" s="45"/>
      <c r="B21" s="119" t="s">
        <v>51</v>
      </c>
      <c r="C21" s="424" t="s">
        <v>246</v>
      </c>
      <c r="D21" s="95"/>
      <c r="E21" s="96"/>
      <c r="F21" s="270"/>
      <c r="G21" s="266"/>
      <c r="H21" s="267"/>
      <c r="I21" s="99"/>
      <c r="J21" s="96"/>
      <c r="K21" s="96"/>
      <c r="L21" s="96"/>
      <c r="M21" s="96"/>
      <c r="N21" s="96"/>
      <c r="O21" s="96"/>
      <c r="P21" s="96"/>
      <c r="Q21" s="96"/>
      <c r="R21" s="96"/>
      <c r="S21" s="96"/>
      <c r="T21" s="96"/>
      <c r="U21" s="96"/>
      <c r="V21" s="96"/>
      <c r="W21" s="96"/>
      <c r="X21" s="96"/>
      <c r="Y21" s="96"/>
      <c r="Z21" s="96"/>
      <c r="AA21" s="96"/>
      <c r="AB21" s="96"/>
      <c r="AC21" s="100"/>
      <c r="AD21" s="268"/>
      <c r="AE21" s="266"/>
      <c r="AF21" s="267"/>
      <c r="AG21" s="45"/>
      <c r="AH21" s="259" t="str">
        <f>IF(AND(COUNTA(D21:AF21)=0,D22=""),"",IF(AND('2.1'!E21=0,COUNTA(H21:AF21)&gt;0),"NOT OK",IF(AND(COUNTA(D21:AF21)=0,D22&lt;&gt;""),"NOT OK",IF(OR(AJ21="NOT OK",AK21="NOT OK",AL21="NOT OK",AT21="NOT OK"),"NOT OK",IF(OR(AO21="WARNING",AR21="WARNING"),"WARNING","OK")))))</f>
        <v/>
      </c>
      <c r="AI21" s="276" t="str">
        <f>IF(AND(COUNTA(D21:AF21)=0,'2.1'!D22=""),"",IF(AND(E21=0,COUNTA(H21:AF21)&gt;0),"As number of facilities is zero, please leave columns H to AF empty.",IF(AND(COUNTA(D21:AF21)=0,D22&lt;&gt;""),"Empty lines between grades not allowed.",IF(AND(D21&lt;&gt;"",OR(E21="",G21="")),"Information is missing for this facility grade/pool. Please report number of facilities and average LGD estimate.",IF(AJ21="NOT OK","Row incomplete. Check if zeros values are missing in the row.",IF(AK21="NOT OK","The number of facilities in buckets does not sum up to the total number.",IF(AL21="NOT OK","Please order the pools in ascending order of the weighted average of estimated LGD.",IF(AT21="NOT OK","The p-value of t-Test differs from ECB calculation.",IF(AO21="WARNING","The average LGD^R seems implausible with the given LGD realisation.",IF(AR21="WARNING","The variance of the LGD seems implausible with the given realisation.",""))))))))))</f>
        <v/>
      </c>
      <c r="AJ21" s="262" t="str">
        <f>IF(AND(COUNTA(D21:AF21)=0,'2.1'!D22=""),"",IF(AND(D21&lt;&gt;"",OR(E21="",G21="")),"NOT OK",IF(AND(D21&lt;&gt;"",E21&lt;&gt;"",E21=0,G21&lt;&gt;""),"OK",IF(COUNTA(D21:AF21)=COUNTA($D$9:$D$28)+7+1,"OK",IF(AND(E21=1,COUNTA(D21:AF21)=COUNTA($D$9:$D$28)+4+1),"OK","NOT OK")))))</f>
        <v/>
      </c>
      <c r="AK21" s="262" t="str">
        <f>IF(OR(AND(D21&lt;&gt;"",'2.1'!E21 =0),COUNTA(D21:AF21)=0),"",IF(E21=SUM(I21:AC21),"OK","NOT OK"))</f>
        <v/>
      </c>
      <c r="AL21" s="507" t="str">
        <f>IF('2.1'!G21="","",IF(G21&lt;G20,"NOT OK", "OK"))</f>
        <v/>
      </c>
      <c r="AM21" s="516" t="str">
        <f t="array" ref="AM21">IFERROR(SUM(I21:AC21*TRANSPOSE($AU$8:$AU$28))/SUM(I21:AC21),"")</f>
        <v/>
      </c>
      <c r="AN21" s="271" t="str">
        <f t="array" ref="AN21">IFERROR(SUM(I21:AC21*TRANSPOSE($AV$8:$AV$28))/SUM(I21:AC21),"")</f>
        <v/>
      </c>
      <c r="AO21" s="275" t="str">
        <f>IF(OR(AND(D21&lt;&gt;"",'2.1'!E21 =0),COUNTA(D21:AF21)=0),"",IFERROR(IF(AND(H21&gt;=AM21,H21&lt;=AN21),"OK","WARNING"),""))</f>
        <v/>
      </c>
      <c r="AP21" s="516" t="str">
        <f>IF(COUNTA(H21:AF21)=0,"",IFERROR('2.1'!BG50,""))</f>
        <v/>
      </c>
      <c r="AQ21" s="271" t="str">
        <f>IF(COUNTA(H21:AF21)=0,"",IFERROR('2.1'!BF50,""))</f>
        <v/>
      </c>
      <c r="AR21" s="275" t="str">
        <f>IF(OR(AND(D21&lt;&gt;"",E21 =0),COUNTA(D21:AF21)=0),"",IFERROR(IF(AND('2.1'!AD21&gt;=AP21,AD21&lt;=AQ21),"OK","WARNING"),""))</f>
        <v/>
      </c>
      <c r="AS21" s="510" t="str">
        <f>IFERROR(IF(COUNTA(D21:AF21)=0,"",1-_xlfn.T.DIST(SQRT(E21)*(H21-G21)/SQRT('2.1'!AD21),E21-1,TRUE)),"")</f>
        <v/>
      </c>
      <c r="AT21" s="275" t="str">
        <f>IFERROR(IF(COUNTA(D21:AF21)=0,"",IF(ABS(AF21-'2.1'!AS21)&gt;0.00001,"NOT OK","OK")),"")</f>
        <v/>
      </c>
      <c r="AU21" s="220">
        <f>'2.1'!G21</f>
        <v>0</v>
      </c>
      <c r="AV21" s="218">
        <f>IF('2.1'!G22&lt;&gt;"",G22,IF(G21=0,0,3))</f>
        <v>0</v>
      </c>
      <c r="AW21" s="221">
        <f>IFERROR('2.1'!AV21/2+AU21/2,"")</f>
        <v>0</v>
      </c>
      <c r="AX21" s="45"/>
      <c r="AY21" s="45"/>
      <c r="AZ21" s="45"/>
      <c r="BA21" s="45"/>
      <c r="BB21" s="45"/>
      <c r="BC21" s="45"/>
      <c r="BD21" s="241">
        <f>SUM('2.1'!I21:AC21)</f>
        <v>0</v>
      </c>
      <c r="BE21" s="242">
        <v>13</v>
      </c>
      <c r="BF21" s="243">
        <f t="array" ref="BF21">(SUM(($BF$8:$BZ$8&lt;BF$8)*($BE$9:$BE$28&lt;$BE21)*$I$9:$AC$28)+SUM(($BF$8:$BZ$8&gt;BF$8)*($BE$9:$BE$28&gt;$BE21)*$I$9:$AC$28)-(SUM(($BF$8:$BZ$8&gt;BF$8)*($BE$9:$BE$28&lt;$BE21)*$I$9:$AC$28)+SUM(($BF$8:$BZ$8&lt;BF$8)*($BE$9:$BE$28&gt;$BE21)*$I$9:$AC$28)))*(INDEX($I$9:$AC$28,$BE21,BF$8)&gt;0)</f>
        <v>0</v>
      </c>
      <c r="BG21" s="243">
        <f t="array" ref="BG21">(SUM(($BF$8:$BZ$8&lt;BG$8)*($BE$9:$BE$28&lt;$BE21)*$I$9:$AC$28)+SUM(($BF$8:$BZ$8&gt;BG$8)*($BE$9:$BE$28&gt;$BE21)*$I$9:$AC$28)-(SUM(($BF$8:$BZ$8&gt;BG$8)*($BE$9:$BE$28&lt;$BE21)*$I$9:$AC$28)+SUM(($BF$8:$BZ$8&lt;BG$8)*($BE$9:$BE$28&gt;$BE21)*$I$9:$AC$28)))*(INDEX($I$9:$AC$28,$BE21,BG$8)&gt;0)</f>
        <v>0</v>
      </c>
      <c r="BH21" s="243">
        <f t="array" ref="BH21">(SUM(($BF$8:$BZ$8&lt;BH$8)*($BE$9:$BE$28&lt;$BE21)*$I$9:$AC$28)+SUM(($BF$8:$BZ$8&gt;BH$8)*($BE$9:$BE$28&gt;$BE21)*$I$9:$AC$28)-(SUM(($BF$8:$BZ$8&gt;BH$8)*($BE$9:$BE$28&lt;$BE21)*$I$9:$AC$28)+SUM(($BF$8:$BZ$8&lt;BH$8)*($BE$9:$BE$28&gt;$BE21)*$I$9:$AC$28)))*(INDEX($I$9:$AC$28,$BE21,BH$8)&gt;0)</f>
        <v>0</v>
      </c>
      <c r="BI21" s="243">
        <f t="array" ref="BI21">(SUM(($BF$8:$BZ$8&lt;BI$8)*($BE$9:$BE$28&lt;$BE21)*$I$9:$AC$28)+SUM(($BF$8:$BZ$8&gt;BI$8)*($BE$9:$BE$28&gt;$BE21)*$I$9:$AC$28)-(SUM(($BF$8:$BZ$8&gt;BI$8)*($BE$9:$BE$28&lt;$BE21)*$I$9:$AC$28)+SUM(($BF$8:$BZ$8&lt;BI$8)*($BE$9:$BE$28&gt;$BE21)*$I$9:$AC$28)))*(INDEX($I$9:$AC$28,$BE21,BI$8)&gt;0)</f>
        <v>0</v>
      </c>
      <c r="BJ21" s="243">
        <f t="array" ref="BJ21">(SUM(($BF$8:$BZ$8&lt;BJ$8)*($BE$9:$BE$28&lt;$BE21)*$I$9:$AC$28)+SUM(($BF$8:$BZ$8&gt;BJ$8)*($BE$9:$BE$28&gt;$BE21)*$I$9:$AC$28)-(SUM(($BF$8:$BZ$8&gt;BJ$8)*($BE$9:$BE$28&lt;$BE21)*$I$9:$AC$28)+SUM(($BF$8:$BZ$8&lt;BJ$8)*($BE$9:$BE$28&gt;$BE21)*$I$9:$AC$28)))*(INDEX($I$9:$AC$28,$BE21,BJ$8)&gt;0)</f>
        <v>0</v>
      </c>
      <c r="BK21" s="243">
        <f t="array" ref="BK21">(SUM(($BF$8:$BZ$8&lt;BK$8)*($BE$9:$BE$28&lt;$BE21)*$I$9:$AC$28)+SUM(($BF$8:$BZ$8&gt;BK$8)*($BE$9:$BE$28&gt;$BE21)*$I$9:$AC$28)-(SUM(($BF$8:$BZ$8&gt;BK$8)*($BE$9:$BE$28&lt;$BE21)*$I$9:$AC$28)+SUM(($BF$8:$BZ$8&lt;BK$8)*($BE$9:$BE$28&gt;$BE21)*$I$9:$AC$28)))*(INDEX($I$9:$AC$28,$BE21,BK$8)&gt;0)</f>
        <v>0</v>
      </c>
      <c r="BL21" s="243">
        <f t="array" ref="BL21">(SUM(($BF$8:$BZ$8&lt;BL$8)*($BE$9:$BE$28&lt;$BE21)*$I$9:$AC$28)+SUM(($BF$8:$BZ$8&gt;BL$8)*($BE$9:$BE$28&gt;$BE21)*$I$9:$AC$28)-(SUM(($BF$8:$BZ$8&gt;BL$8)*($BE$9:$BE$28&lt;$BE21)*$I$9:$AC$28)+SUM(($BF$8:$BZ$8&lt;BL$8)*($BE$9:$BE$28&gt;$BE21)*$I$9:$AC$28)))*(INDEX($I$9:$AC$28,$BE21,BL$8)&gt;0)</f>
        <v>0</v>
      </c>
      <c r="BM21" s="243">
        <f t="array" ref="BM21">(SUM(($BF$8:$BZ$8&lt;BM$8)*($BE$9:$BE$28&lt;$BE21)*$I$9:$AC$28)+SUM(($BF$8:$BZ$8&gt;BM$8)*($BE$9:$BE$28&gt;$BE21)*$I$9:$AC$28)-(SUM(($BF$8:$BZ$8&gt;BM$8)*($BE$9:$BE$28&lt;$BE21)*$I$9:$AC$28)+SUM(($BF$8:$BZ$8&lt;BM$8)*($BE$9:$BE$28&gt;$BE21)*$I$9:$AC$28)))*(INDEX($I$9:$AC$28,$BE21,BM$8)&gt;0)</f>
        <v>0</v>
      </c>
      <c r="BN21" s="243">
        <f t="array" ref="BN21">(SUM(($BF$8:$BZ$8&lt;BN$8)*($BE$9:$BE$28&lt;$BE21)*$I$9:$AC$28)+SUM(($BF$8:$BZ$8&gt;BN$8)*($BE$9:$BE$28&gt;$BE21)*$I$9:$AC$28)-(SUM(($BF$8:$BZ$8&gt;BN$8)*($BE$9:$BE$28&lt;$BE21)*$I$9:$AC$28)+SUM(($BF$8:$BZ$8&lt;BN$8)*($BE$9:$BE$28&gt;$BE21)*$I$9:$AC$28)))*(INDEX($I$9:$AC$28,$BE21,BN$8)&gt;0)</f>
        <v>0</v>
      </c>
      <c r="BO21" s="243">
        <f t="array" ref="BO21">(SUM(($BF$8:$BZ$8&lt;BO$8)*($BE$9:$BE$28&lt;$BE21)*$I$9:$AC$28)+SUM(($BF$8:$BZ$8&gt;BO$8)*($BE$9:$BE$28&gt;$BE21)*$I$9:$AC$28)-(SUM(($BF$8:$BZ$8&gt;BO$8)*($BE$9:$BE$28&lt;$BE21)*$I$9:$AC$28)+SUM(($BF$8:$BZ$8&lt;BO$8)*($BE$9:$BE$28&gt;$BE21)*$I$9:$AC$28)))*(INDEX($I$9:$AC$28,$BE21,BO$8)&gt;0)</f>
        <v>0</v>
      </c>
      <c r="BP21" s="243">
        <f t="array" ref="BP21">(SUM(($BF$8:$BZ$8&lt;BP$8)*($BE$9:$BE$28&lt;$BE21)*$I$9:$AC$28)+SUM(($BF$8:$BZ$8&gt;BP$8)*($BE$9:$BE$28&gt;$BE21)*$I$9:$AC$28)-(SUM(($BF$8:$BZ$8&gt;BP$8)*($BE$9:$BE$28&lt;$BE21)*$I$9:$AC$28)+SUM(($BF$8:$BZ$8&lt;BP$8)*($BE$9:$BE$28&gt;$BE21)*$I$9:$AC$28)))*(INDEX($I$9:$AC$28,$BE21,BP$8)&gt;0)</f>
        <v>0</v>
      </c>
      <c r="BQ21" s="243">
        <f t="array" ref="BQ21">(SUM(($BF$8:$BZ$8&lt;BQ$8)*($BE$9:$BE$28&lt;$BE21)*$I$9:$AC$28)+SUM(($BF$8:$BZ$8&gt;BQ$8)*($BE$9:$BE$28&gt;$BE21)*$I$9:$AC$28)-(SUM(($BF$8:$BZ$8&gt;BQ$8)*($BE$9:$BE$28&lt;$BE21)*$I$9:$AC$28)+SUM(($BF$8:$BZ$8&lt;BQ$8)*($BE$9:$BE$28&gt;$BE21)*$I$9:$AC$28)))*(INDEX($I$9:$AC$28,$BE21,BQ$8)&gt;0)</f>
        <v>0</v>
      </c>
      <c r="BR21" s="243">
        <f t="array" ref="BR21">(SUM(($BF$8:$BZ$8&lt;BR$8)*($BE$9:$BE$28&lt;$BE21)*$I$9:$AC$28)+SUM(($BF$8:$BZ$8&gt;BR$8)*($BE$9:$BE$28&gt;$BE21)*$I$9:$AC$28)-(SUM(($BF$8:$BZ$8&gt;BR$8)*($BE$9:$BE$28&lt;$BE21)*$I$9:$AC$28)+SUM(($BF$8:$BZ$8&lt;BR$8)*($BE$9:$BE$28&gt;$BE21)*$I$9:$AC$28)))*(INDEX($I$9:$AC$28,$BE21,BR$8)&gt;0)</f>
        <v>0</v>
      </c>
      <c r="BS21" s="243">
        <f t="array" ref="BS21">(SUM(($BF$8:$BZ$8&lt;BS$8)*($BE$9:$BE$28&lt;$BE21)*$I$9:$AC$28)+SUM(($BF$8:$BZ$8&gt;BS$8)*($BE$9:$BE$28&gt;$BE21)*$I$9:$AC$28)-(SUM(($BF$8:$BZ$8&gt;BS$8)*($BE$9:$BE$28&lt;$BE21)*$I$9:$AC$28)+SUM(($BF$8:$BZ$8&lt;BS$8)*($BE$9:$BE$28&gt;$BE21)*$I$9:$AC$28)))*(INDEX($I$9:$AC$28,$BE21,BS$8)&gt;0)</f>
        <v>0</v>
      </c>
      <c r="BT21" s="243">
        <f t="array" ref="BT21">(SUM(($BF$8:$BZ$8&lt;BT$8)*($BE$9:$BE$28&lt;$BE21)*$I$9:$AC$28)+SUM(($BF$8:$BZ$8&gt;BT$8)*($BE$9:$BE$28&gt;$BE21)*$I$9:$AC$28)-(SUM(($BF$8:$BZ$8&gt;BT$8)*($BE$9:$BE$28&lt;$BE21)*$I$9:$AC$28)+SUM(($BF$8:$BZ$8&lt;BT$8)*($BE$9:$BE$28&gt;$BE21)*$I$9:$AC$28)))*(INDEX($I$9:$AC$28,$BE21,BT$8)&gt;0)</f>
        <v>0</v>
      </c>
      <c r="BU21" s="243">
        <f t="array" ref="BU21">(SUM(($BF$8:$BZ$8&lt;BU$8)*($BE$9:$BE$28&lt;$BE21)*$I$9:$AC$28)+SUM(($BF$8:$BZ$8&gt;BU$8)*($BE$9:$BE$28&gt;$BE21)*$I$9:$AC$28)-(SUM(($BF$8:$BZ$8&gt;BU$8)*($BE$9:$BE$28&lt;$BE21)*$I$9:$AC$28)+SUM(($BF$8:$BZ$8&lt;BU$8)*($BE$9:$BE$28&gt;$BE21)*$I$9:$AC$28)))*(INDEX($I$9:$AC$28,$BE21,BU$8)&gt;0)</f>
        <v>0</v>
      </c>
      <c r="BV21" s="243">
        <f t="array" ref="BV21">(SUM(($BF$8:$BZ$8&lt;BV$8)*($BE$9:$BE$28&lt;$BE21)*$I$9:$AC$28)+SUM(($BF$8:$BZ$8&gt;BV$8)*($BE$9:$BE$28&gt;$BE21)*$I$9:$AC$28)-(SUM(($BF$8:$BZ$8&gt;BV$8)*($BE$9:$BE$28&lt;$BE21)*$I$9:$AC$28)+SUM(($BF$8:$BZ$8&lt;BV$8)*($BE$9:$BE$28&gt;$BE21)*$I$9:$AC$28)))*(INDEX($I$9:$AC$28,$BE21,BV$8)&gt;0)</f>
        <v>0</v>
      </c>
      <c r="BW21" s="243">
        <f t="array" ref="BW21">(SUM(($BF$8:$BZ$8&lt;BW$8)*($BE$9:$BE$28&lt;$BE21)*$I$9:$AC$28)+SUM(($BF$8:$BZ$8&gt;BW$8)*($BE$9:$BE$28&gt;$BE21)*$I$9:$AC$28)-(SUM(($BF$8:$BZ$8&gt;BW$8)*($BE$9:$BE$28&lt;$BE21)*$I$9:$AC$28)+SUM(($BF$8:$BZ$8&lt;BW$8)*($BE$9:$BE$28&gt;$BE21)*$I$9:$AC$28)))*(INDEX($I$9:$AC$28,$BE21,BW$8)&gt;0)</f>
        <v>0</v>
      </c>
      <c r="BX21" s="243">
        <f t="array" ref="BX21">(SUM(($BF$8:$BZ$8&lt;BX$8)*($BE$9:$BE$28&lt;$BE21)*$I$9:$AC$28)+SUM(($BF$8:$BZ$8&gt;BX$8)*($BE$9:$BE$28&gt;$BE21)*$I$9:$AC$28)-(SUM(($BF$8:$BZ$8&gt;BX$8)*($BE$9:$BE$28&lt;$BE21)*$I$9:$AC$28)+SUM(($BF$8:$BZ$8&lt;BX$8)*($BE$9:$BE$28&gt;$BE21)*$I$9:$AC$28)))*(INDEX($I$9:$AC$28,$BE21,BX$8)&gt;0)</f>
        <v>0</v>
      </c>
      <c r="BY21" s="243">
        <f t="array" ref="BY21">(SUM(($BF$8:$BZ$8&lt;BY$8)*($BE$9:$BE$28&lt;$BE21)*$I$9:$AC$28)+SUM(($BF$8:$BZ$8&gt;BY$8)*($BE$9:$BE$28&gt;$BE21)*$I$9:$AC$28)-(SUM(($BF$8:$BZ$8&gt;BY$8)*($BE$9:$BE$28&lt;$BE21)*$I$9:$AC$28)+SUM(($BF$8:$BZ$8&lt;BY$8)*($BE$9:$BE$28&gt;$BE21)*$I$9:$AC$28)))*(INDEX($I$9:$AC$28,$BE21,BY$8)&gt;0)</f>
        <v>0</v>
      </c>
      <c r="BZ21" s="244">
        <f t="array" ref="BZ21">(SUM(($BF$8:$BZ$8&lt;BZ$8)*($BE$9:$BE$28&lt;$BE21)*$I$9:$AC$28)+SUM(($BF$8:$BZ$8&gt;BZ$8)*($BE$9:$BE$28&gt;$BE21)*$I$9:$AC$28)-(SUM(($BF$8:$BZ$8&gt;BZ$8)*($BE$9:$BE$28&lt;$BE21)*$I$9:$AC$28)+SUM(($BF$8:$BZ$8&lt;BZ$8)*($BE$9:$BE$28&gt;$BE21)*$I$9:$AC$28)))*(INDEX($I$9:$AC$28,$BE21,BZ$8)&gt;0)</f>
        <v>0</v>
      </c>
      <c r="CA21" s="45"/>
      <c r="CE21" s="4">
        <v>0</v>
      </c>
      <c r="CF21" s="4">
        <v>0</v>
      </c>
      <c r="CG21" s="4" t="b">
        <v>0</v>
      </c>
      <c r="CH21" s="4">
        <v>0</v>
      </c>
    </row>
    <row r="22" spans="1:86" x14ac:dyDescent="0.35">
      <c r="A22" s="45"/>
      <c r="B22" s="119" t="s">
        <v>52</v>
      </c>
      <c r="C22" s="424" t="s">
        <v>247</v>
      </c>
      <c r="D22" s="95"/>
      <c r="E22" s="96"/>
      <c r="F22" s="270"/>
      <c r="G22" s="266"/>
      <c r="H22" s="267"/>
      <c r="I22" s="99"/>
      <c r="J22" s="96"/>
      <c r="K22" s="96"/>
      <c r="L22" s="96"/>
      <c r="M22" s="96"/>
      <c r="N22" s="96"/>
      <c r="O22" s="96"/>
      <c r="P22" s="96"/>
      <c r="Q22" s="96"/>
      <c r="R22" s="96"/>
      <c r="S22" s="96"/>
      <c r="T22" s="96"/>
      <c r="U22" s="96"/>
      <c r="V22" s="96"/>
      <c r="W22" s="96"/>
      <c r="X22" s="96"/>
      <c r="Y22" s="96"/>
      <c r="Z22" s="96"/>
      <c r="AA22" s="96"/>
      <c r="AB22" s="96"/>
      <c r="AC22" s="100"/>
      <c r="AD22" s="268"/>
      <c r="AE22" s="266"/>
      <c r="AF22" s="267"/>
      <c r="AG22" s="45"/>
      <c r="AH22" s="259" t="str">
        <f>IF(AND(COUNTA(D22:AF22)=0,D23=""),"",IF(AND('2.1'!E22=0,COUNTA(H22:AF22)&gt;0),"NOT OK",IF(AND(COUNTA(D22:AF22)=0,D23&lt;&gt;""),"NOT OK",IF(OR(AJ22="NOT OK",AK22="NOT OK",AL22="NOT OK",AT22="NOT OK"),"NOT OK",IF(OR(AO22="WARNING",AR22="WARNING"),"WARNING","OK")))))</f>
        <v/>
      </c>
      <c r="AI22" s="276" t="str">
        <f>IF(AND(COUNTA(D22:AF22)=0,'2.1'!D23=""),"",IF(AND(E22=0,COUNTA(H22:AF22)&gt;0),"As number of facilities is zero, please leave columns H to AF empty.",IF(AND(COUNTA(D22:AF22)=0,D23&lt;&gt;""),"Empty lines between grades not allowed.",IF(AND(D22&lt;&gt;"",OR(E22="",G22="")),"Information is missing for this facility grade/pool. Please report number of facilities and average LGD estimate.",IF(AJ22="NOT OK","Row incomplete. Check if zeros values are missing in the row.",IF(AK22="NOT OK","The number of facilities in buckets does not sum up to the total number.",IF(AL22="NOT OK","Please order the pools in ascending order of the weighted average of estimated LGD.",IF(AT22="NOT OK","The p-value of t-Test differs from ECB calculation.",IF(AO22="WARNING","The average LGD^R seems implausible with the given LGD realisation.",IF(AR22="WARNING","The variance of the LGD seems implausible with the given realisation.",""))))))))))</f>
        <v/>
      </c>
      <c r="AJ22" s="262" t="str">
        <f>IF(AND(COUNTA(D22:AF22)=0,'2.1'!D23=""),"",IF(AND(D22&lt;&gt;"",OR(E22="",G22="")),"NOT OK",IF(AND(D22&lt;&gt;"",E22&lt;&gt;"",E22=0,G22&lt;&gt;""),"OK",IF(COUNTA(D22:AF22)=COUNTA($D$9:$D$28)+7+1,"OK",IF(AND(E22=1,COUNTA(D22:AF22)=COUNTA($D$9:$D$28)+4+1),"OK","NOT OK")))))</f>
        <v/>
      </c>
      <c r="AK22" s="262" t="str">
        <f>IF(OR(AND(D22&lt;&gt;"",'2.1'!E22 =0),COUNTA(D22:AF22)=0),"",IF(E22=SUM(I22:AC22),"OK","NOT OK"))</f>
        <v/>
      </c>
      <c r="AL22" s="507" t="str">
        <f>IF('2.1'!G22="","",IF(G22&lt;G21,"NOT OK", "OK"))</f>
        <v/>
      </c>
      <c r="AM22" s="516" t="str">
        <f t="array" ref="AM22">IFERROR(SUM(I22:AC22*TRANSPOSE($AU$8:$AU$28))/SUM(I22:AC22),"")</f>
        <v/>
      </c>
      <c r="AN22" s="271" t="str">
        <f t="array" ref="AN22">IFERROR(SUM(I22:AC22*TRANSPOSE($AV$8:$AV$28))/SUM(I22:AC22),"")</f>
        <v/>
      </c>
      <c r="AO22" s="275" t="str">
        <f>IF(OR(AND(D22&lt;&gt;"",'2.1'!E22 =0),COUNTA(D22:AF22)=0),"",IFERROR(IF(AND(H22&gt;=AM22,H22&lt;=AN22),"OK","WARNING"),""))</f>
        <v/>
      </c>
      <c r="AP22" s="516" t="str">
        <f>IF(COUNTA(H22:AF22)=0,"",IFERROR('2.1'!BG51,""))</f>
        <v/>
      </c>
      <c r="AQ22" s="271" t="str">
        <f>IF(COUNTA(H22:AF22)=0,"",IFERROR('2.1'!BF51,""))</f>
        <v/>
      </c>
      <c r="AR22" s="275" t="str">
        <f>IF(OR(AND(D22&lt;&gt;"",E22 =0),COUNTA(D22:AF22)=0),"",IFERROR(IF(AND('2.1'!AD22&gt;=AP22,AD22&lt;=AQ22),"OK","WARNING"),""))</f>
        <v/>
      </c>
      <c r="AS22" s="510" t="str">
        <f>IFERROR(IF(COUNTA(D22:AF22)=0,"",1-_xlfn.T.DIST(SQRT(E22)*(H22-G22)/SQRT('2.1'!AD22),E22-1,TRUE)),"")</f>
        <v/>
      </c>
      <c r="AT22" s="275" t="str">
        <f>IFERROR(IF(COUNTA(D22:AF22)=0,"",IF(ABS(AF22-'2.1'!AS22)&gt;0.00001,"NOT OK","OK")),"")</f>
        <v/>
      </c>
      <c r="AU22" s="220">
        <f>'2.1'!G22</f>
        <v>0</v>
      </c>
      <c r="AV22" s="218">
        <f>IF('2.1'!G23&lt;&gt;"",G23,IF(G22=0,0,3))</f>
        <v>0</v>
      </c>
      <c r="AW22" s="221">
        <f>IFERROR('2.1'!AV22/2+AU22/2,"")</f>
        <v>0</v>
      </c>
      <c r="AX22" s="45"/>
      <c r="AY22" s="45"/>
      <c r="AZ22" s="45"/>
      <c r="BA22" s="45"/>
      <c r="BB22" s="45"/>
      <c r="BC22" s="45"/>
      <c r="BD22" s="241">
        <f>SUM('2.1'!I22:AC22)</f>
        <v>0</v>
      </c>
      <c r="BE22" s="242">
        <v>14</v>
      </c>
      <c r="BF22" s="243">
        <f t="array" ref="BF22">(SUM(($BF$8:$BZ$8&lt;BF$8)*($BE$9:$BE$28&lt;$BE22)*$I$9:$AC$28)+SUM(($BF$8:$BZ$8&gt;BF$8)*($BE$9:$BE$28&gt;$BE22)*$I$9:$AC$28)-(SUM(($BF$8:$BZ$8&gt;BF$8)*($BE$9:$BE$28&lt;$BE22)*$I$9:$AC$28)+SUM(($BF$8:$BZ$8&lt;BF$8)*($BE$9:$BE$28&gt;$BE22)*$I$9:$AC$28)))*(INDEX($I$9:$AC$28,$BE22,BF$8)&gt;0)</f>
        <v>0</v>
      </c>
      <c r="BG22" s="243">
        <f t="array" ref="BG22">(SUM(($BF$8:$BZ$8&lt;BG$8)*($BE$9:$BE$28&lt;$BE22)*$I$9:$AC$28)+SUM(($BF$8:$BZ$8&gt;BG$8)*($BE$9:$BE$28&gt;$BE22)*$I$9:$AC$28)-(SUM(($BF$8:$BZ$8&gt;BG$8)*($BE$9:$BE$28&lt;$BE22)*$I$9:$AC$28)+SUM(($BF$8:$BZ$8&lt;BG$8)*($BE$9:$BE$28&gt;$BE22)*$I$9:$AC$28)))*(INDEX($I$9:$AC$28,$BE22,BG$8)&gt;0)</f>
        <v>0</v>
      </c>
      <c r="BH22" s="243">
        <f t="array" ref="BH22">(SUM(($BF$8:$BZ$8&lt;BH$8)*($BE$9:$BE$28&lt;$BE22)*$I$9:$AC$28)+SUM(($BF$8:$BZ$8&gt;BH$8)*($BE$9:$BE$28&gt;$BE22)*$I$9:$AC$28)-(SUM(($BF$8:$BZ$8&gt;BH$8)*($BE$9:$BE$28&lt;$BE22)*$I$9:$AC$28)+SUM(($BF$8:$BZ$8&lt;BH$8)*($BE$9:$BE$28&gt;$BE22)*$I$9:$AC$28)))*(INDEX($I$9:$AC$28,$BE22,BH$8)&gt;0)</f>
        <v>0</v>
      </c>
      <c r="BI22" s="243">
        <f t="array" ref="BI22">(SUM(($BF$8:$BZ$8&lt;BI$8)*($BE$9:$BE$28&lt;$BE22)*$I$9:$AC$28)+SUM(($BF$8:$BZ$8&gt;BI$8)*($BE$9:$BE$28&gt;$BE22)*$I$9:$AC$28)-(SUM(($BF$8:$BZ$8&gt;BI$8)*($BE$9:$BE$28&lt;$BE22)*$I$9:$AC$28)+SUM(($BF$8:$BZ$8&lt;BI$8)*($BE$9:$BE$28&gt;$BE22)*$I$9:$AC$28)))*(INDEX($I$9:$AC$28,$BE22,BI$8)&gt;0)</f>
        <v>0</v>
      </c>
      <c r="BJ22" s="243">
        <f t="array" ref="BJ22">(SUM(($BF$8:$BZ$8&lt;BJ$8)*($BE$9:$BE$28&lt;$BE22)*$I$9:$AC$28)+SUM(($BF$8:$BZ$8&gt;BJ$8)*($BE$9:$BE$28&gt;$BE22)*$I$9:$AC$28)-(SUM(($BF$8:$BZ$8&gt;BJ$8)*($BE$9:$BE$28&lt;$BE22)*$I$9:$AC$28)+SUM(($BF$8:$BZ$8&lt;BJ$8)*($BE$9:$BE$28&gt;$BE22)*$I$9:$AC$28)))*(INDEX($I$9:$AC$28,$BE22,BJ$8)&gt;0)</f>
        <v>0</v>
      </c>
      <c r="BK22" s="243">
        <f t="array" ref="BK22">(SUM(($BF$8:$BZ$8&lt;BK$8)*($BE$9:$BE$28&lt;$BE22)*$I$9:$AC$28)+SUM(($BF$8:$BZ$8&gt;BK$8)*($BE$9:$BE$28&gt;$BE22)*$I$9:$AC$28)-(SUM(($BF$8:$BZ$8&gt;BK$8)*($BE$9:$BE$28&lt;$BE22)*$I$9:$AC$28)+SUM(($BF$8:$BZ$8&lt;BK$8)*($BE$9:$BE$28&gt;$BE22)*$I$9:$AC$28)))*(INDEX($I$9:$AC$28,$BE22,BK$8)&gt;0)</f>
        <v>0</v>
      </c>
      <c r="BL22" s="243">
        <f t="array" ref="BL22">(SUM(($BF$8:$BZ$8&lt;BL$8)*($BE$9:$BE$28&lt;$BE22)*$I$9:$AC$28)+SUM(($BF$8:$BZ$8&gt;BL$8)*($BE$9:$BE$28&gt;$BE22)*$I$9:$AC$28)-(SUM(($BF$8:$BZ$8&gt;BL$8)*($BE$9:$BE$28&lt;$BE22)*$I$9:$AC$28)+SUM(($BF$8:$BZ$8&lt;BL$8)*($BE$9:$BE$28&gt;$BE22)*$I$9:$AC$28)))*(INDEX($I$9:$AC$28,$BE22,BL$8)&gt;0)</f>
        <v>0</v>
      </c>
      <c r="BM22" s="243">
        <f t="array" ref="BM22">(SUM(($BF$8:$BZ$8&lt;BM$8)*($BE$9:$BE$28&lt;$BE22)*$I$9:$AC$28)+SUM(($BF$8:$BZ$8&gt;BM$8)*($BE$9:$BE$28&gt;$BE22)*$I$9:$AC$28)-(SUM(($BF$8:$BZ$8&gt;BM$8)*($BE$9:$BE$28&lt;$BE22)*$I$9:$AC$28)+SUM(($BF$8:$BZ$8&lt;BM$8)*($BE$9:$BE$28&gt;$BE22)*$I$9:$AC$28)))*(INDEX($I$9:$AC$28,$BE22,BM$8)&gt;0)</f>
        <v>0</v>
      </c>
      <c r="BN22" s="243">
        <f t="array" ref="BN22">(SUM(($BF$8:$BZ$8&lt;BN$8)*($BE$9:$BE$28&lt;$BE22)*$I$9:$AC$28)+SUM(($BF$8:$BZ$8&gt;BN$8)*($BE$9:$BE$28&gt;$BE22)*$I$9:$AC$28)-(SUM(($BF$8:$BZ$8&gt;BN$8)*($BE$9:$BE$28&lt;$BE22)*$I$9:$AC$28)+SUM(($BF$8:$BZ$8&lt;BN$8)*($BE$9:$BE$28&gt;$BE22)*$I$9:$AC$28)))*(INDEX($I$9:$AC$28,$BE22,BN$8)&gt;0)</f>
        <v>0</v>
      </c>
      <c r="BO22" s="243">
        <f t="array" ref="BO22">(SUM(($BF$8:$BZ$8&lt;BO$8)*($BE$9:$BE$28&lt;$BE22)*$I$9:$AC$28)+SUM(($BF$8:$BZ$8&gt;BO$8)*($BE$9:$BE$28&gt;$BE22)*$I$9:$AC$28)-(SUM(($BF$8:$BZ$8&gt;BO$8)*($BE$9:$BE$28&lt;$BE22)*$I$9:$AC$28)+SUM(($BF$8:$BZ$8&lt;BO$8)*($BE$9:$BE$28&gt;$BE22)*$I$9:$AC$28)))*(INDEX($I$9:$AC$28,$BE22,BO$8)&gt;0)</f>
        <v>0</v>
      </c>
      <c r="BP22" s="243">
        <f t="array" ref="BP22">(SUM(($BF$8:$BZ$8&lt;BP$8)*($BE$9:$BE$28&lt;$BE22)*$I$9:$AC$28)+SUM(($BF$8:$BZ$8&gt;BP$8)*($BE$9:$BE$28&gt;$BE22)*$I$9:$AC$28)-(SUM(($BF$8:$BZ$8&gt;BP$8)*($BE$9:$BE$28&lt;$BE22)*$I$9:$AC$28)+SUM(($BF$8:$BZ$8&lt;BP$8)*($BE$9:$BE$28&gt;$BE22)*$I$9:$AC$28)))*(INDEX($I$9:$AC$28,$BE22,BP$8)&gt;0)</f>
        <v>0</v>
      </c>
      <c r="BQ22" s="243">
        <f t="array" ref="BQ22">(SUM(($BF$8:$BZ$8&lt;BQ$8)*($BE$9:$BE$28&lt;$BE22)*$I$9:$AC$28)+SUM(($BF$8:$BZ$8&gt;BQ$8)*($BE$9:$BE$28&gt;$BE22)*$I$9:$AC$28)-(SUM(($BF$8:$BZ$8&gt;BQ$8)*($BE$9:$BE$28&lt;$BE22)*$I$9:$AC$28)+SUM(($BF$8:$BZ$8&lt;BQ$8)*($BE$9:$BE$28&gt;$BE22)*$I$9:$AC$28)))*(INDEX($I$9:$AC$28,$BE22,BQ$8)&gt;0)</f>
        <v>0</v>
      </c>
      <c r="BR22" s="243">
        <f t="array" ref="BR22">(SUM(($BF$8:$BZ$8&lt;BR$8)*($BE$9:$BE$28&lt;$BE22)*$I$9:$AC$28)+SUM(($BF$8:$BZ$8&gt;BR$8)*($BE$9:$BE$28&gt;$BE22)*$I$9:$AC$28)-(SUM(($BF$8:$BZ$8&gt;BR$8)*($BE$9:$BE$28&lt;$BE22)*$I$9:$AC$28)+SUM(($BF$8:$BZ$8&lt;BR$8)*($BE$9:$BE$28&gt;$BE22)*$I$9:$AC$28)))*(INDEX($I$9:$AC$28,$BE22,BR$8)&gt;0)</f>
        <v>0</v>
      </c>
      <c r="BS22" s="243">
        <f t="array" ref="BS22">(SUM(($BF$8:$BZ$8&lt;BS$8)*($BE$9:$BE$28&lt;$BE22)*$I$9:$AC$28)+SUM(($BF$8:$BZ$8&gt;BS$8)*($BE$9:$BE$28&gt;$BE22)*$I$9:$AC$28)-(SUM(($BF$8:$BZ$8&gt;BS$8)*($BE$9:$BE$28&lt;$BE22)*$I$9:$AC$28)+SUM(($BF$8:$BZ$8&lt;BS$8)*($BE$9:$BE$28&gt;$BE22)*$I$9:$AC$28)))*(INDEX($I$9:$AC$28,$BE22,BS$8)&gt;0)</f>
        <v>0</v>
      </c>
      <c r="BT22" s="243">
        <f t="array" ref="BT22">(SUM(($BF$8:$BZ$8&lt;BT$8)*($BE$9:$BE$28&lt;$BE22)*$I$9:$AC$28)+SUM(($BF$8:$BZ$8&gt;BT$8)*($BE$9:$BE$28&gt;$BE22)*$I$9:$AC$28)-(SUM(($BF$8:$BZ$8&gt;BT$8)*($BE$9:$BE$28&lt;$BE22)*$I$9:$AC$28)+SUM(($BF$8:$BZ$8&lt;BT$8)*($BE$9:$BE$28&gt;$BE22)*$I$9:$AC$28)))*(INDEX($I$9:$AC$28,$BE22,BT$8)&gt;0)</f>
        <v>0</v>
      </c>
      <c r="BU22" s="243">
        <f t="array" ref="BU22">(SUM(($BF$8:$BZ$8&lt;BU$8)*($BE$9:$BE$28&lt;$BE22)*$I$9:$AC$28)+SUM(($BF$8:$BZ$8&gt;BU$8)*($BE$9:$BE$28&gt;$BE22)*$I$9:$AC$28)-(SUM(($BF$8:$BZ$8&gt;BU$8)*($BE$9:$BE$28&lt;$BE22)*$I$9:$AC$28)+SUM(($BF$8:$BZ$8&lt;BU$8)*($BE$9:$BE$28&gt;$BE22)*$I$9:$AC$28)))*(INDEX($I$9:$AC$28,$BE22,BU$8)&gt;0)</f>
        <v>0</v>
      </c>
      <c r="BV22" s="243">
        <f t="array" ref="BV22">(SUM(($BF$8:$BZ$8&lt;BV$8)*($BE$9:$BE$28&lt;$BE22)*$I$9:$AC$28)+SUM(($BF$8:$BZ$8&gt;BV$8)*($BE$9:$BE$28&gt;$BE22)*$I$9:$AC$28)-(SUM(($BF$8:$BZ$8&gt;BV$8)*($BE$9:$BE$28&lt;$BE22)*$I$9:$AC$28)+SUM(($BF$8:$BZ$8&lt;BV$8)*($BE$9:$BE$28&gt;$BE22)*$I$9:$AC$28)))*(INDEX($I$9:$AC$28,$BE22,BV$8)&gt;0)</f>
        <v>0</v>
      </c>
      <c r="BW22" s="243">
        <f t="array" ref="BW22">(SUM(($BF$8:$BZ$8&lt;BW$8)*($BE$9:$BE$28&lt;$BE22)*$I$9:$AC$28)+SUM(($BF$8:$BZ$8&gt;BW$8)*($BE$9:$BE$28&gt;$BE22)*$I$9:$AC$28)-(SUM(($BF$8:$BZ$8&gt;BW$8)*($BE$9:$BE$28&lt;$BE22)*$I$9:$AC$28)+SUM(($BF$8:$BZ$8&lt;BW$8)*($BE$9:$BE$28&gt;$BE22)*$I$9:$AC$28)))*(INDEX($I$9:$AC$28,$BE22,BW$8)&gt;0)</f>
        <v>0</v>
      </c>
      <c r="BX22" s="243">
        <f t="array" ref="BX22">(SUM(($BF$8:$BZ$8&lt;BX$8)*($BE$9:$BE$28&lt;$BE22)*$I$9:$AC$28)+SUM(($BF$8:$BZ$8&gt;BX$8)*($BE$9:$BE$28&gt;$BE22)*$I$9:$AC$28)-(SUM(($BF$8:$BZ$8&gt;BX$8)*($BE$9:$BE$28&lt;$BE22)*$I$9:$AC$28)+SUM(($BF$8:$BZ$8&lt;BX$8)*($BE$9:$BE$28&gt;$BE22)*$I$9:$AC$28)))*(INDEX($I$9:$AC$28,$BE22,BX$8)&gt;0)</f>
        <v>0</v>
      </c>
      <c r="BY22" s="243">
        <f t="array" ref="BY22">(SUM(($BF$8:$BZ$8&lt;BY$8)*($BE$9:$BE$28&lt;$BE22)*$I$9:$AC$28)+SUM(($BF$8:$BZ$8&gt;BY$8)*($BE$9:$BE$28&gt;$BE22)*$I$9:$AC$28)-(SUM(($BF$8:$BZ$8&gt;BY$8)*($BE$9:$BE$28&lt;$BE22)*$I$9:$AC$28)+SUM(($BF$8:$BZ$8&lt;BY$8)*($BE$9:$BE$28&gt;$BE22)*$I$9:$AC$28)))*(INDEX($I$9:$AC$28,$BE22,BY$8)&gt;0)</f>
        <v>0</v>
      </c>
      <c r="BZ22" s="244">
        <f t="array" ref="BZ22">(SUM(($BF$8:$BZ$8&lt;BZ$8)*($BE$9:$BE$28&lt;$BE22)*$I$9:$AC$28)+SUM(($BF$8:$BZ$8&gt;BZ$8)*($BE$9:$BE$28&gt;$BE22)*$I$9:$AC$28)-(SUM(($BF$8:$BZ$8&gt;BZ$8)*($BE$9:$BE$28&lt;$BE22)*$I$9:$AC$28)+SUM(($BF$8:$BZ$8&lt;BZ$8)*($BE$9:$BE$28&gt;$BE22)*$I$9:$AC$28)))*(INDEX($I$9:$AC$28,$BE22,BZ$8)&gt;0)</f>
        <v>0</v>
      </c>
      <c r="CA22" s="45"/>
      <c r="CE22" s="4">
        <v>0</v>
      </c>
      <c r="CF22" s="4">
        <v>0</v>
      </c>
      <c r="CG22" s="4" t="b">
        <v>0</v>
      </c>
      <c r="CH22" s="4">
        <v>0</v>
      </c>
    </row>
    <row r="23" spans="1:86" x14ac:dyDescent="0.35">
      <c r="A23" s="45"/>
      <c r="B23" s="119" t="s">
        <v>53</v>
      </c>
      <c r="C23" s="424" t="s">
        <v>248</v>
      </c>
      <c r="D23" s="95"/>
      <c r="E23" s="96"/>
      <c r="F23" s="270"/>
      <c r="G23" s="266"/>
      <c r="H23" s="267"/>
      <c r="I23" s="99"/>
      <c r="J23" s="96"/>
      <c r="K23" s="96"/>
      <c r="L23" s="96"/>
      <c r="M23" s="96"/>
      <c r="N23" s="96"/>
      <c r="O23" s="96"/>
      <c r="P23" s="96"/>
      <c r="Q23" s="96"/>
      <c r="R23" s="96"/>
      <c r="S23" s="96"/>
      <c r="T23" s="96"/>
      <c r="U23" s="96"/>
      <c r="V23" s="96"/>
      <c r="W23" s="96"/>
      <c r="X23" s="96"/>
      <c r="Y23" s="96"/>
      <c r="Z23" s="96"/>
      <c r="AA23" s="96"/>
      <c r="AB23" s="96"/>
      <c r="AC23" s="100"/>
      <c r="AD23" s="268"/>
      <c r="AE23" s="266"/>
      <c r="AF23" s="267"/>
      <c r="AG23" s="45"/>
      <c r="AH23" s="259" t="str">
        <f>IF(AND(COUNTA(D23:AF23)=0,D24=""),"",IF(AND('2.1'!E23=0,COUNTA(H23:AF23)&gt;0),"NOT OK",IF(AND(COUNTA(D23:AF23)=0,D24&lt;&gt;""),"NOT OK",IF(OR(AJ23="NOT OK",AK23="NOT OK",AL23="NOT OK",AT23="NOT OK"),"NOT OK",IF(OR(AO23="WARNING",AR23="WARNING"),"WARNING","OK")))))</f>
        <v/>
      </c>
      <c r="AI23" s="276" t="str">
        <f>IF(AND(COUNTA(D23:AF23)=0,'2.1'!D24=""),"",IF(AND(E23=0,COUNTA(H23:AF23)&gt;0),"As number of facilities is zero, please leave columns H to AF empty.",IF(AND(COUNTA(D23:AF23)=0,D24&lt;&gt;""),"Empty lines between grades not allowed.",IF(AND(D23&lt;&gt;"",OR(E23="",G23="")),"Information is missing for this facility grade/pool. Please report number of facilities and average LGD estimate.",IF(AJ23="NOT OK","Row incomplete. Check if zeros values are missing in the row.",IF(AK23="NOT OK","The number of facilities in buckets does not sum up to the total number.",IF(AL23="NOT OK","Please order the pools in ascending order of the weighted average of estimated LGD.",IF(AT23="NOT OK","The p-value of t-Test differs from ECB calculation.",IF(AO23="WARNING","The average LGD^R seems implausible with the given LGD realisation.",IF(AR23="WARNING","The variance of the LGD seems implausible with the given realisation.",""))))))))))</f>
        <v/>
      </c>
      <c r="AJ23" s="262" t="str">
        <f>IF(AND(COUNTA(D23:AF23)=0,'2.1'!D24=""),"",IF(AND(D23&lt;&gt;"",OR(E23="",G23="")),"NOT OK",IF(AND(D23&lt;&gt;"",E23&lt;&gt;"",E23=0,G23&lt;&gt;""),"OK",IF(COUNTA(D23:AF23)=COUNTA($D$9:$D$28)+7+1,"OK",IF(AND(E23=1,COUNTA(D23:AF23)=COUNTA($D$9:$D$28)+4+1),"OK","NOT OK")))))</f>
        <v/>
      </c>
      <c r="AK23" s="262" t="str">
        <f>IF(OR(AND(D23&lt;&gt;"",'2.1'!E23 =0),COUNTA(D23:AF23)=0),"",IF(E23=SUM(I23:AC23),"OK","NOT OK"))</f>
        <v/>
      </c>
      <c r="AL23" s="507" t="str">
        <f>IF('2.1'!G23="","",IF(G23&lt;G22,"NOT OK", "OK"))</f>
        <v/>
      </c>
      <c r="AM23" s="516" t="str">
        <f t="array" ref="AM23">IFERROR(SUM(I23:AC23*TRANSPOSE($AU$8:$AU$28))/SUM(I23:AC23),"")</f>
        <v/>
      </c>
      <c r="AN23" s="271" t="str">
        <f t="array" ref="AN23">IFERROR(SUM(I23:AC23*TRANSPOSE($AV$8:$AV$28))/SUM(I23:AC23),"")</f>
        <v/>
      </c>
      <c r="AO23" s="275" t="str">
        <f>IF(OR(AND(D23&lt;&gt;"",'2.1'!E23 =0),COUNTA(D23:AF23)=0),"",IFERROR(IF(AND(H23&gt;=AM23,H23&lt;=AN23),"OK","WARNING"),""))</f>
        <v/>
      </c>
      <c r="AP23" s="516" t="str">
        <f>IF(COUNTA(H23:AF23)=0,"",IFERROR('2.1'!BG52,""))</f>
        <v/>
      </c>
      <c r="AQ23" s="271" t="str">
        <f>IF(COUNTA(H23:AF23)=0,"",IFERROR('2.1'!BF52,""))</f>
        <v/>
      </c>
      <c r="AR23" s="275" t="str">
        <f>IF(OR(AND(D23&lt;&gt;"",E23 =0),COUNTA(D23:AF23)=0),"",IFERROR(IF(AND('2.1'!AD23&gt;=AP23,AD23&lt;=AQ23),"OK","WARNING"),""))</f>
        <v/>
      </c>
      <c r="AS23" s="510" t="str">
        <f>IFERROR(IF(COUNTA(D23:AF23)=0,"",1-_xlfn.T.DIST(SQRT(E23)*(H23-G23)/SQRT('2.1'!AD23),E23-1,TRUE)),"")</f>
        <v/>
      </c>
      <c r="AT23" s="275" t="str">
        <f>IFERROR(IF(COUNTA(D23:AF23)=0,"",IF(ABS(AF23-'2.1'!AS23)&gt;0.00001,"NOT OK","OK")),"")</f>
        <v/>
      </c>
      <c r="AU23" s="220">
        <f>'2.1'!G23</f>
        <v>0</v>
      </c>
      <c r="AV23" s="218">
        <f>IF('2.1'!G24&lt;&gt;"",G24,IF(G23=0,0,3))</f>
        <v>0</v>
      </c>
      <c r="AW23" s="221">
        <f>IFERROR('2.1'!AV23/2+AU23/2,"")</f>
        <v>0</v>
      </c>
      <c r="AX23" s="45"/>
      <c r="AY23" s="45"/>
      <c r="AZ23" s="45"/>
      <c r="BA23" s="45"/>
      <c r="BB23" s="45"/>
      <c r="BC23" s="45"/>
      <c r="BD23" s="241">
        <f>SUM('2.1'!I23:AC23)</f>
        <v>0</v>
      </c>
      <c r="BE23" s="242">
        <v>15</v>
      </c>
      <c r="BF23" s="243">
        <f t="array" ref="BF23">(SUM(($BF$8:$BZ$8&lt;BF$8)*($BE$9:$BE$28&lt;$BE23)*$I$9:$AC$28)+SUM(($BF$8:$BZ$8&gt;BF$8)*($BE$9:$BE$28&gt;$BE23)*$I$9:$AC$28)-(SUM(($BF$8:$BZ$8&gt;BF$8)*($BE$9:$BE$28&lt;$BE23)*$I$9:$AC$28)+SUM(($BF$8:$BZ$8&lt;BF$8)*($BE$9:$BE$28&gt;$BE23)*$I$9:$AC$28)))*(INDEX($I$9:$AC$28,$BE23,BF$8)&gt;0)</f>
        <v>0</v>
      </c>
      <c r="BG23" s="243">
        <f t="array" ref="BG23">(SUM(($BF$8:$BZ$8&lt;BG$8)*($BE$9:$BE$28&lt;$BE23)*$I$9:$AC$28)+SUM(($BF$8:$BZ$8&gt;BG$8)*($BE$9:$BE$28&gt;$BE23)*$I$9:$AC$28)-(SUM(($BF$8:$BZ$8&gt;BG$8)*($BE$9:$BE$28&lt;$BE23)*$I$9:$AC$28)+SUM(($BF$8:$BZ$8&lt;BG$8)*($BE$9:$BE$28&gt;$BE23)*$I$9:$AC$28)))*(INDEX($I$9:$AC$28,$BE23,BG$8)&gt;0)</f>
        <v>0</v>
      </c>
      <c r="BH23" s="243">
        <f t="array" ref="BH23">(SUM(($BF$8:$BZ$8&lt;BH$8)*($BE$9:$BE$28&lt;$BE23)*$I$9:$AC$28)+SUM(($BF$8:$BZ$8&gt;BH$8)*($BE$9:$BE$28&gt;$BE23)*$I$9:$AC$28)-(SUM(($BF$8:$BZ$8&gt;BH$8)*($BE$9:$BE$28&lt;$BE23)*$I$9:$AC$28)+SUM(($BF$8:$BZ$8&lt;BH$8)*($BE$9:$BE$28&gt;$BE23)*$I$9:$AC$28)))*(INDEX($I$9:$AC$28,$BE23,BH$8)&gt;0)</f>
        <v>0</v>
      </c>
      <c r="BI23" s="243">
        <f t="array" ref="BI23">(SUM(($BF$8:$BZ$8&lt;BI$8)*($BE$9:$BE$28&lt;$BE23)*$I$9:$AC$28)+SUM(($BF$8:$BZ$8&gt;BI$8)*($BE$9:$BE$28&gt;$BE23)*$I$9:$AC$28)-(SUM(($BF$8:$BZ$8&gt;BI$8)*($BE$9:$BE$28&lt;$BE23)*$I$9:$AC$28)+SUM(($BF$8:$BZ$8&lt;BI$8)*($BE$9:$BE$28&gt;$BE23)*$I$9:$AC$28)))*(INDEX($I$9:$AC$28,$BE23,BI$8)&gt;0)</f>
        <v>0</v>
      </c>
      <c r="BJ23" s="243">
        <f t="array" ref="BJ23">(SUM(($BF$8:$BZ$8&lt;BJ$8)*($BE$9:$BE$28&lt;$BE23)*$I$9:$AC$28)+SUM(($BF$8:$BZ$8&gt;BJ$8)*($BE$9:$BE$28&gt;$BE23)*$I$9:$AC$28)-(SUM(($BF$8:$BZ$8&gt;BJ$8)*($BE$9:$BE$28&lt;$BE23)*$I$9:$AC$28)+SUM(($BF$8:$BZ$8&lt;BJ$8)*($BE$9:$BE$28&gt;$BE23)*$I$9:$AC$28)))*(INDEX($I$9:$AC$28,$BE23,BJ$8)&gt;0)</f>
        <v>0</v>
      </c>
      <c r="BK23" s="243">
        <f t="array" ref="BK23">(SUM(($BF$8:$BZ$8&lt;BK$8)*($BE$9:$BE$28&lt;$BE23)*$I$9:$AC$28)+SUM(($BF$8:$BZ$8&gt;BK$8)*($BE$9:$BE$28&gt;$BE23)*$I$9:$AC$28)-(SUM(($BF$8:$BZ$8&gt;BK$8)*($BE$9:$BE$28&lt;$BE23)*$I$9:$AC$28)+SUM(($BF$8:$BZ$8&lt;BK$8)*($BE$9:$BE$28&gt;$BE23)*$I$9:$AC$28)))*(INDEX($I$9:$AC$28,$BE23,BK$8)&gt;0)</f>
        <v>0</v>
      </c>
      <c r="BL23" s="243">
        <f t="array" ref="BL23">(SUM(($BF$8:$BZ$8&lt;BL$8)*($BE$9:$BE$28&lt;$BE23)*$I$9:$AC$28)+SUM(($BF$8:$BZ$8&gt;BL$8)*($BE$9:$BE$28&gt;$BE23)*$I$9:$AC$28)-(SUM(($BF$8:$BZ$8&gt;BL$8)*($BE$9:$BE$28&lt;$BE23)*$I$9:$AC$28)+SUM(($BF$8:$BZ$8&lt;BL$8)*($BE$9:$BE$28&gt;$BE23)*$I$9:$AC$28)))*(INDEX($I$9:$AC$28,$BE23,BL$8)&gt;0)</f>
        <v>0</v>
      </c>
      <c r="BM23" s="243">
        <f t="array" ref="BM23">(SUM(($BF$8:$BZ$8&lt;BM$8)*($BE$9:$BE$28&lt;$BE23)*$I$9:$AC$28)+SUM(($BF$8:$BZ$8&gt;BM$8)*($BE$9:$BE$28&gt;$BE23)*$I$9:$AC$28)-(SUM(($BF$8:$BZ$8&gt;BM$8)*($BE$9:$BE$28&lt;$BE23)*$I$9:$AC$28)+SUM(($BF$8:$BZ$8&lt;BM$8)*($BE$9:$BE$28&gt;$BE23)*$I$9:$AC$28)))*(INDEX($I$9:$AC$28,$BE23,BM$8)&gt;0)</f>
        <v>0</v>
      </c>
      <c r="BN23" s="243">
        <f t="array" ref="BN23">(SUM(($BF$8:$BZ$8&lt;BN$8)*($BE$9:$BE$28&lt;$BE23)*$I$9:$AC$28)+SUM(($BF$8:$BZ$8&gt;BN$8)*($BE$9:$BE$28&gt;$BE23)*$I$9:$AC$28)-(SUM(($BF$8:$BZ$8&gt;BN$8)*($BE$9:$BE$28&lt;$BE23)*$I$9:$AC$28)+SUM(($BF$8:$BZ$8&lt;BN$8)*($BE$9:$BE$28&gt;$BE23)*$I$9:$AC$28)))*(INDEX($I$9:$AC$28,$BE23,BN$8)&gt;0)</f>
        <v>0</v>
      </c>
      <c r="BO23" s="243">
        <f t="array" ref="BO23">(SUM(($BF$8:$BZ$8&lt;BO$8)*($BE$9:$BE$28&lt;$BE23)*$I$9:$AC$28)+SUM(($BF$8:$BZ$8&gt;BO$8)*($BE$9:$BE$28&gt;$BE23)*$I$9:$AC$28)-(SUM(($BF$8:$BZ$8&gt;BO$8)*($BE$9:$BE$28&lt;$BE23)*$I$9:$AC$28)+SUM(($BF$8:$BZ$8&lt;BO$8)*($BE$9:$BE$28&gt;$BE23)*$I$9:$AC$28)))*(INDEX($I$9:$AC$28,$BE23,BO$8)&gt;0)</f>
        <v>0</v>
      </c>
      <c r="BP23" s="243">
        <f t="array" ref="BP23">(SUM(($BF$8:$BZ$8&lt;BP$8)*($BE$9:$BE$28&lt;$BE23)*$I$9:$AC$28)+SUM(($BF$8:$BZ$8&gt;BP$8)*($BE$9:$BE$28&gt;$BE23)*$I$9:$AC$28)-(SUM(($BF$8:$BZ$8&gt;BP$8)*($BE$9:$BE$28&lt;$BE23)*$I$9:$AC$28)+SUM(($BF$8:$BZ$8&lt;BP$8)*($BE$9:$BE$28&gt;$BE23)*$I$9:$AC$28)))*(INDEX($I$9:$AC$28,$BE23,BP$8)&gt;0)</f>
        <v>0</v>
      </c>
      <c r="BQ23" s="243">
        <f t="array" ref="BQ23">(SUM(($BF$8:$BZ$8&lt;BQ$8)*($BE$9:$BE$28&lt;$BE23)*$I$9:$AC$28)+SUM(($BF$8:$BZ$8&gt;BQ$8)*($BE$9:$BE$28&gt;$BE23)*$I$9:$AC$28)-(SUM(($BF$8:$BZ$8&gt;BQ$8)*($BE$9:$BE$28&lt;$BE23)*$I$9:$AC$28)+SUM(($BF$8:$BZ$8&lt;BQ$8)*($BE$9:$BE$28&gt;$BE23)*$I$9:$AC$28)))*(INDEX($I$9:$AC$28,$BE23,BQ$8)&gt;0)</f>
        <v>0</v>
      </c>
      <c r="BR23" s="243">
        <f t="array" ref="BR23">(SUM(($BF$8:$BZ$8&lt;BR$8)*($BE$9:$BE$28&lt;$BE23)*$I$9:$AC$28)+SUM(($BF$8:$BZ$8&gt;BR$8)*($BE$9:$BE$28&gt;$BE23)*$I$9:$AC$28)-(SUM(($BF$8:$BZ$8&gt;BR$8)*($BE$9:$BE$28&lt;$BE23)*$I$9:$AC$28)+SUM(($BF$8:$BZ$8&lt;BR$8)*($BE$9:$BE$28&gt;$BE23)*$I$9:$AC$28)))*(INDEX($I$9:$AC$28,$BE23,BR$8)&gt;0)</f>
        <v>0</v>
      </c>
      <c r="BS23" s="243">
        <f t="array" ref="BS23">(SUM(($BF$8:$BZ$8&lt;BS$8)*($BE$9:$BE$28&lt;$BE23)*$I$9:$AC$28)+SUM(($BF$8:$BZ$8&gt;BS$8)*($BE$9:$BE$28&gt;$BE23)*$I$9:$AC$28)-(SUM(($BF$8:$BZ$8&gt;BS$8)*($BE$9:$BE$28&lt;$BE23)*$I$9:$AC$28)+SUM(($BF$8:$BZ$8&lt;BS$8)*($BE$9:$BE$28&gt;$BE23)*$I$9:$AC$28)))*(INDEX($I$9:$AC$28,$BE23,BS$8)&gt;0)</f>
        <v>0</v>
      </c>
      <c r="BT23" s="243">
        <f t="array" ref="BT23">(SUM(($BF$8:$BZ$8&lt;BT$8)*($BE$9:$BE$28&lt;$BE23)*$I$9:$AC$28)+SUM(($BF$8:$BZ$8&gt;BT$8)*($BE$9:$BE$28&gt;$BE23)*$I$9:$AC$28)-(SUM(($BF$8:$BZ$8&gt;BT$8)*($BE$9:$BE$28&lt;$BE23)*$I$9:$AC$28)+SUM(($BF$8:$BZ$8&lt;BT$8)*($BE$9:$BE$28&gt;$BE23)*$I$9:$AC$28)))*(INDEX($I$9:$AC$28,$BE23,BT$8)&gt;0)</f>
        <v>0</v>
      </c>
      <c r="BU23" s="243">
        <f t="array" ref="BU23">(SUM(($BF$8:$BZ$8&lt;BU$8)*($BE$9:$BE$28&lt;$BE23)*$I$9:$AC$28)+SUM(($BF$8:$BZ$8&gt;BU$8)*($BE$9:$BE$28&gt;$BE23)*$I$9:$AC$28)-(SUM(($BF$8:$BZ$8&gt;BU$8)*($BE$9:$BE$28&lt;$BE23)*$I$9:$AC$28)+SUM(($BF$8:$BZ$8&lt;BU$8)*($BE$9:$BE$28&gt;$BE23)*$I$9:$AC$28)))*(INDEX($I$9:$AC$28,$BE23,BU$8)&gt;0)</f>
        <v>0</v>
      </c>
      <c r="BV23" s="243">
        <f t="array" ref="BV23">(SUM(($BF$8:$BZ$8&lt;BV$8)*($BE$9:$BE$28&lt;$BE23)*$I$9:$AC$28)+SUM(($BF$8:$BZ$8&gt;BV$8)*($BE$9:$BE$28&gt;$BE23)*$I$9:$AC$28)-(SUM(($BF$8:$BZ$8&gt;BV$8)*($BE$9:$BE$28&lt;$BE23)*$I$9:$AC$28)+SUM(($BF$8:$BZ$8&lt;BV$8)*($BE$9:$BE$28&gt;$BE23)*$I$9:$AC$28)))*(INDEX($I$9:$AC$28,$BE23,BV$8)&gt;0)</f>
        <v>0</v>
      </c>
      <c r="BW23" s="243">
        <f t="array" ref="BW23">(SUM(($BF$8:$BZ$8&lt;BW$8)*($BE$9:$BE$28&lt;$BE23)*$I$9:$AC$28)+SUM(($BF$8:$BZ$8&gt;BW$8)*($BE$9:$BE$28&gt;$BE23)*$I$9:$AC$28)-(SUM(($BF$8:$BZ$8&gt;BW$8)*($BE$9:$BE$28&lt;$BE23)*$I$9:$AC$28)+SUM(($BF$8:$BZ$8&lt;BW$8)*($BE$9:$BE$28&gt;$BE23)*$I$9:$AC$28)))*(INDEX($I$9:$AC$28,$BE23,BW$8)&gt;0)</f>
        <v>0</v>
      </c>
      <c r="BX23" s="243">
        <f t="array" ref="BX23">(SUM(($BF$8:$BZ$8&lt;BX$8)*($BE$9:$BE$28&lt;$BE23)*$I$9:$AC$28)+SUM(($BF$8:$BZ$8&gt;BX$8)*($BE$9:$BE$28&gt;$BE23)*$I$9:$AC$28)-(SUM(($BF$8:$BZ$8&gt;BX$8)*($BE$9:$BE$28&lt;$BE23)*$I$9:$AC$28)+SUM(($BF$8:$BZ$8&lt;BX$8)*($BE$9:$BE$28&gt;$BE23)*$I$9:$AC$28)))*(INDEX($I$9:$AC$28,$BE23,BX$8)&gt;0)</f>
        <v>0</v>
      </c>
      <c r="BY23" s="243">
        <f t="array" ref="BY23">(SUM(($BF$8:$BZ$8&lt;BY$8)*($BE$9:$BE$28&lt;$BE23)*$I$9:$AC$28)+SUM(($BF$8:$BZ$8&gt;BY$8)*($BE$9:$BE$28&gt;$BE23)*$I$9:$AC$28)-(SUM(($BF$8:$BZ$8&gt;BY$8)*($BE$9:$BE$28&lt;$BE23)*$I$9:$AC$28)+SUM(($BF$8:$BZ$8&lt;BY$8)*($BE$9:$BE$28&gt;$BE23)*$I$9:$AC$28)))*(INDEX($I$9:$AC$28,$BE23,BY$8)&gt;0)</f>
        <v>0</v>
      </c>
      <c r="BZ23" s="244">
        <f t="array" ref="BZ23">(SUM(($BF$8:$BZ$8&lt;BZ$8)*($BE$9:$BE$28&lt;$BE23)*$I$9:$AC$28)+SUM(($BF$8:$BZ$8&gt;BZ$8)*($BE$9:$BE$28&gt;$BE23)*$I$9:$AC$28)-(SUM(($BF$8:$BZ$8&gt;BZ$8)*($BE$9:$BE$28&lt;$BE23)*$I$9:$AC$28)+SUM(($BF$8:$BZ$8&lt;BZ$8)*($BE$9:$BE$28&gt;$BE23)*$I$9:$AC$28)))*(INDEX($I$9:$AC$28,$BE23,BZ$8)&gt;0)</f>
        <v>0</v>
      </c>
      <c r="CA23" s="45"/>
      <c r="CE23" s="4">
        <v>0</v>
      </c>
      <c r="CF23" s="4">
        <v>0</v>
      </c>
      <c r="CG23" s="4" t="b">
        <v>0</v>
      </c>
      <c r="CH23" s="4">
        <v>0</v>
      </c>
    </row>
    <row r="24" spans="1:86" x14ac:dyDescent="0.35">
      <c r="A24" s="45"/>
      <c r="B24" s="119" t="s">
        <v>54</v>
      </c>
      <c r="C24" s="424" t="s">
        <v>249</v>
      </c>
      <c r="D24" s="95"/>
      <c r="E24" s="96"/>
      <c r="F24" s="270"/>
      <c r="G24" s="266"/>
      <c r="H24" s="267"/>
      <c r="I24" s="99"/>
      <c r="J24" s="96"/>
      <c r="K24" s="96"/>
      <c r="L24" s="96"/>
      <c r="M24" s="96"/>
      <c r="N24" s="96"/>
      <c r="O24" s="96"/>
      <c r="P24" s="96"/>
      <c r="Q24" s="96"/>
      <c r="R24" s="96"/>
      <c r="S24" s="96"/>
      <c r="T24" s="96"/>
      <c r="U24" s="96"/>
      <c r="V24" s="96"/>
      <c r="W24" s="96"/>
      <c r="X24" s="96"/>
      <c r="Y24" s="96"/>
      <c r="Z24" s="96"/>
      <c r="AA24" s="96"/>
      <c r="AB24" s="96"/>
      <c r="AC24" s="100"/>
      <c r="AD24" s="268"/>
      <c r="AE24" s="266"/>
      <c r="AF24" s="267"/>
      <c r="AG24" s="45"/>
      <c r="AH24" s="259" t="str">
        <f>IF(AND(COUNTA(D24:AF24)=0,D25=""),"",IF(AND('2.1'!E24=0,COUNTA(H24:AF24)&gt;0),"NOT OK",IF(AND(COUNTA(D24:AF24)=0,D25&lt;&gt;""),"NOT OK",IF(OR(AJ24="NOT OK",AK24="NOT OK",AL24="NOT OK",AT24="NOT OK"),"NOT OK",IF(OR(AO24="WARNING",AR24="WARNING"),"WARNING","OK")))))</f>
        <v/>
      </c>
      <c r="AI24" s="276" t="str">
        <f>IF(AND(COUNTA(D24:AF24)=0,'2.1'!D25=""),"",IF(AND(E24=0,COUNTA(H24:AF24)&gt;0),"As number of facilities is zero, please leave columns H to AF empty.",IF(AND(COUNTA(D24:AF24)=0,D25&lt;&gt;""),"Empty lines between grades not allowed.",IF(AND(D24&lt;&gt;"",OR(E24="",G24="")),"Information is missing for this facility grade/pool. Please report number of facilities and average LGD estimate.",IF(AJ24="NOT OK","Row incomplete. Check if zeros values are missing in the row.",IF(AK24="NOT OK","The number of facilities in buckets does not sum up to the total number.",IF(AL24="NOT OK","Please order the pools in ascending order of the weighted average of estimated LGD.",IF(AT24="NOT OK","The p-value of t-Test differs from ECB calculation.",IF(AO24="WARNING","The average LGD^R seems implausible with the given LGD realisation.",IF(AR24="WARNING","The variance of the LGD seems implausible with the given realisation.",""))))))))))</f>
        <v/>
      </c>
      <c r="AJ24" s="262" t="str">
        <f>IF(AND(COUNTA(D24:AF24)=0,'2.1'!D25=""),"",IF(AND(D24&lt;&gt;"",OR(E24="",G24="")),"NOT OK",IF(AND(D24&lt;&gt;"",E24&lt;&gt;"",E24=0,G24&lt;&gt;""),"OK",IF(COUNTA(D24:AF24)=COUNTA($D$9:$D$28)+7+1,"OK",IF(AND(E24=1,COUNTA(D24:AF24)=COUNTA($D$9:$D$28)+4+1),"OK","NOT OK")))))</f>
        <v/>
      </c>
      <c r="AK24" s="262" t="str">
        <f>IF(OR(AND(D24&lt;&gt;"",'2.1'!E24 =0),COUNTA(D24:AF24)=0),"",IF(E24=SUM(I24:AC24),"OK","NOT OK"))</f>
        <v/>
      </c>
      <c r="AL24" s="507" t="str">
        <f>IF('2.1'!G24="","",IF(G24&lt;G23,"NOT OK", "OK"))</f>
        <v/>
      </c>
      <c r="AM24" s="516" t="str">
        <f t="array" ref="AM24">IFERROR(SUM(I24:AC24*TRANSPOSE($AU$8:$AU$28))/SUM(I24:AC24),"")</f>
        <v/>
      </c>
      <c r="AN24" s="271" t="str">
        <f t="array" ref="AN24">IFERROR(SUM(I24:AC24*TRANSPOSE($AV$8:$AV$28))/SUM(I24:AC24),"")</f>
        <v/>
      </c>
      <c r="AO24" s="275" t="str">
        <f>IF(OR(AND(D24&lt;&gt;"",'2.1'!E24 =0),COUNTA(D24:AF24)=0),"",IFERROR(IF(AND(H24&gt;=AM24,H24&lt;=AN24),"OK","WARNING"),""))</f>
        <v/>
      </c>
      <c r="AP24" s="516" t="str">
        <f>IF(COUNTA(H24:AF24)=0,"",IFERROR('2.1'!BG53,""))</f>
        <v/>
      </c>
      <c r="AQ24" s="271" t="str">
        <f>IF(COUNTA(H24:AF24)=0,"",IFERROR('2.1'!BF53,""))</f>
        <v/>
      </c>
      <c r="AR24" s="275" t="str">
        <f>IF(OR(AND(D24&lt;&gt;"",E24 =0),COUNTA(D24:AF24)=0),"",IFERROR(IF(AND('2.1'!AD24&gt;=AP24,AD24&lt;=AQ24),"OK","WARNING"),""))</f>
        <v/>
      </c>
      <c r="AS24" s="510" t="str">
        <f>IFERROR(IF(COUNTA(D24:AF24)=0,"",1-_xlfn.T.DIST(SQRT(E24)*(H24-G24)/SQRT('2.1'!AD24),E24-1,TRUE)),"")</f>
        <v/>
      </c>
      <c r="AT24" s="275" t="str">
        <f>IFERROR(IF(COUNTA(D24:AF24)=0,"",IF(ABS(AF24-'2.1'!AS24)&gt;0.00001,"NOT OK","OK")),"")</f>
        <v/>
      </c>
      <c r="AU24" s="220">
        <f>'2.1'!G24</f>
        <v>0</v>
      </c>
      <c r="AV24" s="218">
        <f>IF('2.1'!G25&lt;&gt;"",G25,IF(G24=0,0,3))</f>
        <v>0</v>
      </c>
      <c r="AW24" s="221">
        <f>IFERROR('2.1'!AV24/2+AU24/2,"")</f>
        <v>0</v>
      </c>
      <c r="AX24" s="45"/>
      <c r="AY24" s="45"/>
      <c r="AZ24" s="45"/>
      <c r="BA24" s="45"/>
      <c r="BB24" s="45"/>
      <c r="BC24" s="45"/>
      <c r="BD24" s="241">
        <f>SUM('2.1'!I24:AC24)</f>
        <v>0</v>
      </c>
      <c r="BE24" s="242">
        <v>16</v>
      </c>
      <c r="BF24" s="243">
        <f t="array" ref="BF24">(SUM(($BF$8:$BZ$8&lt;BF$8)*($BE$9:$BE$28&lt;$BE24)*$I$9:$AC$28)+SUM(($BF$8:$BZ$8&gt;BF$8)*($BE$9:$BE$28&gt;$BE24)*$I$9:$AC$28)-(SUM(($BF$8:$BZ$8&gt;BF$8)*($BE$9:$BE$28&lt;$BE24)*$I$9:$AC$28)+SUM(($BF$8:$BZ$8&lt;BF$8)*($BE$9:$BE$28&gt;$BE24)*$I$9:$AC$28)))*(INDEX($I$9:$AC$28,$BE24,BF$8)&gt;0)</f>
        <v>0</v>
      </c>
      <c r="BG24" s="243">
        <f t="array" ref="BG24">(SUM(($BF$8:$BZ$8&lt;BG$8)*($BE$9:$BE$28&lt;$BE24)*$I$9:$AC$28)+SUM(($BF$8:$BZ$8&gt;BG$8)*($BE$9:$BE$28&gt;$BE24)*$I$9:$AC$28)-(SUM(($BF$8:$BZ$8&gt;BG$8)*($BE$9:$BE$28&lt;$BE24)*$I$9:$AC$28)+SUM(($BF$8:$BZ$8&lt;BG$8)*($BE$9:$BE$28&gt;$BE24)*$I$9:$AC$28)))*(INDEX($I$9:$AC$28,$BE24,BG$8)&gt;0)</f>
        <v>0</v>
      </c>
      <c r="BH24" s="243">
        <f t="array" ref="BH24">(SUM(($BF$8:$BZ$8&lt;BH$8)*($BE$9:$BE$28&lt;$BE24)*$I$9:$AC$28)+SUM(($BF$8:$BZ$8&gt;BH$8)*($BE$9:$BE$28&gt;$BE24)*$I$9:$AC$28)-(SUM(($BF$8:$BZ$8&gt;BH$8)*($BE$9:$BE$28&lt;$BE24)*$I$9:$AC$28)+SUM(($BF$8:$BZ$8&lt;BH$8)*($BE$9:$BE$28&gt;$BE24)*$I$9:$AC$28)))*(INDEX($I$9:$AC$28,$BE24,BH$8)&gt;0)</f>
        <v>0</v>
      </c>
      <c r="BI24" s="243">
        <f t="array" ref="BI24">(SUM(($BF$8:$BZ$8&lt;BI$8)*($BE$9:$BE$28&lt;$BE24)*$I$9:$AC$28)+SUM(($BF$8:$BZ$8&gt;BI$8)*($BE$9:$BE$28&gt;$BE24)*$I$9:$AC$28)-(SUM(($BF$8:$BZ$8&gt;BI$8)*($BE$9:$BE$28&lt;$BE24)*$I$9:$AC$28)+SUM(($BF$8:$BZ$8&lt;BI$8)*($BE$9:$BE$28&gt;$BE24)*$I$9:$AC$28)))*(INDEX($I$9:$AC$28,$BE24,BI$8)&gt;0)</f>
        <v>0</v>
      </c>
      <c r="BJ24" s="243">
        <f t="array" ref="BJ24">(SUM(($BF$8:$BZ$8&lt;BJ$8)*($BE$9:$BE$28&lt;$BE24)*$I$9:$AC$28)+SUM(($BF$8:$BZ$8&gt;BJ$8)*($BE$9:$BE$28&gt;$BE24)*$I$9:$AC$28)-(SUM(($BF$8:$BZ$8&gt;BJ$8)*($BE$9:$BE$28&lt;$BE24)*$I$9:$AC$28)+SUM(($BF$8:$BZ$8&lt;BJ$8)*($BE$9:$BE$28&gt;$BE24)*$I$9:$AC$28)))*(INDEX($I$9:$AC$28,$BE24,BJ$8)&gt;0)</f>
        <v>0</v>
      </c>
      <c r="BK24" s="243">
        <f t="array" ref="BK24">(SUM(($BF$8:$BZ$8&lt;BK$8)*($BE$9:$BE$28&lt;$BE24)*$I$9:$AC$28)+SUM(($BF$8:$BZ$8&gt;BK$8)*($BE$9:$BE$28&gt;$BE24)*$I$9:$AC$28)-(SUM(($BF$8:$BZ$8&gt;BK$8)*($BE$9:$BE$28&lt;$BE24)*$I$9:$AC$28)+SUM(($BF$8:$BZ$8&lt;BK$8)*($BE$9:$BE$28&gt;$BE24)*$I$9:$AC$28)))*(INDEX($I$9:$AC$28,$BE24,BK$8)&gt;0)</f>
        <v>0</v>
      </c>
      <c r="BL24" s="243">
        <f t="array" ref="BL24">(SUM(($BF$8:$BZ$8&lt;BL$8)*($BE$9:$BE$28&lt;$BE24)*$I$9:$AC$28)+SUM(($BF$8:$BZ$8&gt;BL$8)*($BE$9:$BE$28&gt;$BE24)*$I$9:$AC$28)-(SUM(($BF$8:$BZ$8&gt;BL$8)*($BE$9:$BE$28&lt;$BE24)*$I$9:$AC$28)+SUM(($BF$8:$BZ$8&lt;BL$8)*($BE$9:$BE$28&gt;$BE24)*$I$9:$AC$28)))*(INDEX($I$9:$AC$28,$BE24,BL$8)&gt;0)</f>
        <v>0</v>
      </c>
      <c r="BM24" s="243">
        <f t="array" ref="BM24">(SUM(($BF$8:$BZ$8&lt;BM$8)*($BE$9:$BE$28&lt;$BE24)*$I$9:$AC$28)+SUM(($BF$8:$BZ$8&gt;BM$8)*($BE$9:$BE$28&gt;$BE24)*$I$9:$AC$28)-(SUM(($BF$8:$BZ$8&gt;BM$8)*($BE$9:$BE$28&lt;$BE24)*$I$9:$AC$28)+SUM(($BF$8:$BZ$8&lt;BM$8)*($BE$9:$BE$28&gt;$BE24)*$I$9:$AC$28)))*(INDEX($I$9:$AC$28,$BE24,BM$8)&gt;0)</f>
        <v>0</v>
      </c>
      <c r="BN24" s="243">
        <f t="array" ref="BN24">(SUM(($BF$8:$BZ$8&lt;BN$8)*($BE$9:$BE$28&lt;$BE24)*$I$9:$AC$28)+SUM(($BF$8:$BZ$8&gt;BN$8)*($BE$9:$BE$28&gt;$BE24)*$I$9:$AC$28)-(SUM(($BF$8:$BZ$8&gt;BN$8)*($BE$9:$BE$28&lt;$BE24)*$I$9:$AC$28)+SUM(($BF$8:$BZ$8&lt;BN$8)*($BE$9:$BE$28&gt;$BE24)*$I$9:$AC$28)))*(INDEX($I$9:$AC$28,$BE24,BN$8)&gt;0)</f>
        <v>0</v>
      </c>
      <c r="BO24" s="243">
        <f t="array" ref="BO24">(SUM(($BF$8:$BZ$8&lt;BO$8)*($BE$9:$BE$28&lt;$BE24)*$I$9:$AC$28)+SUM(($BF$8:$BZ$8&gt;BO$8)*($BE$9:$BE$28&gt;$BE24)*$I$9:$AC$28)-(SUM(($BF$8:$BZ$8&gt;BO$8)*($BE$9:$BE$28&lt;$BE24)*$I$9:$AC$28)+SUM(($BF$8:$BZ$8&lt;BO$8)*($BE$9:$BE$28&gt;$BE24)*$I$9:$AC$28)))*(INDEX($I$9:$AC$28,$BE24,BO$8)&gt;0)</f>
        <v>0</v>
      </c>
      <c r="BP24" s="243">
        <f t="array" ref="BP24">(SUM(($BF$8:$BZ$8&lt;BP$8)*($BE$9:$BE$28&lt;$BE24)*$I$9:$AC$28)+SUM(($BF$8:$BZ$8&gt;BP$8)*($BE$9:$BE$28&gt;$BE24)*$I$9:$AC$28)-(SUM(($BF$8:$BZ$8&gt;BP$8)*($BE$9:$BE$28&lt;$BE24)*$I$9:$AC$28)+SUM(($BF$8:$BZ$8&lt;BP$8)*($BE$9:$BE$28&gt;$BE24)*$I$9:$AC$28)))*(INDEX($I$9:$AC$28,$BE24,BP$8)&gt;0)</f>
        <v>0</v>
      </c>
      <c r="BQ24" s="243">
        <f t="array" ref="BQ24">(SUM(($BF$8:$BZ$8&lt;BQ$8)*($BE$9:$BE$28&lt;$BE24)*$I$9:$AC$28)+SUM(($BF$8:$BZ$8&gt;BQ$8)*($BE$9:$BE$28&gt;$BE24)*$I$9:$AC$28)-(SUM(($BF$8:$BZ$8&gt;BQ$8)*($BE$9:$BE$28&lt;$BE24)*$I$9:$AC$28)+SUM(($BF$8:$BZ$8&lt;BQ$8)*($BE$9:$BE$28&gt;$BE24)*$I$9:$AC$28)))*(INDEX($I$9:$AC$28,$BE24,BQ$8)&gt;0)</f>
        <v>0</v>
      </c>
      <c r="BR24" s="243">
        <f t="array" ref="BR24">(SUM(($BF$8:$BZ$8&lt;BR$8)*($BE$9:$BE$28&lt;$BE24)*$I$9:$AC$28)+SUM(($BF$8:$BZ$8&gt;BR$8)*($BE$9:$BE$28&gt;$BE24)*$I$9:$AC$28)-(SUM(($BF$8:$BZ$8&gt;BR$8)*($BE$9:$BE$28&lt;$BE24)*$I$9:$AC$28)+SUM(($BF$8:$BZ$8&lt;BR$8)*($BE$9:$BE$28&gt;$BE24)*$I$9:$AC$28)))*(INDEX($I$9:$AC$28,$BE24,BR$8)&gt;0)</f>
        <v>0</v>
      </c>
      <c r="BS24" s="243">
        <f t="array" ref="BS24">(SUM(($BF$8:$BZ$8&lt;BS$8)*($BE$9:$BE$28&lt;$BE24)*$I$9:$AC$28)+SUM(($BF$8:$BZ$8&gt;BS$8)*($BE$9:$BE$28&gt;$BE24)*$I$9:$AC$28)-(SUM(($BF$8:$BZ$8&gt;BS$8)*($BE$9:$BE$28&lt;$BE24)*$I$9:$AC$28)+SUM(($BF$8:$BZ$8&lt;BS$8)*($BE$9:$BE$28&gt;$BE24)*$I$9:$AC$28)))*(INDEX($I$9:$AC$28,$BE24,BS$8)&gt;0)</f>
        <v>0</v>
      </c>
      <c r="BT24" s="243">
        <f t="array" ref="BT24">(SUM(($BF$8:$BZ$8&lt;BT$8)*($BE$9:$BE$28&lt;$BE24)*$I$9:$AC$28)+SUM(($BF$8:$BZ$8&gt;BT$8)*($BE$9:$BE$28&gt;$BE24)*$I$9:$AC$28)-(SUM(($BF$8:$BZ$8&gt;BT$8)*($BE$9:$BE$28&lt;$BE24)*$I$9:$AC$28)+SUM(($BF$8:$BZ$8&lt;BT$8)*($BE$9:$BE$28&gt;$BE24)*$I$9:$AC$28)))*(INDEX($I$9:$AC$28,$BE24,BT$8)&gt;0)</f>
        <v>0</v>
      </c>
      <c r="BU24" s="243">
        <f t="array" ref="BU24">(SUM(($BF$8:$BZ$8&lt;BU$8)*($BE$9:$BE$28&lt;$BE24)*$I$9:$AC$28)+SUM(($BF$8:$BZ$8&gt;BU$8)*($BE$9:$BE$28&gt;$BE24)*$I$9:$AC$28)-(SUM(($BF$8:$BZ$8&gt;BU$8)*($BE$9:$BE$28&lt;$BE24)*$I$9:$AC$28)+SUM(($BF$8:$BZ$8&lt;BU$8)*($BE$9:$BE$28&gt;$BE24)*$I$9:$AC$28)))*(INDEX($I$9:$AC$28,$BE24,BU$8)&gt;0)</f>
        <v>0</v>
      </c>
      <c r="BV24" s="243">
        <f t="array" ref="BV24">(SUM(($BF$8:$BZ$8&lt;BV$8)*($BE$9:$BE$28&lt;$BE24)*$I$9:$AC$28)+SUM(($BF$8:$BZ$8&gt;BV$8)*($BE$9:$BE$28&gt;$BE24)*$I$9:$AC$28)-(SUM(($BF$8:$BZ$8&gt;BV$8)*($BE$9:$BE$28&lt;$BE24)*$I$9:$AC$28)+SUM(($BF$8:$BZ$8&lt;BV$8)*($BE$9:$BE$28&gt;$BE24)*$I$9:$AC$28)))*(INDEX($I$9:$AC$28,$BE24,BV$8)&gt;0)</f>
        <v>0</v>
      </c>
      <c r="BW24" s="243">
        <f t="array" ref="BW24">(SUM(($BF$8:$BZ$8&lt;BW$8)*($BE$9:$BE$28&lt;$BE24)*$I$9:$AC$28)+SUM(($BF$8:$BZ$8&gt;BW$8)*($BE$9:$BE$28&gt;$BE24)*$I$9:$AC$28)-(SUM(($BF$8:$BZ$8&gt;BW$8)*($BE$9:$BE$28&lt;$BE24)*$I$9:$AC$28)+SUM(($BF$8:$BZ$8&lt;BW$8)*($BE$9:$BE$28&gt;$BE24)*$I$9:$AC$28)))*(INDEX($I$9:$AC$28,$BE24,BW$8)&gt;0)</f>
        <v>0</v>
      </c>
      <c r="BX24" s="243">
        <f t="array" ref="BX24">(SUM(($BF$8:$BZ$8&lt;BX$8)*($BE$9:$BE$28&lt;$BE24)*$I$9:$AC$28)+SUM(($BF$8:$BZ$8&gt;BX$8)*($BE$9:$BE$28&gt;$BE24)*$I$9:$AC$28)-(SUM(($BF$8:$BZ$8&gt;BX$8)*($BE$9:$BE$28&lt;$BE24)*$I$9:$AC$28)+SUM(($BF$8:$BZ$8&lt;BX$8)*($BE$9:$BE$28&gt;$BE24)*$I$9:$AC$28)))*(INDEX($I$9:$AC$28,$BE24,BX$8)&gt;0)</f>
        <v>0</v>
      </c>
      <c r="BY24" s="243">
        <f t="array" ref="BY24">(SUM(($BF$8:$BZ$8&lt;BY$8)*($BE$9:$BE$28&lt;$BE24)*$I$9:$AC$28)+SUM(($BF$8:$BZ$8&gt;BY$8)*($BE$9:$BE$28&gt;$BE24)*$I$9:$AC$28)-(SUM(($BF$8:$BZ$8&gt;BY$8)*($BE$9:$BE$28&lt;$BE24)*$I$9:$AC$28)+SUM(($BF$8:$BZ$8&lt;BY$8)*($BE$9:$BE$28&gt;$BE24)*$I$9:$AC$28)))*(INDEX($I$9:$AC$28,$BE24,BY$8)&gt;0)</f>
        <v>0</v>
      </c>
      <c r="BZ24" s="244">
        <f t="array" ref="BZ24">(SUM(($BF$8:$BZ$8&lt;BZ$8)*($BE$9:$BE$28&lt;$BE24)*$I$9:$AC$28)+SUM(($BF$8:$BZ$8&gt;BZ$8)*($BE$9:$BE$28&gt;$BE24)*$I$9:$AC$28)-(SUM(($BF$8:$BZ$8&gt;BZ$8)*($BE$9:$BE$28&lt;$BE24)*$I$9:$AC$28)+SUM(($BF$8:$BZ$8&lt;BZ$8)*($BE$9:$BE$28&gt;$BE24)*$I$9:$AC$28)))*(INDEX($I$9:$AC$28,$BE24,BZ$8)&gt;0)</f>
        <v>0</v>
      </c>
      <c r="CA24" s="45"/>
      <c r="CE24" s="4">
        <v>0</v>
      </c>
      <c r="CF24" s="4">
        <v>0</v>
      </c>
      <c r="CG24" s="4" t="b">
        <v>0</v>
      </c>
      <c r="CH24" s="4">
        <v>0</v>
      </c>
    </row>
    <row r="25" spans="1:86" x14ac:dyDescent="0.35">
      <c r="A25" s="45"/>
      <c r="B25" s="119" t="s">
        <v>55</v>
      </c>
      <c r="C25" s="424" t="s">
        <v>250</v>
      </c>
      <c r="D25" s="95"/>
      <c r="E25" s="96"/>
      <c r="F25" s="270"/>
      <c r="G25" s="266"/>
      <c r="H25" s="267"/>
      <c r="I25" s="99"/>
      <c r="J25" s="96"/>
      <c r="K25" s="96"/>
      <c r="L25" s="96"/>
      <c r="M25" s="96"/>
      <c r="N25" s="96"/>
      <c r="O25" s="96"/>
      <c r="P25" s="96"/>
      <c r="Q25" s="96"/>
      <c r="R25" s="96"/>
      <c r="S25" s="96"/>
      <c r="T25" s="96"/>
      <c r="U25" s="96"/>
      <c r="V25" s="96"/>
      <c r="W25" s="96"/>
      <c r="X25" s="96"/>
      <c r="Y25" s="96"/>
      <c r="Z25" s="96"/>
      <c r="AA25" s="96"/>
      <c r="AB25" s="96"/>
      <c r="AC25" s="100"/>
      <c r="AD25" s="268"/>
      <c r="AE25" s="266"/>
      <c r="AF25" s="267"/>
      <c r="AG25" s="45"/>
      <c r="AH25" s="259" t="str">
        <f>IF(AND(COUNTA(D25:AF25)=0,D26=""),"",IF(AND('2.1'!E25=0,COUNTA(H25:AF25)&gt;0),"NOT OK",IF(AND(COUNTA(D25:AF25)=0,D26&lt;&gt;""),"NOT OK",IF(OR(AJ25="NOT OK",AK25="NOT OK",AL25="NOT OK",AT25="NOT OK"),"NOT OK",IF(OR(AO25="WARNING",AR25="WARNING"),"WARNING","OK")))))</f>
        <v/>
      </c>
      <c r="AI25" s="276" t="str">
        <f>IF(AND(COUNTA(D25:AF25)=0,'2.1'!D26=""),"",IF(AND(E25=0,COUNTA(H25:AF25)&gt;0),"As number of facilities is zero, please leave columns H to AF empty.",IF(AND(COUNTA(D25:AF25)=0,D26&lt;&gt;""),"Empty lines between grades not allowed.",IF(AND(D25&lt;&gt;"",OR(E25="",G25="")),"Information is missing for this facility grade/pool. Please report number of facilities and average LGD estimate.",IF(AJ25="NOT OK","Row incomplete. Check if zeros values are missing in the row.",IF(AK25="NOT OK","The number of facilities in buckets does not sum up to the total number.",IF(AL25="NOT OK","Please order the pools in ascending order of the weighted average of estimated LGD.",IF(AT25="NOT OK","The p-value of t-Test differs from ECB calculation.",IF(AO25="WARNING","The average LGD^R seems implausible with the given LGD realisation.",IF(AR25="WARNING","The variance of the LGD seems implausible with the given realisation.",""))))))))))</f>
        <v/>
      </c>
      <c r="AJ25" s="262" t="str">
        <f>IF(AND(COUNTA(D25:AF25)=0,'2.1'!D26=""),"",IF(AND(D25&lt;&gt;"",OR(E25="",G25="")),"NOT OK",IF(AND(D25&lt;&gt;"",E25&lt;&gt;"",E25=0,G25&lt;&gt;""),"OK",IF(COUNTA(D25:AF25)=COUNTA($D$9:$D$28)+7+1,"OK",IF(AND(E25=1,COUNTA(D25:AF25)=COUNTA($D$9:$D$28)+4+1),"OK","NOT OK")))))</f>
        <v/>
      </c>
      <c r="AK25" s="262" t="str">
        <f>IF(OR(AND(D25&lt;&gt;"",'2.1'!E25 =0),COUNTA(D25:AF25)=0),"",IF(E25=SUM(I25:AC25),"OK","NOT OK"))</f>
        <v/>
      </c>
      <c r="AL25" s="507" t="str">
        <f>IF('2.1'!G25="","",IF(G25&lt;G24,"NOT OK", "OK"))</f>
        <v/>
      </c>
      <c r="AM25" s="516" t="str">
        <f t="array" ref="AM25">IFERROR(SUM(I25:AC25*TRANSPOSE($AU$8:$AU$28))/SUM(I25:AC25),"")</f>
        <v/>
      </c>
      <c r="AN25" s="271" t="str">
        <f t="array" ref="AN25">IFERROR(SUM(I25:AC25*TRANSPOSE($AV$8:$AV$28))/SUM(I25:AC25),"")</f>
        <v/>
      </c>
      <c r="AO25" s="275" t="str">
        <f>IF(OR(AND(D25&lt;&gt;"",'2.1'!E25 =0),COUNTA(D25:AF25)=0),"",IFERROR(IF(AND(H25&gt;=AM25,H25&lt;=AN25),"OK","WARNING"),""))</f>
        <v/>
      </c>
      <c r="AP25" s="516" t="str">
        <f>IF(COUNTA(H25:AF25)=0,"",IFERROR('2.1'!BG54,""))</f>
        <v/>
      </c>
      <c r="AQ25" s="271" t="str">
        <f>IF(COUNTA(H25:AF25)=0,"",IFERROR('2.1'!BF54,""))</f>
        <v/>
      </c>
      <c r="AR25" s="275" t="str">
        <f>IF(OR(AND(D25&lt;&gt;"",E25 =0),COUNTA(D25:AF25)=0),"",IFERROR(IF(AND('2.1'!AD25&gt;=AP25,AD25&lt;=AQ25),"OK","WARNING"),""))</f>
        <v/>
      </c>
      <c r="AS25" s="510" t="str">
        <f>IFERROR(IF(COUNTA(D25:AF25)=0,"",1-_xlfn.T.DIST(SQRT(E25)*(H25-G25)/SQRT('2.1'!AD25),E25-1,TRUE)),"")</f>
        <v/>
      </c>
      <c r="AT25" s="275" t="str">
        <f>IFERROR(IF(COUNTA(D25:AF25)=0,"",IF(ABS(AF25-'2.1'!AS25)&gt;0.00001,"NOT OK","OK")),"")</f>
        <v/>
      </c>
      <c r="AU25" s="220">
        <f>'2.1'!G25</f>
        <v>0</v>
      </c>
      <c r="AV25" s="218">
        <f>IF('2.1'!G26&lt;&gt;"",G26,IF(G25=0,0,3))</f>
        <v>0</v>
      </c>
      <c r="AW25" s="221">
        <f>IFERROR('2.1'!AV25/2+AU25/2,"")</f>
        <v>0</v>
      </c>
      <c r="AX25" s="45"/>
      <c r="AY25" s="45"/>
      <c r="AZ25" s="45"/>
      <c r="BA25" s="45"/>
      <c r="BB25" s="45"/>
      <c r="BC25" s="45"/>
      <c r="BD25" s="241">
        <f>SUM('2.1'!I25:AC25)</f>
        <v>0</v>
      </c>
      <c r="BE25" s="242">
        <v>17</v>
      </c>
      <c r="BF25" s="243">
        <f t="array" ref="BF25">(SUM(($BF$8:$BZ$8&lt;BF$8)*($BE$9:$BE$28&lt;$BE25)*$I$9:$AC$28)+SUM(($BF$8:$BZ$8&gt;BF$8)*($BE$9:$BE$28&gt;$BE25)*$I$9:$AC$28)-(SUM(($BF$8:$BZ$8&gt;BF$8)*($BE$9:$BE$28&lt;$BE25)*$I$9:$AC$28)+SUM(($BF$8:$BZ$8&lt;BF$8)*($BE$9:$BE$28&gt;$BE25)*$I$9:$AC$28)))*(INDEX($I$9:$AC$28,$BE25,BF$8)&gt;0)</f>
        <v>0</v>
      </c>
      <c r="BG25" s="243">
        <f t="array" ref="BG25">(SUM(($BF$8:$BZ$8&lt;BG$8)*($BE$9:$BE$28&lt;$BE25)*$I$9:$AC$28)+SUM(($BF$8:$BZ$8&gt;BG$8)*($BE$9:$BE$28&gt;$BE25)*$I$9:$AC$28)-(SUM(($BF$8:$BZ$8&gt;BG$8)*($BE$9:$BE$28&lt;$BE25)*$I$9:$AC$28)+SUM(($BF$8:$BZ$8&lt;BG$8)*($BE$9:$BE$28&gt;$BE25)*$I$9:$AC$28)))*(INDEX($I$9:$AC$28,$BE25,BG$8)&gt;0)</f>
        <v>0</v>
      </c>
      <c r="BH25" s="243">
        <f t="array" ref="BH25">(SUM(($BF$8:$BZ$8&lt;BH$8)*($BE$9:$BE$28&lt;$BE25)*$I$9:$AC$28)+SUM(($BF$8:$BZ$8&gt;BH$8)*($BE$9:$BE$28&gt;$BE25)*$I$9:$AC$28)-(SUM(($BF$8:$BZ$8&gt;BH$8)*($BE$9:$BE$28&lt;$BE25)*$I$9:$AC$28)+SUM(($BF$8:$BZ$8&lt;BH$8)*($BE$9:$BE$28&gt;$BE25)*$I$9:$AC$28)))*(INDEX($I$9:$AC$28,$BE25,BH$8)&gt;0)</f>
        <v>0</v>
      </c>
      <c r="BI25" s="243">
        <f t="array" ref="BI25">(SUM(($BF$8:$BZ$8&lt;BI$8)*($BE$9:$BE$28&lt;$BE25)*$I$9:$AC$28)+SUM(($BF$8:$BZ$8&gt;BI$8)*($BE$9:$BE$28&gt;$BE25)*$I$9:$AC$28)-(SUM(($BF$8:$BZ$8&gt;BI$8)*($BE$9:$BE$28&lt;$BE25)*$I$9:$AC$28)+SUM(($BF$8:$BZ$8&lt;BI$8)*($BE$9:$BE$28&gt;$BE25)*$I$9:$AC$28)))*(INDEX($I$9:$AC$28,$BE25,BI$8)&gt;0)</f>
        <v>0</v>
      </c>
      <c r="BJ25" s="243">
        <f t="array" ref="BJ25">(SUM(($BF$8:$BZ$8&lt;BJ$8)*($BE$9:$BE$28&lt;$BE25)*$I$9:$AC$28)+SUM(($BF$8:$BZ$8&gt;BJ$8)*($BE$9:$BE$28&gt;$BE25)*$I$9:$AC$28)-(SUM(($BF$8:$BZ$8&gt;BJ$8)*($BE$9:$BE$28&lt;$BE25)*$I$9:$AC$28)+SUM(($BF$8:$BZ$8&lt;BJ$8)*($BE$9:$BE$28&gt;$BE25)*$I$9:$AC$28)))*(INDEX($I$9:$AC$28,$BE25,BJ$8)&gt;0)</f>
        <v>0</v>
      </c>
      <c r="BK25" s="243">
        <f t="array" ref="BK25">(SUM(($BF$8:$BZ$8&lt;BK$8)*($BE$9:$BE$28&lt;$BE25)*$I$9:$AC$28)+SUM(($BF$8:$BZ$8&gt;BK$8)*($BE$9:$BE$28&gt;$BE25)*$I$9:$AC$28)-(SUM(($BF$8:$BZ$8&gt;BK$8)*($BE$9:$BE$28&lt;$BE25)*$I$9:$AC$28)+SUM(($BF$8:$BZ$8&lt;BK$8)*($BE$9:$BE$28&gt;$BE25)*$I$9:$AC$28)))*(INDEX($I$9:$AC$28,$BE25,BK$8)&gt;0)</f>
        <v>0</v>
      </c>
      <c r="BL25" s="243">
        <f t="array" ref="BL25">(SUM(($BF$8:$BZ$8&lt;BL$8)*($BE$9:$BE$28&lt;$BE25)*$I$9:$AC$28)+SUM(($BF$8:$BZ$8&gt;BL$8)*($BE$9:$BE$28&gt;$BE25)*$I$9:$AC$28)-(SUM(($BF$8:$BZ$8&gt;BL$8)*($BE$9:$BE$28&lt;$BE25)*$I$9:$AC$28)+SUM(($BF$8:$BZ$8&lt;BL$8)*($BE$9:$BE$28&gt;$BE25)*$I$9:$AC$28)))*(INDEX($I$9:$AC$28,$BE25,BL$8)&gt;0)</f>
        <v>0</v>
      </c>
      <c r="BM25" s="243">
        <f t="array" ref="BM25">(SUM(($BF$8:$BZ$8&lt;BM$8)*($BE$9:$BE$28&lt;$BE25)*$I$9:$AC$28)+SUM(($BF$8:$BZ$8&gt;BM$8)*($BE$9:$BE$28&gt;$BE25)*$I$9:$AC$28)-(SUM(($BF$8:$BZ$8&gt;BM$8)*($BE$9:$BE$28&lt;$BE25)*$I$9:$AC$28)+SUM(($BF$8:$BZ$8&lt;BM$8)*($BE$9:$BE$28&gt;$BE25)*$I$9:$AC$28)))*(INDEX($I$9:$AC$28,$BE25,BM$8)&gt;0)</f>
        <v>0</v>
      </c>
      <c r="BN25" s="243">
        <f t="array" ref="BN25">(SUM(($BF$8:$BZ$8&lt;BN$8)*($BE$9:$BE$28&lt;$BE25)*$I$9:$AC$28)+SUM(($BF$8:$BZ$8&gt;BN$8)*($BE$9:$BE$28&gt;$BE25)*$I$9:$AC$28)-(SUM(($BF$8:$BZ$8&gt;BN$8)*($BE$9:$BE$28&lt;$BE25)*$I$9:$AC$28)+SUM(($BF$8:$BZ$8&lt;BN$8)*($BE$9:$BE$28&gt;$BE25)*$I$9:$AC$28)))*(INDEX($I$9:$AC$28,$BE25,BN$8)&gt;0)</f>
        <v>0</v>
      </c>
      <c r="BO25" s="243">
        <f t="array" ref="BO25">(SUM(($BF$8:$BZ$8&lt;BO$8)*($BE$9:$BE$28&lt;$BE25)*$I$9:$AC$28)+SUM(($BF$8:$BZ$8&gt;BO$8)*($BE$9:$BE$28&gt;$BE25)*$I$9:$AC$28)-(SUM(($BF$8:$BZ$8&gt;BO$8)*($BE$9:$BE$28&lt;$BE25)*$I$9:$AC$28)+SUM(($BF$8:$BZ$8&lt;BO$8)*($BE$9:$BE$28&gt;$BE25)*$I$9:$AC$28)))*(INDEX($I$9:$AC$28,$BE25,BO$8)&gt;0)</f>
        <v>0</v>
      </c>
      <c r="BP25" s="243">
        <f t="array" ref="BP25">(SUM(($BF$8:$BZ$8&lt;BP$8)*($BE$9:$BE$28&lt;$BE25)*$I$9:$AC$28)+SUM(($BF$8:$BZ$8&gt;BP$8)*($BE$9:$BE$28&gt;$BE25)*$I$9:$AC$28)-(SUM(($BF$8:$BZ$8&gt;BP$8)*($BE$9:$BE$28&lt;$BE25)*$I$9:$AC$28)+SUM(($BF$8:$BZ$8&lt;BP$8)*($BE$9:$BE$28&gt;$BE25)*$I$9:$AC$28)))*(INDEX($I$9:$AC$28,$BE25,BP$8)&gt;0)</f>
        <v>0</v>
      </c>
      <c r="BQ25" s="243">
        <f t="array" ref="BQ25">(SUM(($BF$8:$BZ$8&lt;BQ$8)*($BE$9:$BE$28&lt;$BE25)*$I$9:$AC$28)+SUM(($BF$8:$BZ$8&gt;BQ$8)*($BE$9:$BE$28&gt;$BE25)*$I$9:$AC$28)-(SUM(($BF$8:$BZ$8&gt;BQ$8)*($BE$9:$BE$28&lt;$BE25)*$I$9:$AC$28)+SUM(($BF$8:$BZ$8&lt;BQ$8)*($BE$9:$BE$28&gt;$BE25)*$I$9:$AC$28)))*(INDEX($I$9:$AC$28,$BE25,BQ$8)&gt;0)</f>
        <v>0</v>
      </c>
      <c r="BR25" s="243">
        <f t="array" ref="BR25">(SUM(($BF$8:$BZ$8&lt;BR$8)*($BE$9:$BE$28&lt;$BE25)*$I$9:$AC$28)+SUM(($BF$8:$BZ$8&gt;BR$8)*($BE$9:$BE$28&gt;$BE25)*$I$9:$AC$28)-(SUM(($BF$8:$BZ$8&gt;BR$8)*($BE$9:$BE$28&lt;$BE25)*$I$9:$AC$28)+SUM(($BF$8:$BZ$8&lt;BR$8)*($BE$9:$BE$28&gt;$BE25)*$I$9:$AC$28)))*(INDEX($I$9:$AC$28,$BE25,BR$8)&gt;0)</f>
        <v>0</v>
      </c>
      <c r="BS25" s="243">
        <f t="array" ref="BS25">(SUM(($BF$8:$BZ$8&lt;BS$8)*($BE$9:$BE$28&lt;$BE25)*$I$9:$AC$28)+SUM(($BF$8:$BZ$8&gt;BS$8)*($BE$9:$BE$28&gt;$BE25)*$I$9:$AC$28)-(SUM(($BF$8:$BZ$8&gt;BS$8)*($BE$9:$BE$28&lt;$BE25)*$I$9:$AC$28)+SUM(($BF$8:$BZ$8&lt;BS$8)*($BE$9:$BE$28&gt;$BE25)*$I$9:$AC$28)))*(INDEX($I$9:$AC$28,$BE25,BS$8)&gt;0)</f>
        <v>0</v>
      </c>
      <c r="BT25" s="243">
        <f t="array" ref="BT25">(SUM(($BF$8:$BZ$8&lt;BT$8)*($BE$9:$BE$28&lt;$BE25)*$I$9:$AC$28)+SUM(($BF$8:$BZ$8&gt;BT$8)*($BE$9:$BE$28&gt;$BE25)*$I$9:$AC$28)-(SUM(($BF$8:$BZ$8&gt;BT$8)*($BE$9:$BE$28&lt;$BE25)*$I$9:$AC$28)+SUM(($BF$8:$BZ$8&lt;BT$8)*($BE$9:$BE$28&gt;$BE25)*$I$9:$AC$28)))*(INDEX($I$9:$AC$28,$BE25,BT$8)&gt;0)</f>
        <v>0</v>
      </c>
      <c r="BU25" s="243">
        <f t="array" ref="BU25">(SUM(($BF$8:$BZ$8&lt;BU$8)*($BE$9:$BE$28&lt;$BE25)*$I$9:$AC$28)+SUM(($BF$8:$BZ$8&gt;BU$8)*($BE$9:$BE$28&gt;$BE25)*$I$9:$AC$28)-(SUM(($BF$8:$BZ$8&gt;BU$8)*($BE$9:$BE$28&lt;$BE25)*$I$9:$AC$28)+SUM(($BF$8:$BZ$8&lt;BU$8)*($BE$9:$BE$28&gt;$BE25)*$I$9:$AC$28)))*(INDEX($I$9:$AC$28,$BE25,BU$8)&gt;0)</f>
        <v>0</v>
      </c>
      <c r="BV25" s="243">
        <f t="array" ref="BV25">(SUM(($BF$8:$BZ$8&lt;BV$8)*($BE$9:$BE$28&lt;$BE25)*$I$9:$AC$28)+SUM(($BF$8:$BZ$8&gt;BV$8)*($BE$9:$BE$28&gt;$BE25)*$I$9:$AC$28)-(SUM(($BF$8:$BZ$8&gt;BV$8)*($BE$9:$BE$28&lt;$BE25)*$I$9:$AC$28)+SUM(($BF$8:$BZ$8&lt;BV$8)*($BE$9:$BE$28&gt;$BE25)*$I$9:$AC$28)))*(INDEX($I$9:$AC$28,$BE25,BV$8)&gt;0)</f>
        <v>0</v>
      </c>
      <c r="BW25" s="243">
        <f t="array" ref="BW25">(SUM(($BF$8:$BZ$8&lt;BW$8)*($BE$9:$BE$28&lt;$BE25)*$I$9:$AC$28)+SUM(($BF$8:$BZ$8&gt;BW$8)*($BE$9:$BE$28&gt;$BE25)*$I$9:$AC$28)-(SUM(($BF$8:$BZ$8&gt;BW$8)*($BE$9:$BE$28&lt;$BE25)*$I$9:$AC$28)+SUM(($BF$8:$BZ$8&lt;BW$8)*($BE$9:$BE$28&gt;$BE25)*$I$9:$AC$28)))*(INDEX($I$9:$AC$28,$BE25,BW$8)&gt;0)</f>
        <v>0</v>
      </c>
      <c r="BX25" s="243">
        <f t="array" ref="BX25">(SUM(($BF$8:$BZ$8&lt;BX$8)*($BE$9:$BE$28&lt;$BE25)*$I$9:$AC$28)+SUM(($BF$8:$BZ$8&gt;BX$8)*($BE$9:$BE$28&gt;$BE25)*$I$9:$AC$28)-(SUM(($BF$8:$BZ$8&gt;BX$8)*($BE$9:$BE$28&lt;$BE25)*$I$9:$AC$28)+SUM(($BF$8:$BZ$8&lt;BX$8)*($BE$9:$BE$28&gt;$BE25)*$I$9:$AC$28)))*(INDEX($I$9:$AC$28,$BE25,BX$8)&gt;0)</f>
        <v>0</v>
      </c>
      <c r="BY25" s="243">
        <f t="array" ref="BY25">(SUM(($BF$8:$BZ$8&lt;BY$8)*($BE$9:$BE$28&lt;$BE25)*$I$9:$AC$28)+SUM(($BF$8:$BZ$8&gt;BY$8)*($BE$9:$BE$28&gt;$BE25)*$I$9:$AC$28)-(SUM(($BF$8:$BZ$8&gt;BY$8)*($BE$9:$BE$28&lt;$BE25)*$I$9:$AC$28)+SUM(($BF$8:$BZ$8&lt;BY$8)*($BE$9:$BE$28&gt;$BE25)*$I$9:$AC$28)))*(INDEX($I$9:$AC$28,$BE25,BY$8)&gt;0)</f>
        <v>0</v>
      </c>
      <c r="BZ25" s="244">
        <f t="array" ref="BZ25">(SUM(($BF$8:$BZ$8&lt;BZ$8)*($BE$9:$BE$28&lt;$BE25)*$I$9:$AC$28)+SUM(($BF$8:$BZ$8&gt;BZ$8)*($BE$9:$BE$28&gt;$BE25)*$I$9:$AC$28)-(SUM(($BF$8:$BZ$8&gt;BZ$8)*($BE$9:$BE$28&lt;$BE25)*$I$9:$AC$28)+SUM(($BF$8:$BZ$8&lt;BZ$8)*($BE$9:$BE$28&gt;$BE25)*$I$9:$AC$28)))*(INDEX($I$9:$AC$28,$BE25,BZ$8)&gt;0)</f>
        <v>0</v>
      </c>
      <c r="CA25" s="45"/>
      <c r="CE25" s="4">
        <v>0</v>
      </c>
      <c r="CF25" s="4">
        <v>0</v>
      </c>
      <c r="CG25" s="4" t="b">
        <v>0</v>
      </c>
      <c r="CH25" s="4">
        <v>0</v>
      </c>
    </row>
    <row r="26" spans="1:86" x14ac:dyDescent="0.35">
      <c r="A26" s="45"/>
      <c r="B26" s="119" t="s">
        <v>56</v>
      </c>
      <c r="C26" s="424" t="s">
        <v>251</v>
      </c>
      <c r="D26" s="95"/>
      <c r="E26" s="96"/>
      <c r="F26" s="270"/>
      <c r="G26" s="266"/>
      <c r="H26" s="267"/>
      <c r="I26" s="99"/>
      <c r="J26" s="96"/>
      <c r="K26" s="96"/>
      <c r="L26" s="96"/>
      <c r="M26" s="96"/>
      <c r="N26" s="96"/>
      <c r="O26" s="96"/>
      <c r="P26" s="96"/>
      <c r="Q26" s="96"/>
      <c r="R26" s="96"/>
      <c r="S26" s="96"/>
      <c r="T26" s="96"/>
      <c r="U26" s="96"/>
      <c r="V26" s="96"/>
      <c r="W26" s="96"/>
      <c r="X26" s="96"/>
      <c r="Y26" s="96"/>
      <c r="Z26" s="96"/>
      <c r="AA26" s="96"/>
      <c r="AB26" s="96"/>
      <c r="AC26" s="100"/>
      <c r="AD26" s="268"/>
      <c r="AE26" s="266"/>
      <c r="AF26" s="267"/>
      <c r="AG26" s="45"/>
      <c r="AH26" s="259" t="str">
        <f>IF(AND(COUNTA(D26:AF26)=0,D27=""),"",IF(AND('2.1'!E26=0,COUNTA(H26:AF26)&gt;0),"NOT OK",IF(AND(COUNTA(D26:AF26)=0,D27&lt;&gt;""),"NOT OK",IF(OR(AJ26="NOT OK",AK26="NOT OK",AL26="NOT OK",AT26="NOT OK"),"NOT OK",IF(OR(AO26="WARNING",AR26="WARNING"),"WARNING","OK")))))</f>
        <v/>
      </c>
      <c r="AI26" s="276" t="str">
        <f>IF(AND(COUNTA(D26:AF26)=0,'2.1'!D27=""),"",IF(AND(E26=0,COUNTA(H26:AF26)&gt;0),"As number of facilities is zero, please leave columns H to AF empty.",IF(AND(COUNTA(D26:AF26)=0,D27&lt;&gt;""),"Empty lines between grades not allowed.",IF(AND(D26&lt;&gt;"",OR(E26="",G26="")),"Information is missing for this facility grade/pool. Please report number of facilities and average LGD estimate.",IF(AJ26="NOT OK","Row incomplete. Check if zeros values are missing in the row.",IF(AK26="NOT OK","The number of facilities in buckets does not sum up to the total number.",IF(AL26="NOT OK","Please order the pools in ascending order of the weighted average of estimated LGD.",IF(AT26="NOT OK","The p-value of t-Test differs from ECB calculation.",IF(AO26="WARNING","The average LGD^R seems implausible with the given LGD realisation.",IF(AR26="WARNING","The variance of the LGD seems implausible with the given realisation.",""))))))))))</f>
        <v/>
      </c>
      <c r="AJ26" s="262" t="str">
        <f>IF(AND(COUNTA(D26:AF26)=0,'2.1'!D27=""),"",IF(AND(D26&lt;&gt;"",OR(E26="",G26="")),"NOT OK",IF(AND(D26&lt;&gt;"",E26&lt;&gt;"",E26=0,G26&lt;&gt;""),"OK",IF(COUNTA(D26:AF26)=COUNTA($D$9:$D$28)+7+1,"OK",IF(AND(E26=1,COUNTA(D26:AF26)=COUNTA($D$9:$D$28)+4+1),"OK","NOT OK")))))</f>
        <v/>
      </c>
      <c r="AK26" s="262" t="str">
        <f>IF(OR(AND(D26&lt;&gt;"",'2.1'!E26 =0),COUNTA(D26:AF26)=0),"",IF(E26=SUM(I26:AC26),"OK","NOT OK"))</f>
        <v/>
      </c>
      <c r="AL26" s="507" t="str">
        <f>IF('2.1'!G26="","",IF(G26&lt;G25,"NOT OK", "OK"))</f>
        <v/>
      </c>
      <c r="AM26" s="516" t="str">
        <f t="array" ref="AM26">IFERROR(SUM(I26:AC26*TRANSPOSE($AU$8:$AU$28))/SUM(I26:AC26),"")</f>
        <v/>
      </c>
      <c r="AN26" s="271" t="str">
        <f t="array" ref="AN26">IFERROR(SUM(I26:AC26*TRANSPOSE($AV$8:$AV$28))/SUM(I26:AC26),"")</f>
        <v/>
      </c>
      <c r="AO26" s="275" t="str">
        <f>IF(OR(AND(D26&lt;&gt;"",'2.1'!E26 =0),COUNTA(D26:AF26)=0),"",IFERROR(IF(AND(H26&gt;=AM26,H26&lt;=AN26),"OK","WARNING"),""))</f>
        <v/>
      </c>
      <c r="AP26" s="516" t="str">
        <f>IF(COUNTA(H26:AF26)=0,"",IFERROR('2.1'!BG55,""))</f>
        <v/>
      </c>
      <c r="AQ26" s="271" t="str">
        <f>IF(COUNTA(H26:AF26)=0,"",IFERROR('2.1'!BF55,""))</f>
        <v/>
      </c>
      <c r="AR26" s="275" t="str">
        <f>IF(OR(AND(D26&lt;&gt;"",E26 =0),COUNTA(D26:AF26)=0),"",IFERROR(IF(AND('2.1'!AD26&gt;=AP26,AD26&lt;=AQ26),"OK","WARNING"),""))</f>
        <v/>
      </c>
      <c r="AS26" s="510" t="str">
        <f>IFERROR(IF(COUNTA(D26:AF26)=0,"",1-_xlfn.T.DIST(SQRT(E26)*(H26-G26)/SQRT('2.1'!AD26),E26-1,TRUE)),"")</f>
        <v/>
      </c>
      <c r="AT26" s="275" t="str">
        <f>IFERROR(IF(COUNTA(D26:AF26)=0,"",IF(ABS(AF26-'2.1'!AS26)&gt;0.00001,"NOT OK","OK")),"")</f>
        <v/>
      </c>
      <c r="AU26" s="220">
        <f>'2.1'!G26</f>
        <v>0</v>
      </c>
      <c r="AV26" s="218">
        <f>IF('2.1'!G27&lt;&gt;"",G27,IF(G26=0,0,3))</f>
        <v>0</v>
      </c>
      <c r="AW26" s="221">
        <f>IFERROR('2.1'!AV26/2+AU26/2,"")</f>
        <v>0</v>
      </c>
      <c r="AX26" s="45"/>
      <c r="AY26" s="45"/>
      <c r="AZ26" s="45"/>
      <c r="BA26" s="45"/>
      <c r="BB26" s="45"/>
      <c r="BC26" s="45"/>
      <c r="BD26" s="241">
        <f>SUM('2.1'!I26:AC26)</f>
        <v>0</v>
      </c>
      <c r="BE26" s="242">
        <v>18</v>
      </c>
      <c r="BF26" s="243">
        <f t="array" ref="BF26">(SUM(($BF$8:$BZ$8&lt;BF$8)*($BE$9:$BE$28&lt;$BE26)*$I$9:$AC$28)+SUM(($BF$8:$BZ$8&gt;BF$8)*($BE$9:$BE$28&gt;$BE26)*$I$9:$AC$28)-(SUM(($BF$8:$BZ$8&gt;BF$8)*($BE$9:$BE$28&lt;$BE26)*$I$9:$AC$28)+SUM(($BF$8:$BZ$8&lt;BF$8)*($BE$9:$BE$28&gt;$BE26)*$I$9:$AC$28)))*(INDEX($I$9:$AC$28,$BE26,BF$8)&gt;0)</f>
        <v>0</v>
      </c>
      <c r="BG26" s="243">
        <f t="array" ref="BG26">(SUM(($BF$8:$BZ$8&lt;BG$8)*($BE$9:$BE$28&lt;$BE26)*$I$9:$AC$28)+SUM(($BF$8:$BZ$8&gt;BG$8)*($BE$9:$BE$28&gt;$BE26)*$I$9:$AC$28)-(SUM(($BF$8:$BZ$8&gt;BG$8)*($BE$9:$BE$28&lt;$BE26)*$I$9:$AC$28)+SUM(($BF$8:$BZ$8&lt;BG$8)*($BE$9:$BE$28&gt;$BE26)*$I$9:$AC$28)))*(INDEX($I$9:$AC$28,$BE26,BG$8)&gt;0)</f>
        <v>0</v>
      </c>
      <c r="BH26" s="243">
        <f t="array" ref="BH26">(SUM(($BF$8:$BZ$8&lt;BH$8)*($BE$9:$BE$28&lt;$BE26)*$I$9:$AC$28)+SUM(($BF$8:$BZ$8&gt;BH$8)*($BE$9:$BE$28&gt;$BE26)*$I$9:$AC$28)-(SUM(($BF$8:$BZ$8&gt;BH$8)*($BE$9:$BE$28&lt;$BE26)*$I$9:$AC$28)+SUM(($BF$8:$BZ$8&lt;BH$8)*($BE$9:$BE$28&gt;$BE26)*$I$9:$AC$28)))*(INDEX($I$9:$AC$28,$BE26,BH$8)&gt;0)</f>
        <v>0</v>
      </c>
      <c r="BI26" s="243">
        <f t="array" ref="BI26">(SUM(($BF$8:$BZ$8&lt;BI$8)*($BE$9:$BE$28&lt;$BE26)*$I$9:$AC$28)+SUM(($BF$8:$BZ$8&gt;BI$8)*($BE$9:$BE$28&gt;$BE26)*$I$9:$AC$28)-(SUM(($BF$8:$BZ$8&gt;BI$8)*($BE$9:$BE$28&lt;$BE26)*$I$9:$AC$28)+SUM(($BF$8:$BZ$8&lt;BI$8)*($BE$9:$BE$28&gt;$BE26)*$I$9:$AC$28)))*(INDEX($I$9:$AC$28,$BE26,BI$8)&gt;0)</f>
        <v>0</v>
      </c>
      <c r="BJ26" s="243">
        <f t="array" ref="BJ26">(SUM(($BF$8:$BZ$8&lt;BJ$8)*($BE$9:$BE$28&lt;$BE26)*$I$9:$AC$28)+SUM(($BF$8:$BZ$8&gt;BJ$8)*($BE$9:$BE$28&gt;$BE26)*$I$9:$AC$28)-(SUM(($BF$8:$BZ$8&gt;BJ$8)*($BE$9:$BE$28&lt;$BE26)*$I$9:$AC$28)+SUM(($BF$8:$BZ$8&lt;BJ$8)*($BE$9:$BE$28&gt;$BE26)*$I$9:$AC$28)))*(INDEX($I$9:$AC$28,$BE26,BJ$8)&gt;0)</f>
        <v>0</v>
      </c>
      <c r="BK26" s="243">
        <f t="array" ref="BK26">(SUM(($BF$8:$BZ$8&lt;BK$8)*($BE$9:$BE$28&lt;$BE26)*$I$9:$AC$28)+SUM(($BF$8:$BZ$8&gt;BK$8)*($BE$9:$BE$28&gt;$BE26)*$I$9:$AC$28)-(SUM(($BF$8:$BZ$8&gt;BK$8)*($BE$9:$BE$28&lt;$BE26)*$I$9:$AC$28)+SUM(($BF$8:$BZ$8&lt;BK$8)*($BE$9:$BE$28&gt;$BE26)*$I$9:$AC$28)))*(INDEX($I$9:$AC$28,$BE26,BK$8)&gt;0)</f>
        <v>0</v>
      </c>
      <c r="BL26" s="243">
        <f t="array" ref="BL26">(SUM(($BF$8:$BZ$8&lt;BL$8)*($BE$9:$BE$28&lt;$BE26)*$I$9:$AC$28)+SUM(($BF$8:$BZ$8&gt;BL$8)*($BE$9:$BE$28&gt;$BE26)*$I$9:$AC$28)-(SUM(($BF$8:$BZ$8&gt;BL$8)*($BE$9:$BE$28&lt;$BE26)*$I$9:$AC$28)+SUM(($BF$8:$BZ$8&lt;BL$8)*($BE$9:$BE$28&gt;$BE26)*$I$9:$AC$28)))*(INDEX($I$9:$AC$28,$BE26,BL$8)&gt;0)</f>
        <v>0</v>
      </c>
      <c r="BM26" s="243">
        <f t="array" ref="BM26">(SUM(($BF$8:$BZ$8&lt;BM$8)*($BE$9:$BE$28&lt;$BE26)*$I$9:$AC$28)+SUM(($BF$8:$BZ$8&gt;BM$8)*($BE$9:$BE$28&gt;$BE26)*$I$9:$AC$28)-(SUM(($BF$8:$BZ$8&gt;BM$8)*($BE$9:$BE$28&lt;$BE26)*$I$9:$AC$28)+SUM(($BF$8:$BZ$8&lt;BM$8)*($BE$9:$BE$28&gt;$BE26)*$I$9:$AC$28)))*(INDEX($I$9:$AC$28,$BE26,BM$8)&gt;0)</f>
        <v>0</v>
      </c>
      <c r="BN26" s="243">
        <f t="array" ref="BN26">(SUM(($BF$8:$BZ$8&lt;BN$8)*($BE$9:$BE$28&lt;$BE26)*$I$9:$AC$28)+SUM(($BF$8:$BZ$8&gt;BN$8)*($BE$9:$BE$28&gt;$BE26)*$I$9:$AC$28)-(SUM(($BF$8:$BZ$8&gt;BN$8)*($BE$9:$BE$28&lt;$BE26)*$I$9:$AC$28)+SUM(($BF$8:$BZ$8&lt;BN$8)*($BE$9:$BE$28&gt;$BE26)*$I$9:$AC$28)))*(INDEX($I$9:$AC$28,$BE26,BN$8)&gt;0)</f>
        <v>0</v>
      </c>
      <c r="BO26" s="243">
        <f t="array" ref="BO26">(SUM(($BF$8:$BZ$8&lt;BO$8)*($BE$9:$BE$28&lt;$BE26)*$I$9:$AC$28)+SUM(($BF$8:$BZ$8&gt;BO$8)*($BE$9:$BE$28&gt;$BE26)*$I$9:$AC$28)-(SUM(($BF$8:$BZ$8&gt;BO$8)*($BE$9:$BE$28&lt;$BE26)*$I$9:$AC$28)+SUM(($BF$8:$BZ$8&lt;BO$8)*($BE$9:$BE$28&gt;$BE26)*$I$9:$AC$28)))*(INDEX($I$9:$AC$28,$BE26,BO$8)&gt;0)</f>
        <v>0</v>
      </c>
      <c r="BP26" s="243">
        <f t="array" ref="BP26">(SUM(($BF$8:$BZ$8&lt;BP$8)*($BE$9:$BE$28&lt;$BE26)*$I$9:$AC$28)+SUM(($BF$8:$BZ$8&gt;BP$8)*($BE$9:$BE$28&gt;$BE26)*$I$9:$AC$28)-(SUM(($BF$8:$BZ$8&gt;BP$8)*($BE$9:$BE$28&lt;$BE26)*$I$9:$AC$28)+SUM(($BF$8:$BZ$8&lt;BP$8)*($BE$9:$BE$28&gt;$BE26)*$I$9:$AC$28)))*(INDEX($I$9:$AC$28,$BE26,BP$8)&gt;0)</f>
        <v>0</v>
      </c>
      <c r="BQ26" s="243">
        <f t="array" ref="BQ26">(SUM(($BF$8:$BZ$8&lt;BQ$8)*($BE$9:$BE$28&lt;$BE26)*$I$9:$AC$28)+SUM(($BF$8:$BZ$8&gt;BQ$8)*($BE$9:$BE$28&gt;$BE26)*$I$9:$AC$28)-(SUM(($BF$8:$BZ$8&gt;BQ$8)*($BE$9:$BE$28&lt;$BE26)*$I$9:$AC$28)+SUM(($BF$8:$BZ$8&lt;BQ$8)*($BE$9:$BE$28&gt;$BE26)*$I$9:$AC$28)))*(INDEX($I$9:$AC$28,$BE26,BQ$8)&gt;0)</f>
        <v>0</v>
      </c>
      <c r="BR26" s="243">
        <f t="array" ref="BR26">(SUM(($BF$8:$BZ$8&lt;BR$8)*($BE$9:$BE$28&lt;$BE26)*$I$9:$AC$28)+SUM(($BF$8:$BZ$8&gt;BR$8)*($BE$9:$BE$28&gt;$BE26)*$I$9:$AC$28)-(SUM(($BF$8:$BZ$8&gt;BR$8)*($BE$9:$BE$28&lt;$BE26)*$I$9:$AC$28)+SUM(($BF$8:$BZ$8&lt;BR$8)*($BE$9:$BE$28&gt;$BE26)*$I$9:$AC$28)))*(INDEX($I$9:$AC$28,$BE26,BR$8)&gt;0)</f>
        <v>0</v>
      </c>
      <c r="BS26" s="243">
        <f t="array" ref="BS26">(SUM(($BF$8:$BZ$8&lt;BS$8)*($BE$9:$BE$28&lt;$BE26)*$I$9:$AC$28)+SUM(($BF$8:$BZ$8&gt;BS$8)*($BE$9:$BE$28&gt;$BE26)*$I$9:$AC$28)-(SUM(($BF$8:$BZ$8&gt;BS$8)*($BE$9:$BE$28&lt;$BE26)*$I$9:$AC$28)+SUM(($BF$8:$BZ$8&lt;BS$8)*($BE$9:$BE$28&gt;$BE26)*$I$9:$AC$28)))*(INDEX($I$9:$AC$28,$BE26,BS$8)&gt;0)</f>
        <v>0</v>
      </c>
      <c r="BT26" s="243">
        <f t="array" ref="BT26">(SUM(($BF$8:$BZ$8&lt;BT$8)*($BE$9:$BE$28&lt;$BE26)*$I$9:$AC$28)+SUM(($BF$8:$BZ$8&gt;BT$8)*($BE$9:$BE$28&gt;$BE26)*$I$9:$AC$28)-(SUM(($BF$8:$BZ$8&gt;BT$8)*($BE$9:$BE$28&lt;$BE26)*$I$9:$AC$28)+SUM(($BF$8:$BZ$8&lt;BT$8)*($BE$9:$BE$28&gt;$BE26)*$I$9:$AC$28)))*(INDEX($I$9:$AC$28,$BE26,BT$8)&gt;0)</f>
        <v>0</v>
      </c>
      <c r="BU26" s="243">
        <f t="array" ref="BU26">(SUM(($BF$8:$BZ$8&lt;BU$8)*($BE$9:$BE$28&lt;$BE26)*$I$9:$AC$28)+SUM(($BF$8:$BZ$8&gt;BU$8)*($BE$9:$BE$28&gt;$BE26)*$I$9:$AC$28)-(SUM(($BF$8:$BZ$8&gt;BU$8)*($BE$9:$BE$28&lt;$BE26)*$I$9:$AC$28)+SUM(($BF$8:$BZ$8&lt;BU$8)*($BE$9:$BE$28&gt;$BE26)*$I$9:$AC$28)))*(INDEX($I$9:$AC$28,$BE26,BU$8)&gt;0)</f>
        <v>0</v>
      </c>
      <c r="BV26" s="243">
        <f t="array" ref="BV26">(SUM(($BF$8:$BZ$8&lt;BV$8)*($BE$9:$BE$28&lt;$BE26)*$I$9:$AC$28)+SUM(($BF$8:$BZ$8&gt;BV$8)*($BE$9:$BE$28&gt;$BE26)*$I$9:$AC$28)-(SUM(($BF$8:$BZ$8&gt;BV$8)*($BE$9:$BE$28&lt;$BE26)*$I$9:$AC$28)+SUM(($BF$8:$BZ$8&lt;BV$8)*($BE$9:$BE$28&gt;$BE26)*$I$9:$AC$28)))*(INDEX($I$9:$AC$28,$BE26,BV$8)&gt;0)</f>
        <v>0</v>
      </c>
      <c r="BW26" s="243">
        <f t="array" ref="BW26">(SUM(($BF$8:$BZ$8&lt;BW$8)*($BE$9:$BE$28&lt;$BE26)*$I$9:$AC$28)+SUM(($BF$8:$BZ$8&gt;BW$8)*($BE$9:$BE$28&gt;$BE26)*$I$9:$AC$28)-(SUM(($BF$8:$BZ$8&gt;BW$8)*($BE$9:$BE$28&lt;$BE26)*$I$9:$AC$28)+SUM(($BF$8:$BZ$8&lt;BW$8)*($BE$9:$BE$28&gt;$BE26)*$I$9:$AC$28)))*(INDEX($I$9:$AC$28,$BE26,BW$8)&gt;0)</f>
        <v>0</v>
      </c>
      <c r="BX26" s="243">
        <f t="array" ref="BX26">(SUM(($BF$8:$BZ$8&lt;BX$8)*($BE$9:$BE$28&lt;$BE26)*$I$9:$AC$28)+SUM(($BF$8:$BZ$8&gt;BX$8)*($BE$9:$BE$28&gt;$BE26)*$I$9:$AC$28)-(SUM(($BF$8:$BZ$8&gt;BX$8)*($BE$9:$BE$28&lt;$BE26)*$I$9:$AC$28)+SUM(($BF$8:$BZ$8&lt;BX$8)*($BE$9:$BE$28&gt;$BE26)*$I$9:$AC$28)))*(INDEX($I$9:$AC$28,$BE26,BX$8)&gt;0)</f>
        <v>0</v>
      </c>
      <c r="BY26" s="243">
        <f t="array" ref="BY26">(SUM(($BF$8:$BZ$8&lt;BY$8)*($BE$9:$BE$28&lt;$BE26)*$I$9:$AC$28)+SUM(($BF$8:$BZ$8&gt;BY$8)*($BE$9:$BE$28&gt;$BE26)*$I$9:$AC$28)-(SUM(($BF$8:$BZ$8&gt;BY$8)*($BE$9:$BE$28&lt;$BE26)*$I$9:$AC$28)+SUM(($BF$8:$BZ$8&lt;BY$8)*($BE$9:$BE$28&gt;$BE26)*$I$9:$AC$28)))*(INDEX($I$9:$AC$28,$BE26,BY$8)&gt;0)</f>
        <v>0</v>
      </c>
      <c r="BZ26" s="244">
        <f t="array" ref="BZ26">(SUM(($BF$8:$BZ$8&lt;BZ$8)*($BE$9:$BE$28&lt;$BE26)*$I$9:$AC$28)+SUM(($BF$8:$BZ$8&gt;BZ$8)*($BE$9:$BE$28&gt;$BE26)*$I$9:$AC$28)-(SUM(($BF$8:$BZ$8&gt;BZ$8)*($BE$9:$BE$28&lt;$BE26)*$I$9:$AC$28)+SUM(($BF$8:$BZ$8&lt;BZ$8)*($BE$9:$BE$28&gt;$BE26)*$I$9:$AC$28)))*(INDEX($I$9:$AC$28,$BE26,BZ$8)&gt;0)</f>
        <v>0</v>
      </c>
      <c r="CA26" s="45"/>
      <c r="CE26" s="4">
        <v>0</v>
      </c>
      <c r="CF26" s="4">
        <v>0</v>
      </c>
      <c r="CG26" s="4" t="b">
        <v>0</v>
      </c>
      <c r="CH26" s="4">
        <v>0</v>
      </c>
    </row>
    <row r="27" spans="1:86" x14ac:dyDescent="0.35">
      <c r="A27" s="45"/>
      <c r="B27" s="119" t="s">
        <v>57</v>
      </c>
      <c r="C27" s="424" t="s">
        <v>252</v>
      </c>
      <c r="D27" s="95"/>
      <c r="E27" s="96"/>
      <c r="F27" s="270"/>
      <c r="G27" s="266"/>
      <c r="H27" s="267"/>
      <c r="I27" s="99"/>
      <c r="J27" s="96"/>
      <c r="K27" s="96"/>
      <c r="L27" s="96"/>
      <c r="M27" s="96"/>
      <c r="N27" s="96"/>
      <c r="O27" s="96"/>
      <c r="P27" s="96"/>
      <c r="Q27" s="96"/>
      <c r="R27" s="96"/>
      <c r="S27" s="96"/>
      <c r="T27" s="96"/>
      <c r="U27" s="96"/>
      <c r="V27" s="96"/>
      <c r="W27" s="96"/>
      <c r="X27" s="96"/>
      <c r="Y27" s="96"/>
      <c r="Z27" s="96"/>
      <c r="AA27" s="96"/>
      <c r="AB27" s="96"/>
      <c r="AC27" s="100"/>
      <c r="AD27" s="268"/>
      <c r="AE27" s="266"/>
      <c r="AF27" s="267"/>
      <c r="AG27" s="45"/>
      <c r="AH27" s="259" t="str">
        <f>IF(AND(COUNTA(D27:AF27)=0,D28=""),"",IF(AND('2.1'!E27=0,COUNTA(H27:AF27)&gt;0),"NOT OK",IF(AND(COUNTA(D27:AF27)=0,D28&lt;&gt;""),"NOT OK",IF(OR(AJ27="NOT OK",AK27="NOT OK",AL27="NOT OK",AT27="NOT OK"),"NOT OK",IF(OR(AO27="WARNING",AR27="WARNING"),"WARNING","OK")))))</f>
        <v/>
      </c>
      <c r="AI27" s="276" t="str">
        <f>IF(AND(COUNTA(D27:AF27)=0,'2.1'!D28=""),"",IF(AND(E27=0,COUNTA(H27:AF27)&gt;0),"As number of facilities is zero, please leave columns H to AF empty.",IF(AND(COUNTA(D27:AF27)=0,D28&lt;&gt;""),"Empty lines between grades not allowed.",IF(AND(D27&lt;&gt;"",OR(E27="",G27="")),"Information is missing for this facility grade/pool. Please report number of facilities and average LGD estimate.",IF(AJ27="NOT OK","Row incomplete. Check if zeros values are missing in the row.",IF(AK27="NOT OK","The number of facilities in buckets does not sum up to the total number.",IF(AL27="NOT OK","Please order the pools in ascending order of the weighted average of estimated LGD.",IF(AT27="NOT OK","The p-value of t-Test differs from ECB calculation.",IF(AO27="WARNING","The average LGD^R seems implausible with the given LGD realisation.",IF(AR27="WARNING","The variance of the LGD seems implausible with the given realisation.",""))))))))))</f>
        <v/>
      </c>
      <c r="AJ27" s="262" t="str">
        <f>IF(AND(COUNTA(D27:AF27)=0,'2.1'!D28=""),"",IF(AND(D27&lt;&gt;"",OR(E27="",G27="")),"NOT OK",IF(AND(D27&lt;&gt;"",E27&lt;&gt;"",E27=0,G27&lt;&gt;""),"OK",IF(COUNTA(D27:AF27)=COUNTA($D$9:$D$28)+7+1,"OK",IF(AND(E27=1,COUNTA(D27:AF27)=COUNTA($D$9:$D$28)+4+1),"OK","NOT OK")))))</f>
        <v/>
      </c>
      <c r="AK27" s="262" t="str">
        <f>IF(OR(AND(D27&lt;&gt;"",'2.1'!E27 =0),COUNTA(D27:AF27)=0),"",IF(E27=SUM(I27:AC27),"OK","NOT OK"))</f>
        <v/>
      </c>
      <c r="AL27" s="507" t="str">
        <f>IF('2.1'!G27="","",IF(G27&lt;G26,"NOT OK", "OK"))</f>
        <v/>
      </c>
      <c r="AM27" s="516" t="str">
        <f t="array" ref="AM27">IFERROR(SUM(I27:AC27*TRANSPOSE($AU$8:$AU$28))/SUM(I27:AC27),"")</f>
        <v/>
      </c>
      <c r="AN27" s="271" t="str">
        <f t="array" ref="AN27">IFERROR(SUM(I27:AC27*TRANSPOSE($AV$8:$AV$28))/SUM(I27:AC27),"")</f>
        <v/>
      </c>
      <c r="AO27" s="275" t="str">
        <f>IF(OR(AND(D27&lt;&gt;"",'2.1'!E27 =0),COUNTA(D27:AF27)=0),"",IFERROR(IF(AND(H27&gt;=AM27,H27&lt;=AN27),"OK","WARNING"),""))</f>
        <v/>
      </c>
      <c r="AP27" s="516" t="str">
        <f>IF(COUNTA(H27:AF27)=0,"",IFERROR('2.1'!BG56,""))</f>
        <v/>
      </c>
      <c r="AQ27" s="271" t="str">
        <f>IF(COUNTA(H27:AF27)=0,"",IFERROR('2.1'!BF56,""))</f>
        <v/>
      </c>
      <c r="AR27" s="275" t="str">
        <f>IF(OR(AND(D27&lt;&gt;"",E27 =0),COUNTA(D27:AF27)=0),"",IFERROR(IF(AND('2.1'!AD27&gt;=AP27,AD27&lt;=AQ27),"OK","WARNING"),""))</f>
        <v/>
      </c>
      <c r="AS27" s="510" t="str">
        <f>IFERROR(IF(COUNTA(D27:AF27)=0,"",1-_xlfn.T.DIST(SQRT(E27)*(H27-G27)/SQRT('2.1'!AD27),E27-1,TRUE)),"")</f>
        <v/>
      </c>
      <c r="AT27" s="275" t="str">
        <f>IFERROR(IF(COUNTA(D27:AF27)=0,"",IF(ABS(AF27-'2.1'!AS27)&gt;0.00001,"NOT OK","OK")),"")</f>
        <v/>
      </c>
      <c r="AU27" s="220">
        <f>'2.1'!G27</f>
        <v>0</v>
      </c>
      <c r="AV27" s="218">
        <f>IF('2.1'!G28&lt;&gt;"",G28,IF(G27=0,0,3))</f>
        <v>0</v>
      </c>
      <c r="AW27" s="221">
        <f>IFERROR('2.1'!AV27/2+AU27/2,"")</f>
        <v>0</v>
      </c>
      <c r="AX27" s="45"/>
      <c r="AY27" s="45"/>
      <c r="AZ27" s="45"/>
      <c r="BA27" s="45"/>
      <c r="BB27" s="45"/>
      <c r="BC27" s="45"/>
      <c r="BD27" s="241">
        <f>SUM('2.1'!I27:AC27)</f>
        <v>0</v>
      </c>
      <c r="BE27" s="242">
        <v>19</v>
      </c>
      <c r="BF27" s="243">
        <f t="array" ref="BF27">(SUM(($BF$8:$BZ$8&lt;BF$8)*($BE$9:$BE$28&lt;$BE27)*$I$9:$AC$28)+SUM(($BF$8:$BZ$8&gt;BF$8)*($BE$9:$BE$28&gt;$BE27)*$I$9:$AC$28)-(SUM(($BF$8:$BZ$8&gt;BF$8)*($BE$9:$BE$28&lt;$BE27)*$I$9:$AC$28)+SUM(($BF$8:$BZ$8&lt;BF$8)*($BE$9:$BE$28&gt;$BE27)*$I$9:$AC$28)))*(INDEX($I$9:$AC$28,$BE27,BF$8)&gt;0)</f>
        <v>0</v>
      </c>
      <c r="BG27" s="243">
        <f t="array" ref="BG27">(SUM(($BF$8:$BZ$8&lt;BG$8)*($BE$9:$BE$28&lt;$BE27)*$I$9:$AC$28)+SUM(($BF$8:$BZ$8&gt;BG$8)*($BE$9:$BE$28&gt;$BE27)*$I$9:$AC$28)-(SUM(($BF$8:$BZ$8&gt;BG$8)*($BE$9:$BE$28&lt;$BE27)*$I$9:$AC$28)+SUM(($BF$8:$BZ$8&lt;BG$8)*($BE$9:$BE$28&gt;$BE27)*$I$9:$AC$28)))*(INDEX($I$9:$AC$28,$BE27,BG$8)&gt;0)</f>
        <v>0</v>
      </c>
      <c r="BH27" s="243">
        <f t="array" ref="BH27">(SUM(($BF$8:$BZ$8&lt;BH$8)*($BE$9:$BE$28&lt;$BE27)*$I$9:$AC$28)+SUM(($BF$8:$BZ$8&gt;BH$8)*($BE$9:$BE$28&gt;$BE27)*$I$9:$AC$28)-(SUM(($BF$8:$BZ$8&gt;BH$8)*($BE$9:$BE$28&lt;$BE27)*$I$9:$AC$28)+SUM(($BF$8:$BZ$8&lt;BH$8)*($BE$9:$BE$28&gt;$BE27)*$I$9:$AC$28)))*(INDEX($I$9:$AC$28,$BE27,BH$8)&gt;0)</f>
        <v>0</v>
      </c>
      <c r="BI27" s="243">
        <f t="array" ref="BI27">(SUM(($BF$8:$BZ$8&lt;BI$8)*($BE$9:$BE$28&lt;$BE27)*$I$9:$AC$28)+SUM(($BF$8:$BZ$8&gt;BI$8)*($BE$9:$BE$28&gt;$BE27)*$I$9:$AC$28)-(SUM(($BF$8:$BZ$8&gt;BI$8)*($BE$9:$BE$28&lt;$BE27)*$I$9:$AC$28)+SUM(($BF$8:$BZ$8&lt;BI$8)*($BE$9:$BE$28&gt;$BE27)*$I$9:$AC$28)))*(INDEX($I$9:$AC$28,$BE27,BI$8)&gt;0)</f>
        <v>0</v>
      </c>
      <c r="BJ27" s="243">
        <f t="array" ref="BJ27">(SUM(($BF$8:$BZ$8&lt;BJ$8)*($BE$9:$BE$28&lt;$BE27)*$I$9:$AC$28)+SUM(($BF$8:$BZ$8&gt;BJ$8)*($BE$9:$BE$28&gt;$BE27)*$I$9:$AC$28)-(SUM(($BF$8:$BZ$8&gt;BJ$8)*($BE$9:$BE$28&lt;$BE27)*$I$9:$AC$28)+SUM(($BF$8:$BZ$8&lt;BJ$8)*($BE$9:$BE$28&gt;$BE27)*$I$9:$AC$28)))*(INDEX($I$9:$AC$28,$BE27,BJ$8)&gt;0)</f>
        <v>0</v>
      </c>
      <c r="BK27" s="243">
        <f t="array" ref="BK27">(SUM(($BF$8:$BZ$8&lt;BK$8)*($BE$9:$BE$28&lt;$BE27)*$I$9:$AC$28)+SUM(($BF$8:$BZ$8&gt;BK$8)*($BE$9:$BE$28&gt;$BE27)*$I$9:$AC$28)-(SUM(($BF$8:$BZ$8&gt;BK$8)*($BE$9:$BE$28&lt;$BE27)*$I$9:$AC$28)+SUM(($BF$8:$BZ$8&lt;BK$8)*($BE$9:$BE$28&gt;$BE27)*$I$9:$AC$28)))*(INDEX($I$9:$AC$28,$BE27,BK$8)&gt;0)</f>
        <v>0</v>
      </c>
      <c r="BL27" s="243">
        <f t="array" ref="BL27">(SUM(($BF$8:$BZ$8&lt;BL$8)*($BE$9:$BE$28&lt;$BE27)*$I$9:$AC$28)+SUM(($BF$8:$BZ$8&gt;BL$8)*($BE$9:$BE$28&gt;$BE27)*$I$9:$AC$28)-(SUM(($BF$8:$BZ$8&gt;BL$8)*($BE$9:$BE$28&lt;$BE27)*$I$9:$AC$28)+SUM(($BF$8:$BZ$8&lt;BL$8)*($BE$9:$BE$28&gt;$BE27)*$I$9:$AC$28)))*(INDEX($I$9:$AC$28,$BE27,BL$8)&gt;0)</f>
        <v>0</v>
      </c>
      <c r="BM27" s="243">
        <f t="array" ref="BM27">(SUM(($BF$8:$BZ$8&lt;BM$8)*($BE$9:$BE$28&lt;$BE27)*$I$9:$AC$28)+SUM(($BF$8:$BZ$8&gt;BM$8)*($BE$9:$BE$28&gt;$BE27)*$I$9:$AC$28)-(SUM(($BF$8:$BZ$8&gt;BM$8)*($BE$9:$BE$28&lt;$BE27)*$I$9:$AC$28)+SUM(($BF$8:$BZ$8&lt;BM$8)*($BE$9:$BE$28&gt;$BE27)*$I$9:$AC$28)))*(INDEX($I$9:$AC$28,$BE27,BM$8)&gt;0)</f>
        <v>0</v>
      </c>
      <c r="BN27" s="243">
        <f t="array" ref="BN27">(SUM(($BF$8:$BZ$8&lt;BN$8)*($BE$9:$BE$28&lt;$BE27)*$I$9:$AC$28)+SUM(($BF$8:$BZ$8&gt;BN$8)*($BE$9:$BE$28&gt;$BE27)*$I$9:$AC$28)-(SUM(($BF$8:$BZ$8&gt;BN$8)*($BE$9:$BE$28&lt;$BE27)*$I$9:$AC$28)+SUM(($BF$8:$BZ$8&lt;BN$8)*($BE$9:$BE$28&gt;$BE27)*$I$9:$AC$28)))*(INDEX($I$9:$AC$28,$BE27,BN$8)&gt;0)</f>
        <v>0</v>
      </c>
      <c r="BO27" s="243">
        <f t="array" ref="BO27">(SUM(($BF$8:$BZ$8&lt;BO$8)*($BE$9:$BE$28&lt;$BE27)*$I$9:$AC$28)+SUM(($BF$8:$BZ$8&gt;BO$8)*($BE$9:$BE$28&gt;$BE27)*$I$9:$AC$28)-(SUM(($BF$8:$BZ$8&gt;BO$8)*($BE$9:$BE$28&lt;$BE27)*$I$9:$AC$28)+SUM(($BF$8:$BZ$8&lt;BO$8)*($BE$9:$BE$28&gt;$BE27)*$I$9:$AC$28)))*(INDEX($I$9:$AC$28,$BE27,BO$8)&gt;0)</f>
        <v>0</v>
      </c>
      <c r="BP27" s="243">
        <f t="array" ref="BP27">(SUM(($BF$8:$BZ$8&lt;BP$8)*($BE$9:$BE$28&lt;$BE27)*$I$9:$AC$28)+SUM(($BF$8:$BZ$8&gt;BP$8)*($BE$9:$BE$28&gt;$BE27)*$I$9:$AC$28)-(SUM(($BF$8:$BZ$8&gt;BP$8)*($BE$9:$BE$28&lt;$BE27)*$I$9:$AC$28)+SUM(($BF$8:$BZ$8&lt;BP$8)*($BE$9:$BE$28&gt;$BE27)*$I$9:$AC$28)))*(INDEX($I$9:$AC$28,$BE27,BP$8)&gt;0)</f>
        <v>0</v>
      </c>
      <c r="BQ27" s="243">
        <f t="array" ref="BQ27">(SUM(($BF$8:$BZ$8&lt;BQ$8)*($BE$9:$BE$28&lt;$BE27)*$I$9:$AC$28)+SUM(($BF$8:$BZ$8&gt;BQ$8)*($BE$9:$BE$28&gt;$BE27)*$I$9:$AC$28)-(SUM(($BF$8:$BZ$8&gt;BQ$8)*($BE$9:$BE$28&lt;$BE27)*$I$9:$AC$28)+SUM(($BF$8:$BZ$8&lt;BQ$8)*($BE$9:$BE$28&gt;$BE27)*$I$9:$AC$28)))*(INDEX($I$9:$AC$28,$BE27,BQ$8)&gt;0)</f>
        <v>0</v>
      </c>
      <c r="BR27" s="243">
        <f t="array" ref="BR27">(SUM(($BF$8:$BZ$8&lt;BR$8)*($BE$9:$BE$28&lt;$BE27)*$I$9:$AC$28)+SUM(($BF$8:$BZ$8&gt;BR$8)*($BE$9:$BE$28&gt;$BE27)*$I$9:$AC$28)-(SUM(($BF$8:$BZ$8&gt;BR$8)*($BE$9:$BE$28&lt;$BE27)*$I$9:$AC$28)+SUM(($BF$8:$BZ$8&lt;BR$8)*($BE$9:$BE$28&gt;$BE27)*$I$9:$AC$28)))*(INDEX($I$9:$AC$28,$BE27,BR$8)&gt;0)</f>
        <v>0</v>
      </c>
      <c r="BS27" s="243">
        <f t="array" ref="BS27">(SUM(($BF$8:$BZ$8&lt;BS$8)*($BE$9:$BE$28&lt;$BE27)*$I$9:$AC$28)+SUM(($BF$8:$BZ$8&gt;BS$8)*($BE$9:$BE$28&gt;$BE27)*$I$9:$AC$28)-(SUM(($BF$8:$BZ$8&gt;BS$8)*($BE$9:$BE$28&lt;$BE27)*$I$9:$AC$28)+SUM(($BF$8:$BZ$8&lt;BS$8)*($BE$9:$BE$28&gt;$BE27)*$I$9:$AC$28)))*(INDEX($I$9:$AC$28,$BE27,BS$8)&gt;0)</f>
        <v>0</v>
      </c>
      <c r="BT27" s="243">
        <f t="array" ref="BT27">(SUM(($BF$8:$BZ$8&lt;BT$8)*($BE$9:$BE$28&lt;$BE27)*$I$9:$AC$28)+SUM(($BF$8:$BZ$8&gt;BT$8)*($BE$9:$BE$28&gt;$BE27)*$I$9:$AC$28)-(SUM(($BF$8:$BZ$8&gt;BT$8)*($BE$9:$BE$28&lt;$BE27)*$I$9:$AC$28)+SUM(($BF$8:$BZ$8&lt;BT$8)*($BE$9:$BE$28&gt;$BE27)*$I$9:$AC$28)))*(INDEX($I$9:$AC$28,$BE27,BT$8)&gt;0)</f>
        <v>0</v>
      </c>
      <c r="BU27" s="243">
        <f t="array" ref="BU27">(SUM(($BF$8:$BZ$8&lt;BU$8)*($BE$9:$BE$28&lt;$BE27)*$I$9:$AC$28)+SUM(($BF$8:$BZ$8&gt;BU$8)*($BE$9:$BE$28&gt;$BE27)*$I$9:$AC$28)-(SUM(($BF$8:$BZ$8&gt;BU$8)*($BE$9:$BE$28&lt;$BE27)*$I$9:$AC$28)+SUM(($BF$8:$BZ$8&lt;BU$8)*($BE$9:$BE$28&gt;$BE27)*$I$9:$AC$28)))*(INDEX($I$9:$AC$28,$BE27,BU$8)&gt;0)</f>
        <v>0</v>
      </c>
      <c r="BV27" s="243">
        <f t="array" ref="BV27">(SUM(($BF$8:$BZ$8&lt;BV$8)*($BE$9:$BE$28&lt;$BE27)*$I$9:$AC$28)+SUM(($BF$8:$BZ$8&gt;BV$8)*($BE$9:$BE$28&gt;$BE27)*$I$9:$AC$28)-(SUM(($BF$8:$BZ$8&gt;BV$8)*($BE$9:$BE$28&lt;$BE27)*$I$9:$AC$28)+SUM(($BF$8:$BZ$8&lt;BV$8)*($BE$9:$BE$28&gt;$BE27)*$I$9:$AC$28)))*(INDEX($I$9:$AC$28,$BE27,BV$8)&gt;0)</f>
        <v>0</v>
      </c>
      <c r="BW27" s="243">
        <f t="array" ref="BW27">(SUM(($BF$8:$BZ$8&lt;BW$8)*($BE$9:$BE$28&lt;$BE27)*$I$9:$AC$28)+SUM(($BF$8:$BZ$8&gt;BW$8)*($BE$9:$BE$28&gt;$BE27)*$I$9:$AC$28)-(SUM(($BF$8:$BZ$8&gt;BW$8)*($BE$9:$BE$28&lt;$BE27)*$I$9:$AC$28)+SUM(($BF$8:$BZ$8&lt;BW$8)*($BE$9:$BE$28&gt;$BE27)*$I$9:$AC$28)))*(INDEX($I$9:$AC$28,$BE27,BW$8)&gt;0)</f>
        <v>0</v>
      </c>
      <c r="BX27" s="243">
        <f t="array" ref="BX27">(SUM(($BF$8:$BZ$8&lt;BX$8)*($BE$9:$BE$28&lt;$BE27)*$I$9:$AC$28)+SUM(($BF$8:$BZ$8&gt;BX$8)*($BE$9:$BE$28&gt;$BE27)*$I$9:$AC$28)-(SUM(($BF$8:$BZ$8&gt;BX$8)*($BE$9:$BE$28&lt;$BE27)*$I$9:$AC$28)+SUM(($BF$8:$BZ$8&lt;BX$8)*($BE$9:$BE$28&gt;$BE27)*$I$9:$AC$28)))*(INDEX($I$9:$AC$28,$BE27,BX$8)&gt;0)</f>
        <v>0</v>
      </c>
      <c r="BY27" s="243">
        <f t="array" ref="BY27">(SUM(($BF$8:$BZ$8&lt;BY$8)*($BE$9:$BE$28&lt;$BE27)*$I$9:$AC$28)+SUM(($BF$8:$BZ$8&gt;BY$8)*($BE$9:$BE$28&gt;$BE27)*$I$9:$AC$28)-(SUM(($BF$8:$BZ$8&gt;BY$8)*($BE$9:$BE$28&lt;$BE27)*$I$9:$AC$28)+SUM(($BF$8:$BZ$8&lt;BY$8)*($BE$9:$BE$28&gt;$BE27)*$I$9:$AC$28)))*(INDEX($I$9:$AC$28,$BE27,BY$8)&gt;0)</f>
        <v>0</v>
      </c>
      <c r="BZ27" s="244">
        <f t="array" ref="BZ27">(SUM(($BF$8:$BZ$8&lt;BZ$8)*($BE$9:$BE$28&lt;$BE27)*$I$9:$AC$28)+SUM(($BF$8:$BZ$8&gt;BZ$8)*($BE$9:$BE$28&gt;$BE27)*$I$9:$AC$28)-(SUM(($BF$8:$BZ$8&gt;BZ$8)*($BE$9:$BE$28&lt;$BE27)*$I$9:$AC$28)+SUM(($BF$8:$BZ$8&lt;BZ$8)*($BE$9:$BE$28&gt;$BE27)*$I$9:$AC$28)))*(INDEX($I$9:$AC$28,$BE27,BZ$8)&gt;0)</f>
        <v>0</v>
      </c>
      <c r="CA27" s="45"/>
      <c r="CE27" s="4">
        <v>0</v>
      </c>
      <c r="CF27" s="4">
        <v>0</v>
      </c>
      <c r="CG27" s="4" t="b">
        <v>0</v>
      </c>
      <c r="CH27" s="4">
        <v>0</v>
      </c>
    </row>
    <row r="28" spans="1:86" ht="15" thickBot="1" x14ac:dyDescent="0.4">
      <c r="A28" s="45"/>
      <c r="B28" s="120" t="s">
        <v>58</v>
      </c>
      <c r="C28" s="425" t="s">
        <v>253</v>
      </c>
      <c r="D28" s="101"/>
      <c r="E28" s="103"/>
      <c r="F28" s="426"/>
      <c r="G28" s="179"/>
      <c r="H28" s="180"/>
      <c r="I28" s="102"/>
      <c r="J28" s="103"/>
      <c r="K28" s="103"/>
      <c r="L28" s="103"/>
      <c r="M28" s="103"/>
      <c r="N28" s="103"/>
      <c r="O28" s="103"/>
      <c r="P28" s="103"/>
      <c r="Q28" s="103"/>
      <c r="R28" s="103"/>
      <c r="S28" s="103"/>
      <c r="T28" s="103"/>
      <c r="U28" s="103"/>
      <c r="V28" s="103"/>
      <c r="W28" s="103"/>
      <c r="X28" s="103"/>
      <c r="Y28" s="103"/>
      <c r="Z28" s="103"/>
      <c r="AA28" s="103"/>
      <c r="AB28" s="103"/>
      <c r="AC28" s="116"/>
      <c r="AD28" s="182"/>
      <c r="AE28" s="179"/>
      <c r="AF28" s="180"/>
      <c r="AG28" s="45"/>
      <c r="AH28" s="500" t="str">
        <f>IF(AND(COUNTA(D28:AF28)=0,D29=""),"",IF(AND('2.1'!E28=0,COUNTA(H28:AF28)&gt;0),"NOT OK",IF(AND(COUNTA(D28:AF28)=0,D29&lt;&gt;""),"NOT OK",IF(OR(AJ28="NOT OK",AK28="NOT OK",AL28="NOT OK",AT28="NOT OK"),"NOT OK",IF(OR(AO28="WARNING",AR28="WARNING"),"WARNING","OK")))))</f>
        <v/>
      </c>
      <c r="AI28" s="501" t="str">
        <f>IF(AND(COUNTA(D28:AF28)=0,'2.1'!D29=""),"",IF(AND(E28=0,COUNTA(H28:AF28)&gt;0),"As number of facilities is zero, please leave columns H to AF empty.",IF(AND(COUNTA(D28:AF28)=0,D29&lt;&gt;""),"Empty lines between grades not allowed.",IF(AND(D28&lt;&gt;"",OR(E28="",G28="")),"Information is missing for this facility grade/pool. Please report number of facilities and average LGD estimate.",IF(AJ28="NOT OK","Row incomplete. Check if zeros values are missing in the row.",IF(AK28="NOT OK","The number of facilities in buckets does not sum up to the total number.",IF(AL28="NOT OK","Please order the pools in ascending order of the weighted average of estimated LGD.",IF(AT28="NOT OK","The p-value of t-Test differs from ECB calculation.",IF(AO28="WARNING","The average LGD^R seems implausible with the given LGD realisation.",IF(AR28="WARNING","The variance of the LGD seems implausible with the given realisation.",""))))))))))</f>
        <v/>
      </c>
      <c r="AJ28" s="502" t="str">
        <f>IF(AND(COUNTA(D28:AF28)=0,'2.1'!D29=""),"",IF(AND(D28&lt;&gt;"",OR(E28="",G28="")),"NOT OK",IF(AND(D28&lt;&gt;"",E28&lt;&gt;"",E28=0,G28&lt;&gt;""),"OK",IF(COUNTA(D28:AF28)=COUNTA($D$9:$D$28)+7+1,"OK",IF(AND(E28=1,COUNTA(D28:AF28)=COUNTA($D$9:$D$28)+4+1),"OK","NOT OK")))))</f>
        <v/>
      </c>
      <c r="AK28" s="502" t="str">
        <f>IF(OR(AND(D28&lt;&gt;"",'2.1'!E28 =0),COUNTA(D28:AF28)=0),"",IF(E28=SUM(I28:AC28),"OK","NOT OK"))</f>
        <v/>
      </c>
      <c r="AL28" s="508" t="str">
        <f>IF('2.1'!G28="","",IF(G28&lt;G27,"NOT OK", "OK"))</f>
        <v/>
      </c>
      <c r="AM28" s="517" t="str">
        <f t="array" ref="AM28">IFERROR(SUM(I28:AC28*TRANSPOSE($AU$8:$AU$28))/SUM(I28:AC28),"")</f>
        <v/>
      </c>
      <c r="AN28" s="272" t="str">
        <f t="array" ref="AN28">IFERROR(SUM(I28:AC28*TRANSPOSE($AV$8:$AV$28))/SUM(I28:AC28),"")</f>
        <v/>
      </c>
      <c r="AO28" s="503" t="str">
        <f>IF(OR(AND(D28&lt;&gt;"",'2.1'!E28 =0),COUNTA(D28:AF28)=0),"",IFERROR(IF(AND(H28&gt;=AM28,H28&lt;=AN28),"OK","WARNING"),""))</f>
        <v/>
      </c>
      <c r="AP28" s="517" t="str">
        <f>IF(COUNTA(H28:AF28)=0,"",IFERROR('2.1'!BG57,""))</f>
        <v/>
      </c>
      <c r="AQ28" s="272" t="str">
        <f>IF(COUNTA(H28:AF28)=0,"",IFERROR('2.1'!BF57,""))</f>
        <v/>
      </c>
      <c r="AR28" s="503" t="str">
        <f>IF(OR(AND(D28&lt;&gt;"",E28 =0),COUNTA(D28:AF28)=0),"",IFERROR(IF(AND('2.1'!AD28&gt;=AP28,AD28&lt;=AQ28),"OK","WARNING"),""))</f>
        <v/>
      </c>
      <c r="AS28" s="511" t="str">
        <f>IFERROR(IF(COUNTA(D28:AF28)=0,"",1-_xlfn.T.DIST(SQRT(E28)*(H28-G28)/SQRT('2.1'!AD28),E28-1,TRUE)),"")</f>
        <v/>
      </c>
      <c r="AT28" s="503" t="str">
        <f>IFERROR(IF(COUNTA(D28:AF28)=0,"",IF(ABS(AF28-'2.1'!AS28)&gt;0.00001,"NOT OK","OK")),"")</f>
        <v/>
      </c>
      <c r="AU28" s="220">
        <f>'2.1'!G28</f>
        <v>0</v>
      </c>
      <c r="AV28" s="218">
        <f>IF('2.1'!G29&lt;&gt;"",G29,IF(G28=0,0,3))</f>
        <v>0</v>
      </c>
      <c r="AW28" s="221">
        <f>IFERROR('2.1'!AV28/2+AU28/2,"")</f>
        <v>0</v>
      </c>
      <c r="AX28" s="45"/>
      <c r="AY28" s="45"/>
      <c r="AZ28" s="45"/>
      <c r="BA28" s="45"/>
      <c r="BB28" s="45"/>
      <c r="BC28" s="45"/>
      <c r="BD28" s="245">
        <f>SUM('2.1'!I28:AC28)</f>
        <v>0</v>
      </c>
      <c r="BE28" s="246">
        <v>20</v>
      </c>
      <c r="BF28" s="247">
        <f t="array" ref="BF28">(SUM(($BF$8:$BZ$8&lt;BF$8)*($BE$9:$BE$28&lt;$BE28)*$I$9:$AC$28)+SUM(($BF$8:$BZ$8&gt;BF$8)*($BE$9:$BE$28&gt;$BE28)*$I$9:$AC$28)-(SUM(($BF$8:$BZ$8&gt;BF$8)*($BE$9:$BE$28&lt;$BE28)*$I$9:$AC$28)+SUM(($BF$8:$BZ$8&lt;BF$8)*($BE$9:$BE$28&gt;$BE28)*$I$9:$AC$28)))*(INDEX($I$9:$AC$28,$BE28,BF$8)&gt;0)</f>
        <v>0</v>
      </c>
      <c r="BG28" s="247">
        <f t="array" ref="BG28">(SUM(($BF$8:$BZ$8&lt;BG$8)*($BE$9:$BE$28&lt;$BE28)*$I$9:$AC$28)+SUM(($BF$8:$BZ$8&gt;BG$8)*($BE$9:$BE$28&gt;$BE28)*$I$9:$AC$28)-(SUM(($BF$8:$BZ$8&gt;BG$8)*($BE$9:$BE$28&lt;$BE28)*$I$9:$AC$28)+SUM(($BF$8:$BZ$8&lt;BG$8)*($BE$9:$BE$28&gt;$BE28)*$I$9:$AC$28)))*(INDEX($I$9:$AC$28,$BE28,BG$8)&gt;0)</f>
        <v>0</v>
      </c>
      <c r="BH28" s="247">
        <f t="array" ref="BH28">(SUM(($BF$8:$BZ$8&lt;BH$8)*($BE$9:$BE$28&lt;$BE28)*$I$9:$AC$28)+SUM(($BF$8:$BZ$8&gt;BH$8)*($BE$9:$BE$28&gt;$BE28)*$I$9:$AC$28)-(SUM(($BF$8:$BZ$8&gt;BH$8)*($BE$9:$BE$28&lt;$BE28)*$I$9:$AC$28)+SUM(($BF$8:$BZ$8&lt;BH$8)*($BE$9:$BE$28&gt;$BE28)*$I$9:$AC$28)))*(INDEX($I$9:$AC$28,$BE28,BH$8)&gt;0)</f>
        <v>0</v>
      </c>
      <c r="BI28" s="247">
        <f t="array" ref="BI28">(SUM(($BF$8:$BZ$8&lt;BI$8)*($BE$9:$BE$28&lt;$BE28)*$I$9:$AC$28)+SUM(($BF$8:$BZ$8&gt;BI$8)*($BE$9:$BE$28&gt;$BE28)*$I$9:$AC$28)-(SUM(($BF$8:$BZ$8&gt;BI$8)*($BE$9:$BE$28&lt;$BE28)*$I$9:$AC$28)+SUM(($BF$8:$BZ$8&lt;BI$8)*($BE$9:$BE$28&gt;$BE28)*$I$9:$AC$28)))*(INDEX($I$9:$AC$28,$BE28,BI$8)&gt;0)</f>
        <v>0</v>
      </c>
      <c r="BJ28" s="247">
        <f t="array" ref="BJ28">(SUM(($BF$8:$BZ$8&lt;BJ$8)*($BE$9:$BE$28&lt;$BE28)*$I$9:$AC$28)+SUM(($BF$8:$BZ$8&gt;BJ$8)*($BE$9:$BE$28&gt;$BE28)*$I$9:$AC$28)-(SUM(($BF$8:$BZ$8&gt;BJ$8)*($BE$9:$BE$28&lt;$BE28)*$I$9:$AC$28)+SUM(($BF$8:$BZ$8&lt;BJ$8)*($BE$9:$BE$28&gt;$BE28)*$I$9:$AC$28)))*(INDEX($I$9:$AC$28,$BE28,BJ$8)&gt;0)</f>
        <v>0</v>
      </c>
      <c r="BK28" s="247">
        <f t="array" ref="BK28">(SUM(($BF$8:$BZ$8&lt;BK$8)*($BE$9:$BE$28&lt;$BE28)*$I$9:$AC$28)+SUM(($BF$8:$BZ$8&gt;BK$8)*($BE$9:$BE$28&gt;$BE28)*$I$9:$AC$28)-(SUM(($BF$8:$BZ$8&gt;BK$8)*($BE$9:$BE$28&lt;$BE28)*$I$9:$AC$28)+SUM(($BF$8:$BZ$8&lt;BK$8)*($BE$9:$BE$28&gt;$BE28)*$I$9:$AC$28)))*(INDEX($I$9:$AC$28,$BE28,BK$8)&gt;0)</f>
        <v>0</v>
      </c>
      <c r="BL28" s="247">
        <f t="array" ref="BL28">(SUM(($BF$8:$BZ$8&lt;BL$8)*($BE$9:$BE$28&lt;$BE28)*$I$9:$AC$28)+SUM(($BF$8:$BZ$8&gt;BL$8)*($BE$9:$BE$28&gt;$BE28)*$I$9:$AC$28)-(SUM(($BF$8:$BZ$8&gt;BL$8)*($BE$9:$BE$28&lt;$BE28)*$I$9:$AC$28)+SUM(($BF$8:$BZ$8&lt;BL$8)*($BE$9:$BE$28&gt;$BE28)*$I$9:$AC$28)))*(INDEX($I$9:$AC$28,$BE28,BL$8)&gt;0)</f>
        <v>0</v>
      </c>
      <c r="BM28" s="247">
        <f t="array" ref="BM28">(SUM(($BF$8:$BZ$8&lt;BM$8)*($BE$9:$BE$28&lt;$BE28)*$I$9:$AC$28)+SUM(($BF$8:$BZ$8&gt;BM$8)*($BE$9:$BE$28&gt;$BE28)*$I$9:$AC$28)-(SUM(($BF$8:$BZ$8&gt;BM$8)*($BE$9:$BE$28&lt;$BE28)*$I$9:$AC$28)+SUM(($BF$8:$BZ$8&lt;BM$8)*($BE$9:$BE$28&gt;$BE28)*$I$9:$AC$28)))*(INDEX($I$9:$AC$28,$BE28,BM$8)&gt;0)</f>
        <v>0</v>
      </c>
      <c r="BN28" s="247">
        <f t="array" ref="BN28">(SUM(($BF$8:$BZ$8&lt;BN$8)*($BE$9:$BE$28&lt;$BE28)*$I$9:$AC$28)+SUM(($BF$8:$BZ$8&gt;BN$8)*($BE$9:$BE$28&gt;$BE28)*$I$9:$AC$28)-(SUM(($BF$8:$BZ$8&gt;BN$8)*($BE$9:$BE$28&lt;$BE28)*$I$9:$AC$28)+SUM(($BF$8:$BZ$8&lt;BN$8)*($BE$9:$BE$28&gt;$BE28)*$I$9:$AC$28)))*(INDEX($I$9:$AC$28,$BE28,BN$8)&gt;0)</f>
        <v>0</v>
      </c>
      <c r="BO28" s="247">
        <f t="array" ref="BO28">(SUM(($BF$8:$BZ$8&lt;BO$8)*($BE$9:$BE$28&lt;$BE28)*$I$9:$AC$28)+SUM(($BF$8:$BZ$8&gt;BO$8)*($BE$9:$BE$28&gt;$BE28)*$I$9:$AC$28)-(SUM(($BF$8:$BZ$8&gt;BO$8)*($BE$9:$BE$28&lt;$BE28)*$I$9:$AC$28)+SUM(($BF$8:$BZ$8&lt;BO$8)*($BE$9:$BE$28&gt;$BE28)*$I$9:$AC$28)))*(INDEX($I$9:$AC$28,$BE28,BO$8)&gt;0)</f>
        <v>0</v>
      </c>
      <c r="BP28" s="247">
        <f t="array" ref="BP28">(SUM(($BF$8:$BZ$8&lt;BP$8)*($BE$9:$BE$28&lt;$BE28)*$I$9:$AC$28)+SUM(($BF$8:$BZ$8&gt;BP$8)*($BE$9:$BE$28&gt;$BE28)*$I$9:$AC$28)-(SUM(($BF$8:$BZ$8&gt;BP$8)*($BE$9:$BE$28&lt;$BE28)*$I$9:$AC$28)+SUM(($BF$8:$BZ$8&lt;BP$8)*($BE$9:$BE$28&gt;$BE28)*$I$9:$AC$28)))*(INDEX($I$9:$AC$28,$BE28,BP$8)&gt;0)</f>
        <v>0</v>
      </c>
      <c r="BQ28" s="247">
        <f t="array" ref="BQ28">(SUM(($BF$8:$BZ$8&lt;BQ$8)*($BE$9:$BE$28&lt;$BE28)*$I$9:$AC$28)+SUM(($BF$8:$BZ$8&gt;BQ$8)*($BE$9:$BE$28&gt;$BE28)*$I$9:$AC$28)-(SUM(($BF$8:$BZ$8&gt;BQ$8)*($BE$9:$BE$28&lt;$BE28)*$I$9:$AC$28)+SUM(($BF$8:$BZ$8&lt;BQ$8)*($BE$9:$BE$28&gt;$BE28)*$I$9:$AC$28)))*(INDEX($I$9:$AC$28,$BE28,BQ$8)&gt;0)</f>
        <v>0</v>
      </c>
      <c r="BR28" s="247">
        <f t="array" ref="BR28">(SUM(($BF$8:$BZ$8&lt;BR$8)*($BE$9:$BE$28&lt;$BE28)*$I$9:$AC$28)+SUM(($BF$8:$BZ$8&gt;BR$8)*($BE$9:$BE$28&gt;$BE28)*$I$9:$AC$28)-(SUM(($BF$8:$BZ$8&gt;BR$8)*($BE$9:$BE$28&lt;$BE28)*$I$9:$AC$28)+SUM(($BF$8:$BZ$8&lt;BR$8)*($BE$9:$BE$28&gt;$BE28)*$I$9:$AC$28)))*(INDEX($I$9:$AC$28,$BE28,BR$8)&gt;0)</f>
        <v>0</v>
      </c>
      <c r="BS28" s="247">
        <f t="array" ref="BS28">(SUM(($BF$8:$BZ$8&lt;BS$8)*($BE$9:$BE$28&lt;$BE28)*$I$9:$AC$28)+SUM(($BF$8:$BZ$8&gt;BS$8)*($BE$9:$BE$28&gt;$BE28)*$I$9:$AC$28)-(SUM(($BF$8:$BZ$8&gt;BS$8)*($BE$9:$BE$28&lt;$BE28)*$I$9:$AC$28)+SUM(($BF$8:$BZ$8&lt;BS$8)*($BE$9:$BE$28&gt;$BE28)*$I$9:$AC$28)))*(INDEX($I$9:$AC$28,$BE28,BS$8)&gt;0)</f>
        <v>0</v>
      </c>
      <c r="BT28" s="247">
        <f t="array" ref="BT28">(SUM(($BF$8:$BZ$8&lt;BT$8)*($BE$9:$BE$28&lt;$BE28)*$I$9:$AC$28)+SUM(($BF$8:$BZ$8&gt;BT$8)*($BE$9:$BE$28&gt;$BE28)*$I$9:$AC$28)-(SUM(($BF$8:$BZ$8&gt;BT$8)*($BE$9:$BE$28&lt;$BE28)*$I$9:$AC$28)+SUM(($BF$8:$BZ$8&lt;BT$8)*($BE$9:$BE$28&gt;$BE28)*$I$9:$AC$28)))*(INDEX($I$9:$AC$28,$BE28,BT$8)&gt;0)</f>
        <v>0</v>
      </c>
      <c r="BU28" s="247">
        <f t="array" ref="BU28">(SUM(($BF$8:$BZ$8&lt;BU$8)*($BE$9:$BE$28&lt;$BE28)*$I$9:$AC$28)+SUM(($BF$8:$BZ$8&gt;BU$8)*($BE$9:$BE$28&gt;$BE28)*$I$9:$AC$28)-(SUM(($BF$8:$BZ$8&gt;BU$8)*($BE$9:$BE$28&lt;$BE28)*$I$9:$AC$28)+SUM(($BF$8:$BZ$8&lt;BU$8)*($BE$9:$BE$28&gt;$BE28)*$I$9:$AC$28)))*(INDEX($I$9:$AC$28,$BE28,BU$8)&gt;0)</f>
        <v>0</v>
      </c>
      <c r="BV28" s="247">
        <f t="array" ref="BV28">(SUM(($BF$8:$BZ$8&lt;BV$8)*($BE$9:$BE$28&lt;$BE28)*$I$9:$AC$28)+SUM(($BF$8:$BZ$8&gt;BV$8)*($BE$9:$BE$28&gt;$BE28)*$I$9:$AC$28)-(SUM(($BF$8:$BZ$8&gt;BV$8)*($BE$9:$BE$28&lt;$BE28)*$I$9:$AC$28)+SUM(($BF$8:$BZ$8&lt;BV$8)*($BE$9:$BE$28&gt;$BE28)*$I$9:$AC$28)))*(INDEX($I$9:$AC$28,$BE28,BV$8)&gt;0)</f>
        <v>0</v>
      </c>
      <c r="BW28" s="247">
        <f t="array" ref="BW28">(SUM(($BF$8:$BZ$8&lt;BW$8)*($BE$9:$BE$28&lt;$BE28)*$I$9:$AC$28)+SUM(($BF$8:$BZ$8&gt;BW$8)*($BE$9:$BE$28&gt;$BE28)*$I$9:$AC$28)-(SUM(($BF$8:$BZ$8&gt;BW$8)*($BE$9:$BE$28&lt;$BE28)*$I$9:$AC$28)+SUM(($BF$8:$BZ$8&lt;BW$8)*($BE$9:$BE$28&gt;$BE28)*$I$9:$AC$28)))*(INDEX($I$9:$AC$28,$BE28,BW$8)&gt;0)</f>
        <v>0</v>
      </c>
      <c r="BX28" s="247">
        <f t="array" ref="BX28">(SUM(($BF$8:$BZ$8&lt;BX$8)*($BE$9:$BE$28&lt;$BE28)*$I$9:$AC$28)+SUM(($BF$8:$BZ$8&gt;BX$8)*($BE$9:$BE$28&gt;$BE28)*$I$9:$AC$28)-(SUM(($BF$8:$BZ$8&gt;BX$8)*($BE$9:$BE$28&lt;$BE28)*$I$9:$AC$28)+SUM(($BF$8:$BZ$8&lt;BX$8)*($BE$9:$BE$28&gt;$BE28)*$I$9:$AC$28)))*(INDEX($I$9:$AC$28,$BE28,BX$8)&gt;0)</f>
        <v>0</v>
      </c>
      <c r="BY28" s="247">
        <f t="array" ref="BY28">(SUM(($BF$8:$BZ$8&lt;BY$8)*($BE$9:$BE$28&lt;$BE28)*$I$9:$AC$28)+SUM(($BF$8:$BZ$8&gt;BY$8)*($BE$9:$BE$28&gt;$BE28)*$I$9:$AC$28)-(SUM(($BF$8:$BZ$8&gt;BY$8)*($BE$9:$BE$28&lt;$BE28)*$I$9:$AC$28)+SUM(($BF$8:$BZ$8&lt;BY$8)*($BE$9:$BE$28&gt;$BE28)*$I$9:$AC$28)))*(INDEX($I$9:$AC$28,$BE28,BY$8)&gt;0)</f>
        <v>0</v>
      </c>
      <c r="BZ28" s="248">
        <f t="array" ref="BZ28">(SUM(($BF$8:$BZ$8&lt;BZ$8)*($BE$9:$BE$28&lt;$BE28)*$I$9:$AC$28)+SUM(($BF$8:$BZ$8&gt;BZ$8)*($BE$9:$BE$28&gt;$BE28)*$I$9:$AC$28)-(SUM(($BF$8:$BZ$8&gt;BZ$8)*($BE$9:$BE$28&lt;$BE28)*$I$9:$AC$28)+SUM(($BF$8:$BZ$8&lt;BZ$8)*($BE$9:$BE$28&gt;$BE28)*$I$9:$AC$28)))*(INDEX($I$9:$AC$28,$BE28,BZ$8)&gt;0)</f>
        <v>0</v>
      </c>
      <c r="CA28" s="45"/>
      <c r="CE28" s="4">
        <v>0</v>
      </c>
      <c r="CF28" s="4">
        <v>0</v>
      </c>
      <c r="CG28" s="4" t="b">
        <v>0</v>
      </c>
      <c r="CH28" s="4">
        <v>0</v>
      </c>
    </row>
    <row r="29" spans="1:86" ht="12.75" customHeight="1" x14ac:dyDescent="0.35">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5"/>
      <c r="CA29" s="45"/>
    </row>
    <row r="35" spans="36:61" hidden="1" x14ac:dyDescent="0.35">
      <c r="AJ35" s="5" t="s">
        <v>136</v>
      </c>
      <c r="AK35" s="5"/>
      <c r="AL35" s="696" t="s">
        <v>348</v>
      </c>
      <c r="AM35" s="696"/>
      <c r="AN35" s="696"/>
      <c r="AO35" s="696"/>
      <c r="AP35" s="696"/>
      <c r="AQ35" s="696"/>
      <c r="AR35" s="696"/>
      <c r="AS35" s="696"/>
      <c r="AT35" s="696"/>
      <c r="AU35" s="696"/>
      <c r="AV35" s="696"/>
      <c r="AW35" s="696"/>
      <c r="AX35" s="696"/>
      <c r="AY35" s="696"/>
      <c r="AZ35" s="696"/>
      <c r="BA35" s="696"/>
      <c r="BB35" s="696"/>
      <c r="BC35" s="696"/>
      <c r="BD35" s="696"/>
      <c r="BE35" s="696"/>
    </row>
    <row r="36" spans="36:61" hidden="1" x14ac:dyDescent="0.35">
      <c r="AJ36" s="5" t="s">
        <v>137</v>
      </c>
      <c r="AK36" s="5" t="s">
        <v>10</v>
      </c>
      <c r="AL36" s="427">
        <f>'2.1'!D9</f>
        <v>0</v>
      </c>
      <c r="AM36" s="427">
        <f>D10</f>
        <v>0</v>
      </c>
      <c r="AN36" s="427">
        <f>D11</f>
        <v>0</v>
      </c>
      <c r="AO36" s="427">
        <f>D12</f>
        <v>0</v>
      </c>
      <c r="AP36" s="427">
        <f>D13</f>
        <v>0</v>
      </c>
      <c r="AQ36" s="427">
        <f>D14</f>
        <v>0</v>
      </c>
      <c r="AR36" s="427">
        <f>D15</f>
        <v>0</v>
      </c>
      <c r="AS36" s="427">
        <f>D16</f>
        <v>0</v>
      </c>
      <c r="AT36" s="427">
        <f>D17</f>
        <v>0</v>
      </c>
      <c r="AU36" s="427">
        <f>D18</f>
        <v>0</v>
      </c>
      <c r="AV36" s="427">
        <f>D19</f>
        <v>0</v>
      </c>
      <c r="AW36" s="376">
        <f>D20</f>
        <v>0</v>
      </c>
      <c r="AX36" s="376">
        <f>D21</f>
        <v>0</v>
      </c>
      <c r="AY36" s="376">
        <f>D22</f>
        <v>0</v>
      </c>
      <c r="AZ36" s="376">
        <f>D23</f>
        <v>0</v>
      </c>
      <c r="BA36" s="376">
        <f>D24</f>
        <v>0</v>
      </c>
      <c r="BB36" s="376">
        <f>D25</f>
        <v>0</v>
      </c>
      <c r="BC36" s="376">
        <f>D26</f>
        <v>0</v>
      </c>
      <c r="BD36" s="376">
        <f>D27</f>
        <v>0</v>
      </c>
      <c r="BE36" s="376">
        <f>D28</f>
        <v>0</v>
      </c>
      <c r="BF36" s="427" t="s">
        <v>135</v>
      </c>
      <c r="BG36" s="427" t="s">
        <v>138</v>
      </c>
    </row>
    <row r="37" spans="36:61" hidden="1" x14ac:dyDescent="0.35">
      <c r="AJ37" s="428">
        <f>'2.1'!D9</f>
        <v>0</v>
      </c>
      <c r="AK37" s="409">
        <f>'2.1'!$H$7</f>
        <v>0</v>
      </c>
      <c r="AL37" s="409">
        <f>'2.1'!H$9</f>
        <v>0</v>
      </c>
      <c r="AM37" s="409">
        <f>'2.1'!H$10</f>
        <v>0</v>
      </c>
      <c r="AN37" s="409">
        <f>'2.1'!$H$11</f>
        <v>0</v>
      </c>
      <c r="AO37" s="409">
        <f>'2.1'!$H$12</f>
        <v>0</v>
      </c>
      <c r="AP37" s="409">
        <f>'2.1'!$H$13</f>
        <v>0</v>
      </c>
      <c r="AQ37" s="409">
        <f>'2.1'!$H$14</f>
        <v>0</v>
      </c>
      <c r="AR37" s="409">
        <f>'2.1'!$H$15</f>
        <v>0</v>
      </c>
      <c r="AS37" s="409">
        <f>'2.1'!$H$16</f>
        <v>0</v>
      </c>
      <c r="AT37" s="409">
        <f>'2.1'!$H$17</f>
        <v>0</v>
      </c>
      <c r="AU37" s="409">
        <f>'2.1'!$H$18</f>
        <v>0</v>
      </c>
      <c r="AV37" s="409">
        <f>'2.1'!$H$19</f>
        <v>0</v>
      </c>
      <c r="AW37" s="409">
        <f>'2.1'!$H$20</f>
        <v>0</v>
      </c>
      <c r="AX37" s="409">
        <f>'2.1'!$H$21</f>
        <v>0</v>
      </c>
      <c r="AY37" s="409">
        <f>'2.1'!$H$22</f>
        <v>0</v>
      </c>
      <c r="AZ37" s="409">
        <f>'2.1'!$H$23</f>
        <v>0</v>
      </c>
      <c r="BA37" s="409">
        <f>'2.1'!$H$24</f>
        <v>0</v>
      </c>
      <c r="BB37" s="409">
        <f>'2.1'!$H$25</f>
        <v>0</v>
      </c>
      <c r="BC37" s="429">
        <f>'2.1'!$H$26</f>
        <v>0</v>
      </c>
      <c r="BD37" s="409">
        <f>'2.1'!$H$27</f>
        <v>0</v>
      </c>
      <c r="BE37" s="409">
        <f>'2.1'!$H$28</f>
        <v>0</v>
      </c>
      <c r="BF37" s="430">
        <f t="array" ref="BF37">IFERROR(SUM(($AU$8:$AU$28-$AK$37:$AK$57)^2*(($AU$8:$AU$28-$AK$37:$AK$57)^2&gt;($AV$8:$AV$28-$AK$37:$AK$57)^2)*TRANSPOSE($I7:$AC7)
         +($AV$8:$AV$28-$AK$37:$AK$57)^2*(($AU$8:$AU$28-$AK$37:$AK$57)^2&lt;=($AV$8:$AV$28-$AK$37:$AK$57)^2)*TRANSPOSE($I7:$AC7)
           )/(SUM($I7:$AC7)-1),"")</f>
        <v>0</v>
      </c>
      <c r="BG37" s="430">
        <f t="array" ref="BG37">IFERROR(SUM(($AU$8:$AU$28-$AK$37:$AK$57)^2*(($AU$8:$AU$28-$AK$37:$AK$57)^2&lt;=($AV$8:$AV$28-$AK$37:$AK$57)^2)*TRANSPOSE($I7:$AC7)
         +($AV$8:$AV$28-$AK$37:$AK$57)^2*(($AU$8:$AU$28-$AK$37:$AK$57)^2&gt;($AV$8:$AV$28-$AK$37:$AK$57)^2)*TRANSPOSE($I7:$AC7)
           )/(SUM($I7:$AC7)-1),"")</f>
        <v>0</v>
      </c>
      <c r="BH37" s="5"/>
      <c r="BI37" s="4" t="b">
        <f t="array" ref="BI37:BI57">($AU$8:$AU$28-$AK$37:$AK$57)^2&gt;($AV$8:$AV$28-$AK$37:$AK$57)^2</f>
        <v>0</v>
      </c>
    </row>
    <row r="38" spans="36:61" hidden="1" x14ac:dyDescent="0.35">
      <c r="AJ38" s="428">
        <f>'2.1'!D10</f>
        <v>0</v>
      </c>
      <c r="AK38" s="409">
        <f>'2.1'!$H$7</f>
        <v>0</v>
      </c>
      <c r="AL38" s="409">
        <f>'2.1'!H$9</f>
        <v>0</v>
      </c>
      <c r="AM38" s="409">
        <f>'2.1'!H$10</f>
        <v>0</v>
      </c>
      <c r="AN38" s="409">
        <f>'2.1'!$H$11</f>
        <v>0</v>
      </c>
      <c r="AO38" s="409">
        <f>'2.1'!$H$12</f>
        <v>0</v>
      </c>
      <c r="AP38" s="409">
        <f>'2.1'!$H$13</f>
        <v>0</v>
      </c>
      <c r="AQ38" s="409">
        <f>'2.1'!$H$14</f>
        <v>0</v>
      </c>
      <c r="AR38" s="409">
        <f>'2.1'!$H$15</f>
        <v>0</v>
      </c>
      <c r="AS38" s="409">
        <f>'2.1'!$H$16</f>
        <v>0</v>
      </c>
      <c r="AT38" s="409">
        <f>'2.1'!$H$17</f>
        <v>0</v>
      </c>
      <c r="AU38" s="409">
        <f>'2.1'!$H$18</f>
        <v>0</v>
      </c>
      <c r="AV38" s="409">
        <f>'2.1'!$H$19</f>
        <v>0</v>
      </c>
      <c r="AW38" s="409">
        <f>'2.1'!$H$20</f>
        <v>0</v>
      </c>
      <c r="AX38" s="409">
        <f>'2.1'!$H$21</f>
        <v>0</v>
      </c>
      <c r="AY38" s="409">
        <f>'2.1'!$H$22</f>
        <v>0</v>
      </c>
      <c r="AZ38" s="409">
        <f>'2.1'!$H$23</f>
        <v>0</v>
      </c>
      <c r="BA38" s="409">
        <f>'2.1'!$H$24</f>
        <v>0</v>
      </c>
      <c r="BB38" s="409">
        <f>'2.1'!$H$25</f>
        <v>0</v>
      </c>
      <c r="BC38" s="429">
        <f>'2.1'!$H$26</f>
        <v>0</v>
      </c>
      <c r="BD38" s="409">
        <f>'2.1'!$H$27</f>
        <v>0</v>
      </c>
      <c r="BE38" s="409">
        <f>'2.1'!$H$28</f>
        <v>0</v>
      </c>
      <c r="BF38" s="410">
        <f t="array" ref="BF38">IFERROR(SUM(($AU$8:$AU$28-$AL$37:$AL$57)^2*(($AU$8:$AU$28-$AL$37:$AL$57)^2&gt;($AV$8:$AV$28-$AL$37:$AL$57)^2)*TRANSPOSE($I9:$AC9)
         +($AV$8:$AV$28-$AL$37:$AL$57)^2*(($AU$8:$AU$28-$AL$37:$AL$57)^2&lt;=($AV$8:$AV$28-$AL$37:$AL$57)^2)*TRANSPOSE($I9:$AC9)
           )/(SUM($I9:$AC9)-1),"")</f>
        <v>0</v>
      </c>
      <c r="BG38" s="410">
        <f t="array" ref="BG38">IFERROR(SUM(($AU$8:$AU$28-$AL$37:$AL$57)^2*(($AU$8:$AU$28-$AL$37:$AL$57)^2&lt;=($AV$8:$AV$28-$AL$37:$AL$57)^2)*TRANSPOSE($I9:$AC9)
         +($AV$8:$AV$28-$AL$37:$AL$57)^2*(($AU$8:$AU$28-$AL$37:$AL$57)^2&gt;($AV$8:$AV$28-$AL$37:$AL$57)^2)*TRANSPOSE($I9:$AC9)
           )/(SUM($I9:$AC9)-1),"")</f>
        <v>0</v>
      </c>
      <c r="BH38" s="5"/>
      <c r="BI38" s="4" t="b">
        <v>0</v>
      </c>
    </row>
    <row r="39" spans="36:61" hidden="1" x14ac:dyDescent="0.35">
      <c r="AJ39" s="428">
        <f>'2.1'!D11</f>
        <v>0</v>
      </c>
      <c r="AK39" s="409">
        <f>'2.1'!$H$7</f>
        <v>0</v>
      </c>
      <c r="AL39" s="409">
        <f>'2.1'!H$9</f>
        <v>0</v>
      </c>
      <c r="AM39" s="409">
        <f>'2.1'!H$10</f>
        <v>0</v>
      </c>
      <c r="AN39" s="409">
        <f>'2.1'!$H$11</f>
        <v>0</v>
      </c>
      <c r="AO39" s="409">
        <f>'2.1'!$H$12</f>
        <v>0</v>
      </c>
      <c r="AP39" s="409">
        <f>'2.1'!$H$13</f>
        <v>0</v>
      </c>
      <c r="AQ39" s="409">
        <f>'2.1'!$H$14</f>
        <v>0</v>
      </c>
      <c r="AR39" s="409">
        <f>'2.1'!$H$15</f>
        <v>0</v>
      </c>
      <c r="AS39" s="409">
        <f>'2.1'!$H$16</f>
        <v>0</v>
      </c>
      <c r="AT39" s="409">
        <f>'2.1'!$H$17</f>
        <v>0</v>
      </c>
      <c r="AU39" s="409">
        <f>'2.1'!$H$18</f>
        <v>0</v>
      </c>
      <c r="AV39" s="409">
        <f>'2.1'!$H$19</f>
        <v>0</v>
      </c>
      <c r="AW39" s="409">
        <f>'2.1'!$H$20</f>
        <v>0</v>
      </c>
      <c r="AX39" s="409">
        <f>'2.1'!$H$21</f>
        <v>0</v>
      </c>
      <c r="AY39" s="409">
        <f>'2.1'!$H$22</f>
        <v>0</v>
      </c>
      <c r="AZ39" s="409">
        <f>'2.1'!$H$23</f>
        <v>0</v>
      </c>
      <c r="BA39" s="409">
        <f>'2.1'!$H$24</f>
        <v>0</v>
      </c>
      <c r="BB39" s="409">
        <f>'2.1'!$H$25</f>
        <v>0</v>
      </c>
      <c r="BC39" s="429">
        <f>'2.1'!$H$26</f>
        <v>0</v>
      </c>
      <c r="BD39" s="409">
        <f>'2.1'!$H$27</f>
        <v>0</v>
      </c>
      <c r="BE39" s="409">
        <f>'2.1'!$H$28</f>
        <v>0</v>
      </c>
      <c r="BF39" s="410">
        <f t="array" ref="BF39">IFERROR(SUM(($AU$8:$AU$28-$AM$37:$AM$57)^2*(($AU$8:$AU$28-$AM$37:$AM$57)^2&gt;($AV$8:$AV$28-$AM$37:$AM$57)^2)*TRANSPOSE($I10:$AC10)
         +($AV$8:$AV$28-$AM$37:$AM$57)^2*(($AU$8:$AU$28-$AM$37:$AM$57)^2&lt;=($AV$8:$AV$28-$AM$37:$AM$57)^2)*TRANSPOSE($I10:$AC10)
           )/(SUM($I10:$AC10)-1),"")</f>
        <v>0</v>
      </c>
      <c r="BG39" s="410">
        <f t="array" ref="BG39">IFERROR(SUM(($AU$8:$AU$28-$AM$37:$AM$57)^2*(($AU$8:$AU$28-$AM$37:$AM$57)^2&lt;=($AV$8:$AV$28-$AM$37:$AM$57)^2)*TRANSPOSE($I10:$AC10)
         +($AV$8:$AV$28-$AM$37:$AM$57)^2*(($AU$8:$AU$28-$AM$37:$AM$57)^2&gt;($AV$8:$AV$28-$AM$37:$AM$57)^2)*TRANSPOSE($I10:$AC10)
           )/(SUM($I10:$AC10)-1),"")</f>
        <v>0</v>
      </c>
      <c r="BH39" s="5"/>
      <c r="BI39" s="4" t="b">
        <v>0</v>
      </c>
    </row>
    <row r="40" spans="36:61" hidden="1" x14ac:dyDescent="0.35">
      <c r="AJ40" s="428">
        <f>'2.1'!D12</f>
        <v>0</v>
      </c>
      <c r="AK40" s="409">
        <f>'2.1'!$H$7</f>
        <v>0</v>
      </c>
      <c r="AL40" s="409">
        <f>'2.1'!H$9</f>
        <v>0</v>
      </c>
      <c r="AM40" s="409">
        <f>'2.1'!H$10</f>
        <v>0</v>
      </c>
      <c r="AN40" s="409">
        <f>'2.1'!$H$11</f>
        <v>0</v>
      </c>
      <c r="AO40" s="409">
        <f>'2.1'!$H$12</f>
        <v>0</v>
      </c>
      <c r="AP40" s="409">
        <f>'2.1'!$H$13</f>
        <v>0</v>
      </c>
      <c r="AQ40" s="409">
        <f>'2.1'!$H$14</f>
        <v>0</v>
      </c>
      <c r="AR40" s="409">
        <f>'2.1'!$H$15</f>
        <v>0</v>
      </c>
      <c r="AS40" s="409">
        <f>'2.1'!$H$16</f>
        <v>0</v>
      </c>
      <c r="AT40" s="409">
        <f>'2.1'!$H$17</f>
        <v>0</v>
      </c>
      <c r="AU40" s="409">
        <f>'2.1'!$H$18</f>
        <v>0</v>
      </c>
      <c r="AV40" s="409">
        <f>'2.1'!$H$19</f>
        <v>0</v>
      </c>
      <c r="AW40" s="409">
        <f>'2.1'!$H$20</f>
        <v>0</v>
      </c>
      <c r="AX40" s="409">
        <f>'2.1'!$H$21</f>
        <v>0</v>
      </c>
      <c r="AY40" s="409">
        <f>'2.1'!$H$22</f>
        <v>0</v>
      </c>
      <c r="AZ40" s="409">
        <f>'2.1'!$H$23</f>
        <v>0</v>
      </c>
      <c r="BA40" s="409">
        <f>'2.1'!$H$24</f>
        <v>0</v>
      </c>
      <c r="BB40" s="409">
        <f>'2.1'!$H$25</f>
        <v>0</v>
      </c>
      <c r="BC40" s="429">
        <f>'2.1'!$H$26</f>
        <v>0</v>
      </c>
      <c r="BD40" s="409">
        <f>'2.1'!$H$27</f>
        <v>0</v>
      </c>
      <c r="BE40" s="409">
        <f>'2.1'!$H$28</f>
        <v>0</v>
      </c>
      <c r="BF40" s="410">
        <f t="array" ref="BF40">IFERROR(SUM(($AU$8:$AU$28-$AN$37:$AN$57)^2*(($AU$8:$AU$28-$AN$37:$AN$57)^2&gt;($AV$8:$AV$28-$AN$37:$AN$57)^2)*TRANSPOSE($I11:$AC11)
         +($AV$8:$AV$28-$AN$37:$AN$57)^2*(($AU$8:$AU$28-$AN$37:$AN$57)^2&lt;=($AV$8:$AV$28-$AN$37:$AN$57)^2)*TRANSPOSE($I11:$AC11)
           )/(SUM($I11:$AC11)-1),"")</f>
        <v>0</v>
      </c>
      <c r="BG40" s="410">
        <f t="array" ref="BG40">IFERROR(SUM(($AU$8:$AU$28-$AN$37:$AN$57)^2*(($AU$8:$AU$28-$AN$37:$AN$57)^2&lt;=($AV$8:$AV$28-$AN$37:$AN$57)^2)*TRANSPOSE($I11:$AC11)
         +($AV$8:$AV$28-$AN$37:$AN$57)^2*(($AU$8:$AU$28-$AN$37:$AN$57)^2&gt;($AV$8:$AV$28-$AN$37:$AN$57)^2)*TRANSPOSE($I11:$AC11)
           )/(SUM($I11:$AC11)-1),"")</f>
        <v>0</v>
      </c>
      <c r="BH40" s="5"/>
      <c r="BI40" s="4" t="b">
        <v>0</v>
      </c>
    </row>
    <row r="41" spans="36:61" hidden="1" x14ac:dyDescent="0.35">
      <c r="AJ41" s="428">
        <f>'2.1'!D13</f>
        <v>0</v>
      </c>
      <c r="AK41" s="409">
        <f>'2.1'!$H$7</f>
        <v>0</v>
      </c>
      <c r="AL41" s="409">
        <f>'2.1'!H$9</f>
        <v>0</v>
      </c>
      <c r="AM41" s="409">
        <f>'2.1'!H$10</f>
        <v>0</v>
      </c>
      <c r="AN41" s="409">
        <f>'2.1'!$H$11</f>
        <v>0</v>
      </c>
      <c r="AO41" s="409">
        <f>'2.1'!$H$12</f>
        <v>0</v>
      </c>
      <c r="AP41" s="409">
        <f>'2.1'!$H$13</f>
        <v>0</v>
      </c>
      <c r="AQ41" s="409">
        <f>'2.1'!$H$14</f>
        <v>0</v>
      </c>
      <c r="AR41" s="409">
        <f>'2.1'!$H$15</f>
        <v>0</v>
      </c>
      <c r="AS41" s="409">
        <f>'2.1'!$H$16</f>
        <v>0</v>
      </c>
      <c r="AT41" s="409">
        <f>'2.1'!$H$17</f>
        <v>0</v>
      </c>
      <c r="AU41" s="409">
        <f>'2.1'!$H$18</f>
        <v>0</v>
      </c>
      <c r="AV41" s="409">
        <f>'2.1'!$H$19</f>
        <v>0</v>
      </c>
      <c r="AW41" s="409">
        <f>'2.1'!$H$20</f>
        <v>0</v>
      </c>
      <c r="AX41" s="409">
        <f>'2.1'!$H$21</f>
        <v>0</v>
      </c>
      <c r="AY41" s="409">
        <f>'2.1'!$H$22</f>
        <v>0</v>
      </c>
      <c r="AZ41" s="409">
        <f>'2.1'!$H$23</f>
        <v>0</v>
      </c>
      <c r="BA41" s="409">
        <f>'2.1'!$H$24</f>
        <v>0</v>
      </c>
      <c r="BB41" s="409">
        <f>'2.1'!$H$25</f>
        <v>0</v>
      </c>
      <c r="BC41" s="429">
        <f>'2.1'!$H$26</f>
        <v>0</v>
      </c>
      <c r="BD41" s="409">
        <f>'2.1'!$H$27</f>
        <v>0</v>
      </c>
      <c r="BE41" s="409">
        <f>'2.1'!$H$28</f>
        <v>0</v>
      </c>
      <c r="BF41" s="410">
        <f t="array" ref="BF41">IFERROR(SUM(($AU$8:$AU$28-$AO$37:$AO$57)^2*(($AU$8:$AU$28-$AO$37:$AO$57)^2&gt;($AV$8:$AV$28-$AO$37:$AO$57)^2)*TRANSPOSE($I12:$AC12)
         +($AV$8:$AV$28-$AO$37:$AO$57)^2*(($AU$8:$AU$28-$AO$37:$AO$57)^2&lt;=($AV$8:$AV$28-$AO$37:$AO$57)^2)*TRANSPOSE($I12:$AC12)
           )/(SUM($I12:$AC12)-1),"")</f>
        <v>0</v>
      </c>
      <c r="BG41" s="410">
        <f t="array" ref="BG41">IFERROR(SUM(($AU$8:$AU$28-$AO$37:$AO$57)^2*(($AU$8:$AU$28-$AO$37:$AO$57)^2&lt;=($AV$8:$AV$28-$AO$37:$AO$57)^2)*TRANSPOSE($I12:$AC12)
         +($AV$8:$AV$28-$AO$37:$AO$57)^2*(($AU$8:$AU$28-$AO$37:$AO$57)^2&gt;($AV$8:$AV$28-$AO$37:$AO$57)^2)*TRANSPOSE($I12:$AC12)
           )/(SUM($I12:$AC12)-1),"")</f>
        <v>0</v>
      </c>
      <c r="BH41" s="5"/>
      <c r="BI41" s="4" t="b">
        <v>0</v>
      </c>
    </row>
    <row r="42" spans="36:61" hidden="1" x14ac:dyDescent="0.35">
      <c r="AJ42" s="428">
        <f>'2.1'!D14</f>
        <v>0</v>
      </c>
      <c r="AK42" s="409">
        <f>'2.1'!$H$7</f>
        <v>0</v>
      </c>
      <c r="AL42" s="409">
        <f>'2.1'!H$9</f>
        <v>0</v>
      </c>
      <c r="AM42" s="409">
        <f>'2.1'!H$10</f>
        <v>0</v>
      </c>
      <c r="AN42" s="409">
        <f>'2.1'!$H$11</f>
        <v>0</v>
      </c>
      <c r="AO42" s="409">
        <f>'2.1'!$H$12</f>
        <v>0</v>
      </c>
      <c r="AP42" s="409">
        <f>'2.1'!$H$13</f>
        <v>0</v>
      </c>
      <c r="AQ42" s="409">
        <f>'2.1'!$H$14</f>
        <v>0</v>
      </c>
      <c r="AR42" s="409">
        <f>'2.1'!$H$15</f>
        <v>0</v>
      </c>
      <c r="AS42" s="409">
        <f>'2.1'!$H$16</f>
        <v>0</v>
      </c>
      <c r="AT42" s="409">
        <f>'2.1'!$H$17</f>
        <v>0</v>
      </c>
      <c r="AU42" s="409">
        <f>'2.1'!$H$18</f>
        <v>0</v>
      </c>
      <c r="AV42" s="409">
        <f>'2.1'!$H$19</f>
        <v>0</v>
      </c>
      <c r="AW42" s="409">
        <f>'2.1'!$H$20</f>
        <v>0</v>
      </c>
      <c r="AX42" s="409">
        <f>'2.1'!$H$21</f>
        <v>0</v>
      </c>
      <c r="AY42" s="409">
        <f>'2.1'!$H$22</f>
        <v>0</v>
      </c>
      <c r="AZ42" s="409">
        <f>'2.1'!$H$23</f>
        <v>0</v>
      </c>
      <c r="BA42" s="409">
        <f>'2.1'!$H$24</f>
        <v>0</v>
      </c>
      <c r="BB42" s="409">
        <f>'2.1'!$H$25</f>
        <v>0</v>
      </c>
      <c r="BC42" s="429">
        <f>'2.1'!$H$26</f>
        <v>0</v>
      </c>
      <c r="BD42" s="409">
        <f>'2.1'!$H$27</f>
        <v>0</v>
      </c>
      <c r="BE42" s="409">
        <f>'2.1'!$H$28</f>
        <v>0</v>
      </c>
      <c r="BF42" s="410">
        <f t="array" ref="BF42">IFERROR(SUM(($AU$8:$AU$28-$AP$37:$AP$57)^2*(($AU$8:$AU$28-$AP$37:$AP$57)^2&gt;($AV$8:$AV$28-$AP$37:$AP$57)^2)*TRANSPOSE($I13:$AC13)
         +($AV$8:$AV$28-$AP$37:$AP$57)^2*(($AU$8:$AU$28-$AP$37:$AP$57)^2&lt;=($AV$8:$AV$28-$AP$37:$AP$57)^2)*TRANSPOSE($I13:$AC13)
           )/(SUM($I13:$AC13)-1),"")</f>
        <v>0</v>
      </c>
      <c r="BG42" s="410">
        <f t="array" ref="BG42">IFERROR(SUM(($AU$8:$AU$28-$AP$37:$AP$57)^2*(($AU$8:$AU$28-$AP$37:$AP$57)^2&lt;=($AV$8:$AV$28-$AP$37:$AP$57)^2)*TRANSPOSE($I13:$AC13)
         +($AV$8:$AV$28-$AP$37:$AP$57)^2*(($AU$8:$AU$28-$AP$37:$AP$57)^2&gt;($AV$8:$AV$28-$AP$37:$AP$57)^2)*TRANSPOSE($I13:$AC13)
           )/(SUM($I13:$AC13)-1),"")</f>
        <v>0</v>
      </c>
      <c r="BH42" s="5"/>
      <c r="BI42" s="4" t="b">
        <v>0</v>
      </c>
    </row>
    <row r="43" spans="36:61" hidden="1" x14ac:dyDescent="0.35">
      <c r="AJ43" s="428">
        <f>'2.1'!D15</f>
        <v>0</v>
      </c>
      <c r="AK43" s="409">
        <f>'2.1'!$H$7</f>
        <v>0</v>
      </c>
      <c r="AL43" s="409">
        <f>'2.1'!H$9</f>
        <v>0</v>
      </c>
      <c r="AM43" s="409">
        <f>'2.1'!H$10</f>
        <v>0</v>
      </c>
      <c r="AN43" s="409">
        <f>'2.1'!$H$11</f>
        <v>0</v>
      </c>
      <c r="AO43" s="409">
        <f>'2.1'!$H$12</f>
        <v>0</v>
      </c>
      <c r="AP43" s="409">
        <f>'2.1'!$H$13</f>
        <v>0</v>
      </c>
      <c r="AQ43" s="409">
        <f>'2.1'!$H$14</f>
        <v>0</v>
      </c>
      <c r="AR43" s="409">
        <f>'2.1'!$H$15</f>
        <v>0</v>
      </c>
      <c r="AS43" s="409">
        <f>'2.1'!$H$16</f>
        <v>0</v>
      </c>
      <c r="AT43" s="409">
        <f>'2.1'!$H$17</f>
        <v>0</v>
      </c>
      <c r="AU43" s="409">
        <f>'2.1'!$H$18</f>
        <v>0</v>
      </c>
      <c r="AV43" s="409">
        <f>'2.1'!$H$19</f>
        <v>0</v>
      </c>
      <c r="AW43" s="409">
        <f>'2.1'!$H$20</f>
        <v>0</v>
      </c>
      <c r="AX43" s="409">
        <f>'2.1'!$H$21</f>
        <v>0</v>
      </c>
      <c r="AY43" s="409">
        <f>'2.1'!$H$22</f>
        <v>0</v>
      </c>
      <c r="AZ43" s="409">
        <f>'2.1'!$H$23</f>
        <v>0</v>
      </c>
      <c r="BA43" s="409">
        <f>'2.1'!$H$24</f>
        <v>0</v>
      </c>
      <c r="BB43" s="409">
        <f>'2.1'!$H$25</f>
        <v>0</v>
      </c>
      <c r="BC43" s="429">
        <f>'2.1'!$H$26</f>
        <v>0</v>
      </c>
      <c r="BD43" s="409">
        <f>'2.1'!$H$27</f>
        <v>0</v>
      </c>
      <c r="BE43" s="409">
        <f>'2.1'!$H$28</f>
        <v>0</v>
      </c>
      <c r="BF43" s="410">
        <f t="array" ref="BF43">IFERROR(SUM(($AU$8:$AU$28-$AQ$37:$AQ$57)^2*(($AU$8:$AU$28-$AQ$37:$AQ$57)^2&gt;($AV$8:$AV$28-$AQ$37:$AQ$57)^2)*TRANSPOSE($I14:$AC14)
         +($AV$8:$AV$28-$AQ$37:$AQ$57)^2*(($AU$8:$AU$28-$AQ$37:$AQ$57)^2&lt;=($AV$8:$AV$28-$AQ$37:$AQ$57)^2)*TRANSPOSE($I14:$AC14)
           )/(SUM($I14:$AC14)-1),"")</f>
        <v>0</v>
      </c>
      <c r="BG43" s="410">
        <f t="array" ref="BG43">IFERROR(SUM(($AU$8:$AU$28-$AQ$37:$AQ$57)^2*(($AU$8:$AU$28-$AQ$37:$AQ$57)^2&lt;=($AV$8:$AV$28-$AQ$37:$AQ$57)^2)*TRANSPOSE($I14:$AC14)
         +($AV$8:$AV$28-$AQ$37:$AQ$57)^2*(($AU$8:$AU$28-$AQ$37:$AQ$57)^2&gt;($AV$8:$AV$28-$AQ$37:$AQ$57)^2)*TRANSPOSE($I14:$AC14)
           )/(SUM($I14:$AC14)-1),"")</f>
        <v>0</v>
      </c>
      <c r="BH43" s="5"/>
      <c r="BI43" s="4" t="b">
        <v>0</v>
      </c>
    </row>
    <row r="44" spans="36:61" hidden="1" x14ac:dyDescent="0.35">
      <c r="AJ44" s="428">
        <f>'2.1'!D16</f>
        <v>0</v>
      </c>
      <c r="AK44" s="409">
        <f>'2.1'!$H$7</f>
        <v>0</v>
      </c>
      <c r="AL44" s="409">
        <f>'2.1'!H$9</f>
        <v>0</v>
      </c>
      <c r="AM44" s="409">
        <f>'2.1'!H$10</f>
        <v>0</v>
      </c>
      <c r="AN44" s="409">
        <f>'2.1'!$H$11</f>
        <v>0</v>
      </c>
      <c r="AO44" s="409">
        <f>'2.1'!$H$12</f>
        <v>0</v>
      </c>
      <c r="AP44" s="409">
        <f>'2.1'!$H$13</f>
        <v>0</v>
      </c>
      <c r="AQ44" s="409">
        <f>'2.1'!$H$14</f>
        <v>0</v>
      </c>
      <c r="AR44" s="409">
        <f>'2.1'!$H$15</f>
        <v>0</v>
      </c>
      <c r="AS44" s="409">
        <f>'2.1'!$H$16</f>
        <v>0</v>
      </c>
      <c r="AT44" s="409">
        <f>'2.1'!$H$17</f>
        <v>0</v>
      </c>
      <c r="AU44" s="409">
        <f>'2.1'!$H$18</f>
        <v>0</v>
      </c>
      <c r="AV44" s="409">
        <f>'2.1'!$H$19</f>
        <v>0</v>
      </c>
      <c r="AW44" s="409">
        <f>'2.1'!$H$20</f>
        <v>0</v>
      </c>
      <c r="AX44" s="409">
        <f>'2.1'!$H$21</f>
        <v>0</v>
      </c>
      <c r="AY44" s="409">
        <f>'2.1'!$H$22</f>
        <v>0</v>
      </c>
      <c r="AZ44" s="409">
        <f>'2.1'!$H$23</f>
        <v>0</v>
      </c>
      <c r="BA44" s="409">
        <f>'2.1'!$H$24</f>
        <v>0</v>
      </c>
      <c r="BB44" s="409">
        <f>'2.1'!$H$25</f>
        <v>0</v>
      </c>
      <c r="BC44" s="429">
        <f>'2.1'!$H$26</f>
        <v>0</v>
      </c>
      <c r="BD44" s="409">
        <f>'2.1'!$H$27</f>
        <v>0</v>
      </c>
      <c r="BE44" s="409">
        <f>'2.1'!$H$28</f>
        <v>0</v>
      </c>
      <c r="BF44" s="410">
        <f t="array" ref="BF44">IFERROR(SUM(($AU$8:$AU$28-$AR$37:$AR$57)^2*(($AU$8:$AU$28-$AR$37:$AR$57)^2&gt;($AV$8:$AV$28-$AR$37:$AR$57)^2)*TRANSPOSE($I15:$AC15)
         +($AV$8:$AV$28-$AR$37:$AR$57)^2*(($AU$8:$AU$28-$AR$37:$AR$57)^2&lt;=($AV$8:$AV$28-$AR$37:$AR$57)^2)*TRANSPOSE($I15:$AC15)
           )/(SUM($I15:$AC15)-1),"")</f>
        <v>0</v>
      </c>
      <c r="BG44" s="410">
        <f t="array" ref="BG44">IFERROR(SUM(($AU$8:$AU$28-$AR$37:$AR$57)^2*(($AU$8:$AU$28-$AR$37:$AR$57)^2&lt;=($AV$8:$AV$28-$AR$37:$AR$57)^2)*TRANSPOSE($I15:$AC15)
         +($AV$8:$AV$28-$AR$37:$AR$57)^2*(($AU$8:$AU$28-$AR$37:$AR$57)^2&gt;($AV$8:$AV$28-$AR$37:$AR$57)^2)*TRANSPOSE($I15:$AC15)
           )/(SUM($I15:$AC15)-1),"")</f>
        <v>0</v>
      </c>
      <c r="BH44" s="5"/>
      <c r="BI44" s="4" t="b">
        <v>0</v>
      </c>
    </row>
    <row r="45" spans="36:61" hidden="1" x14ac:dyDescent="0.35">
      <c r="AJ45" s="428">
        <f>'2.1'!D17</f>
        <v>0</v>
      </c>
      <c r="AK45" s="409">
        <f>'2.1'!$H$7</f>
        <v>0</v>
      </c>
      <c r="AL45" s="409">
        <f>'2.1'!H$9</f>
        <v>0</v>
      </c>
      <c r="AM45" s="409">
        <f>'2.1'!H$10</f>
        <v>0</v>
      </c>
      <c r="AN45" s="409">
        <f>'2.1'!$H$11</f>
        <v>0</v>
      </c>
      <c r="AO45" s="409">
        <f>'2.1'!$H$12</f>
        <v>0</v>
      </c>
      <c r="AP45" s="409">
        <f>'2.1'!$H$13</f>
        <v>0</v>
      </c>
      <c r="AQ45" s="409">
        <f>'2.1'!$H$14</f>
        <v>0</v>
      </c>
      <c r="AR45" s="409">
        <f>'2.1'!$H$15</f>
        <v>0</v>
      </c>
      <c r="AS45" s="409">
        <f>'2.1'!$H$16</f>
        <v>0</v>
      </c>
      <c r="AT45" s="409">
        <f>'2.1'!$H$17</f>
        <v>0</v>
      </c>
      <c r="AU45" s="409">
        <f>'2.1'!$H$18</f>
        <v>0</v>
      </c>
      <c r="AV45" s="409">
        <f>'2.1'!$H$19</f>
        <v>0</v>
      </c>
      <c r="AW45" s="409">
        <f>'2.1'!$H$20</f>
        <v>0</v>
      </c>
      <c r="AX45" s="409">
        <f>'2.1'!$H$21</f>
        <v>0</v>
      </c>
      <c r="AY45" s="409">
        <f>'2.1'!$H$22</f>
        <v>0</v>
      </c>
      <c r="AZ45" s="409">
        <f>'2.1'!$H$23</f>
        <v>0</v>
      </c>
      <c r="BA45" s="409">
        <f>'2.1'!$H$24</f>
        <v>0</v>
      </c>
      <c r="BB45" s="409">
        <f>'2.1'!$H$25</f>
        <v>0</v>
      </c>
      <c r="BC45" s="429">
        <f>'2.1'!$H$26</f>
        <v>0</v>
      </c>
      <c r="BD45" s="409">
        <f>'2.1'!$H$27</f>
        <v>0</v>
      </c>
      <c r="BE45" s="409">
        <f>'2.1'!$H$28</f>
        <v>0</v>
      </c>
      <c r="BF45" s="410">
        <f t="array" ref="BF45">IFERROR(SUM(($AU$8:$AU$28-$AS$37:$AS$57)^2*(($AU$8:$AU$28-$AS$37:$AS$57)^2&gt;($AV$8:$AV$28-$AS$37:$AS$57)^2)*TRANSPOSE($I16:$AC16)
         +($AV$8:$AV$28-$AS$37:$AS$57)^2*(($AU$8:$AU$28-$AS$37:$AS$57)^2&lt;=($AV$8:$AV$28-$AS$37:$AS$57)^2)*TRANSPOSE($I16:$AC16)
           )/(SUM($I16:$AC16)-1),"")</f>
        <v>0</v>
      </c>
      <c r="BG45" s="410">
        <f t="array" ref="BG45">IFERROR(SUM(($AU$8:$AU$28-$AS$37:$AS$57)^2*(($AU$8:$AU$28-$AS$37:$AS$57)^2&lt;=($AV$8:$AV$28-$AS$37:$AS$57)^2)*TRANSPOSE($I16:$AC16)
         +($AV$8:$AV$28-$AS$37:$AS$57)^2*(($AU$8:$AU$28-$AS$37:$AS$57)^2&gt;($AV$8:$AV$28-$AS$37:$AS$57)^2)*TRANSPOSE($I16:$AC16)
           )/(SUM($I16:$AC16)-1),"")</f>
        <v>0</v>
      </c>
      <c r="BH45" s="5"/>
      <c r="BI45" s="4" t="b">
        <v>0</v>
      </c>
    </row>
    <row r="46" spans="36:61" hidden="1" x14ac:dyDescent="0.35">
      <c r="AJ46" s="428">
        <f>'2.1'!D18</f>
        <v>0</v>
      </c>
      <c r="AK46" s="409">
        <f>'2.1'!$H$7</f>
        <v>0</v>
      </c>
      <c r="AL46" s="409">
        <f>'2.1'!H$9</f>
        <v>0</v>
      </c>
      <c r="AM46" s="409">
        <f>'2.1'!H$10</f>
        <v>0</v>
      </c>
      <c r="AN46" s="409">
        <f>'2.1'!$H$11</f>
        <v>0</v>
      </c>
      <c r="AO46" s="409">
        <f>'2.1'!$H$12</f>
        <v>0</v>
      </c>
      <c r="AP46" s="409">
        <f>'2.1'!$H$13</f>
        <v>0</v>
      </c>
      <c r="AQ46" s="409">
        <f>'2.1'!$H$14</f>
        <v>0</v>
      </c>
      <c r="AR46" s="409">
        <f>'2.1'!$H$15</f>
        <v>0</v>
      </c>
      <c r="AS46" s="409">
        <f>'2.1'!$H$16</f>
        <v>0</v>
      </c>
      <c r="AT46" s="409">
        <f>'2.1'!$H$17</f>
        <v>0</v>
      </c>
      <c r="AU46" s="409">
        <f>'2.1'!$H$18</f>
        <v>0</v>
      </c>
      <c r="AV46" s="409">
        <f>'2.1'!$H$19</f>
        <v>0</v>
      </c>
      <c r="AW46" s="409">
        <f>'2.1'!$H$20</f>
        <v>0</v>
      </c>
      <c r="AX46" s="409">
        <f>'2.1'!$H$21</f>
        <v>0</v>
      </c>
      <c r="AY46" s="409">
        <f>'2.1'!$H$22</f>
        <v>0</v>
      </c>
      <c r="AZ46" s="409">
        <f>'2.1'!$H$23</f>
        <v>0</v>
      </c>
      <c r="BA46" s="409">
        <f>'2.1'!$H$24</f>
        <v>0</v>
      </c>
      <c r="BB46" s="409">
        <f>'2.1'!$H$25</f>
        <v>0</v>
      </c>
      <c r="BC46" s="429">
        <f>'2.1'!$H$26</f>
        <v>0</v>
      </c>
      <c r="BD46" s="409">
        <f>'2.1'!$H$27</f>
        <v>0</v>
      </c>
      <c r="BE46" s="409">
        <f>'2.1'!$H$28</f>
        <v>0</v>
      </c>
      <c r="BF46" s="410">
        <f t="array" ref="BF46">IFERROR(SUM(($AU$8:$AU$28-$AT$37:$AT$57)^2*(($AU$8:$AU$28-$AT$37:$AT$57)^2&gt;($AV$8:$AV$28-$AT$37:$AT$57)^2)*TRANSPOSE($I17:$AC17)
         +($AV$8:$AV$28-$AT$37:$AT$57)^2*(($AU$8:$AU$28-$AT$37:$AT$57)^2&lt;=($AV$8:$AV$28-$AT$37:$AT$57)^2)*TRANSPOSE($I17:$AC17)
           )/(SUM($I17:$AC17)-1),"")</f>
        <v>0</v>
      </c>
      <c r="BG46" s="410">
        <f t="array" ref="BG46">IFERROR(SUM(($AU$8:$AU$28-$AT$37:$AT$57)^2*(($AU$8:$AU$28-$AT$37:$AT$57)^2&lt;=($AV$8:$AV$28-$AT$37:$AT$57)^2)*TRANSPOSE($I17:$AC17)
         +($AV$8:$AV$28-$AT$37:$AT$57)^2*(($AU$8:$AU$28-$AT$37:$AT$57)^2&gt;($AV$8:$AV$28-$AT$37:$AT$57)^2)*TRANSPOSE($I17:$AC17)
           )/(SUM($I17:$AC17)-1),"")</f>
        <v>0</v>
      </c>
      <c r="BH46" s="5"/>
      <c r="BI46" s="4" t="b">
        <v>0</v>
      </c>
    </row>
    <row r="47" spans="36:61" hidden="1" x14ac:dyDescent="0.35">
      <c r="AJ47" s="428">
        <f>'2.1'!D19</f>
        <v>0</v>
      </c>
      <c r="AK47" s="409">
        <f>'2.1'!$H$7</f>
        <v>0</v>
      </c>
      <c r="AL47" s="409">
        <f>'2.1'!H$9</f>
        <v>0</v>
      </c>
      <c r="AM47" s="409">
        <f>'2.1'!H$10</f>
        <v>0</v>
      </c>
      <c r="AN47" s="409">
        <f>'2.1'!$H$11</f>
        <v>0</v>
      </c>
      <c r="AO47" s="409">
        <f>'2.1'!$H$12</f>
        <v>0</v>
      </c>
      <c r="AP47" s="409">
        <f>'2.1'!$H$13</f>
        <v>0</v>
      </c>
      <c r="AQ47" s="409">
        <f>'2.1'!$H$14</f>
        <v>0</v>
      </c>
      <c r="AR47" s="409">
        <f>'2.1'!$H$15</f>
        <v>0</v>
      </c>
      <c r="AS47" s="409">
        <f>'2.1'!$H$16</f>
        <v>0</v>
      </c>
      <c r="AT47" s="409">
        <f>'2.1'!$H$17</f>
        <v>0</v>
      </c>
      <c r="AU47" s="409">
        <f>'2.1'!$H$18</f>
        <v>0</v>
      </c>
      <c r="AV47" s="409">
        <f>'2.1'!$H$19</f>
        <v>0</v>
      </c>
      <c r="AW47" s="409">
        <f>'2.1'!$H$20</f>
        <v>0</v>
      </c>
      <c r="AX47" s="409">
        <f>'2.1'!$H$21</f>
        <v>0</v>
      </c>
      <c r="AY47" s="409">
        <f>'2.1'!$H$22</f>
        <v>0</v>
      </c>
      <c r="AZ47" s="409">
        <f>'2.1'!$H$23</f>
        <v>0</v>
      </c>
      <c r="BA47" s="409">
        <f>'2.1'!$H$24</f>
        <v>0</v>
      </c>
      <c r="BB47" s="409">
        <f>'2.1'!$H$25</f>
        <v>0</v>
      </c>
      <c r="BC47" s="429">
        <f>'2.1'!$H$26</f>
        <v>0</v>
      </c>
      <c r="BD47" s="409">
        <f>'2.1'!$H$27</f>
        <v>0</v>
      </c>
      <c r="BE47" s="409">
        <f>'2.1'!$H$28</f>
        <v>0</v>
      </c>
      <c r="BF47" s="410">
        <f t="array" ref="BF47">IFERROR(SUM(($AU$8:$AU$28-$AU$37:$AU$57)^2*(($AU$8:$AU$28-$AU$37:$AU$57)^2&gt;($AV$8:$AV$28-$AU$37:$AU$57)^2)*TRANSPOSE($I18:$AC18)
         +($AV$8:$AV$28-$AU$37:$AU$57)^2*(($AU$8:$AU$28-$AU$37:$AU$57)^2&lt;=($AV$8:$AV$28-$AU$37:$AU$57)^2)*TRANSPOSE($I18:$AC18)
           )/(SUM($I18:$AC18)-1),"")</f>
        <v>0</v>
      </c>
      <c r="BG47" s="410">
        <f t="array" ref="BG47">IFERROR(SUM(($AU$8:$AU$28-$AU$37:$AU$57)^2*(($AU$8:$AU$28-$AU$37:$AU$57)^2&lt;=($AV$8:$AV$28-$AU$37:$AU$57)^2)*TRANSPOSE($I18:$AC18)
         +($AV$8:$AV$28-$AU$37:$AU$57)^2*(($AU$8:$AU$28-$AU$37:$AU$57)^2&gt;($AV$8:$AV$28-$AU$37:$AU$57)^2)*TRANSPOSE($I18:$AC18)
           )/(SUM($I18:$AC18)-1),"")</f>
        <v>0</v>
      </c>
      <c r="BH47" s="5"/>
      <c r="BI47" s="4" t="b">
        <v>0</v>
      </c>
    </row>
    <row r="48" spans="36:61" hidden="1" x14ac:dyDescent="0.35">
      <c r="AJ48" s="428">
        <f>'2.1'!D20</f>
        <v>0</v>
      </c>
      <c r="AK48" s="409">
        <f>'2.1'!$H$7</f>
        <v>0</v>
      </c>
      <c r="AL48" s="409">
        <f>'2.1'!H$9</f>
        <v>0</v>
      </c>
      <c r="AM48" s="409">
        <f>'2.1'!H$10</f>
        <v>0</v>
      </c>
      <c r="AN48" s="409">
        <f>'2.1'!$H$11</f>
        <v>0</v>
      </c>
      <c r="AO48" s="409">
        <f>'2.1'!$H$12</f>
        <v>0</v>
      </c>
      <c r="AP48" s="409">
        <f>'2.1'!$H$13</f>
        <v>0</v>
      </c>
      <c r="AQ48" s="409">
        <f>'2.1'!$H$14</f>
        <v>0</v>
      </c>
      <c r="AR48" s="409">
        <f>'2.1'!$H$15</f>
        <v>0</v>
      </c>
      <c r="AS48" s="409">
        <f>'2.1'!$H$16</f>
        <v>0</v>
      </c>
      <c r="AT48" s="409">
        <f>'2.1'!$H$17</f>
        <v>0</v>
      </c>
      <c r="AU48" s="409">
        <f>'2.1'!$H$18</f>
        <v>0</v>
      </c>
      <c r="AV48" s="409">
        <f>'2.1'!$H$19</f>
        <v>0</v>
      </c>
      <c r="AW48" s="409">
        <f>'2.1'!$H$20</f>
        <v>0</v>
      </c>
      <c r="AX48" s="409">
        <f>'2.1'!$H$21</f>
        <v>0</v>
      </c>
      <c r="AY48" s="409">
        <f>'2.1'!$H$22</f>
        <v>0</v>
      </c>
      <c r="AZ48" s="409">
        <f>'2.1'!$H$23</f>
        <v>0</v>
      </c>
      <c r="BA48" s="409">
        <f>'2.1'!$H$24</f>
        <v>0</v>
      </c>
      <c r="BB48" s="409">
        <f>'2.1'!$H$25</f>
        <v>0</v>
      </c>
      <c r="BC48" s="429">
        <f>'2.1'!$H$26</f>
        <v>0</v>
      </c>
      <c r="BD48" s="409">
        <f>'2.1'!$H$27</f>
        <v>0</v>
      </c>
      <c r="BE48" s="409">
        <f>'2.1'!$H$28</f>
        <v>0</v>
      </c>
      <c r="BF48" s="410">
        <f t="array" ref="BF48">IFERROR(SUM(($AU$8:$AU$28-$AV$37:$AV$57)^2*(($AU$8:$AU$28-$AV$37:$AV$57)^2&gt;($AV$8:$AV$28-$AV$37:$AV$57)^2)*TRANSPOSE($I19:$AC19)
         +($AV$8:$AV$28-$AV$37:$AV$57)^2*(($AU$8:$AU$28-$AV$37:$AV$57)^2&lt;=($AV$8:$AV$28-$AV$37:$AV$57)^2)*TRANSPOSE($I19:$AC19)
           )/(SUM($I19:$AC19)-1),"")</f>
        <v>0</v>
      </c>
      <c r="BG48" s="410">
        <f t="array" ref="BG48">IFERROR(SUM(($AU$8:$AU$28-$AV$37:$AV$57)^2*(($AU$8:$AU$28-$AV$37:$AV$57)^2&lt;=($AV$8:$AV$28-$AV$37:$AV$57)^2)*TRANSPOSE($I19:$AC19)
         +($AV$8:$AV$28-$AV$37:$AV$57)^2*(($AU$8:$AU$28-$AV$37:$AV$57)^2&gt;($AV$8:$AV$28-$AV$37:$AV$57)^2)*TRANSPOSE($I19:$AC19)
           )/(SUM($I19:$AC19)-1),"")</f>
        <v>0</v>
      </c>
      <c r="BH48" s="5"/>
      <c r="BI48" s="4" t="b">
        <v>0</v>
      </c>
    </row>
    <row r="49" spans="36:61" hidden="1" x14ac:dyDescent="0.35">
      <c r="AJ49" s="428">
        <f>'2.1'!D21</f>
        <v>0</v>
      </c>
      <c r="AK49" s="409">
        <f>'2.1'!$H$7</f>
        <v>0</v>
      </c>
      <c r="AL49" s="409">
        <f>'2.1'!H$9</f>
        <v>0</v>
      </c>
      <c r="AM49" s="409">
        <f>'2.1'!H$10</f>
        <v>0</v>
      </c>
      <c r="AN49" s="409">
        <f>'2.1'!$H$11</f>
        <v>0</v>
      </c>
      <c r="AO49" s="409">
        <f>'2.1'!$H$12</f>
        <v>0</v>
      </c>
      <c r="AP49" s="409">
        <f>'2.1'!$H$13</f>
        <v>0</v>
      </c>
      <c r="AQ49" s="409">
        <f>'2.1'!$H$14</f>
        <v>0</v>
      </c>
      <c r="AR49" s="409">
        <f>'2.1'!$H$15</f>
        <v>0</v>
      </c>
      <c r="AS49" s="409">
        <f>'2.1'!$H$16</f>
        <v>0</v>
      </c>
      <c r="AT49" s="409">
        <f>'2.1'!$H$17</f>
        <v>0</v>
      </c>
      <c r="AU49" s="409">
        <f>'2.1'!$H$18</f>
        <v>0</v>
      </c>
      <c r="AV49" s="409">
        <f>'2.1'!$H$19</f>
        <v>0</v>
      </c>
      <c r="AW49" s="409">
        <f>'2.1'!$H$20</f>
        <v>0</v>
      </c>
      <c r="AX49" s="409">
        <f>'2.1'!$H$21</f>
        <v>0</v>
      </c>
      <c r="AY49" s="409">
        <f>'2.1'!$H$22</f>
        <v>0</v>
      </c>
      <c r="AZ49" s="409">
        <f>'2.1'!$H$23</f>
        <v>0</v>
      </c>
      <c r="BA49" s="409">
        <f>'2.1'!$H$24</f>
        <v>0</v>
      </c>
      <c r="BB49" s="409">
        <f>'2.1'!$H$25</f>
        <v>0</v>
      </c>
      <c r="BC49" s="429">
        <f>'2.1'!$H$26</f>
        <v>0</v>
      </c>
      <c r="BD49" s="409">
        <f>'2.1'!$H$27</f>
        <v>0</v>
      </c>
      <c r="BE49" s="409">
        <f>'2.1'!$H$28</f>
        <v>0</v>
      </c>
      <c r="BF49" s="410">
        <f t="array" ref="BF49">IFERROR(SUM(($AU$8:$AU$28-$AW$37:$AW$57)^2*(($AU$8:$AU$28-$AW$37:$AW$57)^2&gt;($AV$8:$AV$28-$AW$37:$AW$57)^2)*TRANSPOSE($I20:$AC20)
         +($AV$8:$AV$28-$AW$37:$AW$57)^2*(($AU$8:$AU$28-$AW$37:$AW$57)^2&lt;=($AV$8:$AV$28-$AW$37:$AW$57)^2)*TRANSPOSE($I20:$AC20)
           )/(SUM($I20:$AC20)-1),"")</f>
        <v>0</v>
      </c>
      <c r="BG49" s="410">
        <f t="array" ref="BG49">IFERROR(SUM(($AU$8:$AU$28-$AW$37:$AW$57)^2*(($AU$8:$AU$28-$AW$37:$AW$57)^2&lt;=($AV$8:$AV$28-$AW$37:$AW$57)^2)*TRANSPOSE($I20:$AC20)
         +($AV$8:$AV$28-$AW$37:$AW$57)^2*(($AU$8:$AU$28-$AW$37:$AW$57)^2&gt;($AV$8:$AV$28-$AW$37:$AW$57)^2)*TRANSPOSE($I20:$AC20)
           )/(SUM($I20:$AC20)-1),"")</f>
        <v>0</v>
      </c>
      <c r="BH49" s="5"/>
      <c r="BI49" s="4" t="b">
        <v>0</v>
      </c>
    </row>
    <row r="50" spans="36:61" hidden="1" x14ac:dyDescent="0.35">
      <c r="AJ50" s="428">
        <f>'2.1'!D22</f>
        <v>0</v>
      </c>
      <c r="AK50" s="409">
        <f>'2.1'!$H$7</f>
        <v>0</v>
      </c>
      <c r="AL50" s="409">
        <f>'2.1'!H$9</f>
        <v>0</v>
      </c>
      <c r="AM50" s="409">
        <f>'2.1'!H$10</f>
        <v>0</v>
      </c>
      <c r="AN50" s="409">
        <f>'2.1'!$H$11</f>
        <v>0</v>
      </c>
      <c r="AO50" s="409">
        <f>'2.1'!$H$12</f>
        <v>0</v>
      </c>
      <c r="AP50" s="409">
        <f>'2.1'!$H$13</f>
        <v>0</v>
      </c>
      <c r="AQ50" s="409">
        <f>'2.1'!$H$14</f>
        <v>0</v>
      </c>
      <c r="AR50" s="409">
        <f>'2.1'!$H$15</f>
        <v>0</v>
      </c>
      <c r="AS50" s="409">
        <f>'2.1'!$H$16</f>
        <v>0</v>
      </c>
      <c r="AT50" s="409">
        <f>'2.1'!$H$17</f>
        <v>0</v>
      </c>
      <c r="AU50" s="409">
        <f>'2.1'!$H$18</f>
        <v>0</v>
      </c>
      <c r="AV50" s="409">
        <f>'2.1'!$H$19</f>
        <v>0</v>
      </c>
      <c r="AW50" s="409">
        <f>'2.1'!$H$20</f>
        <v>0</v>
      </c>
      <c r="AX50" s="409">
        <f>'2.1'!$H$21</f>
        <v>0</v>
      </c>
      <c r="AY50" s="409">
        <f>'2.1'!$H$22</f>
        <v>0</v>
      </c>
      <c r="AZ50" s="409">
        <f>'2.1'!$H$23</f>
        <v>0</v>
      </c>
      <c r="BA50" s="409">
        <f>'2.1'!$H$24</f>
        <v>0</v>
      </c>
      <c r="BB50" s="409">
        <f>'2.1'!$H$25</f>
        <v>0</v>
      </c>
      <c r="BC50" s="429">
        <f>'2.1'!$H$26</f>
        <v>0</v>
      </c>
      <c r="BD50" s="409">
        <f>'2.1'!$H$27</f>
        <v>0</v>
      </c>
      <c r="BE50" s="409">
        <f>'2.1'!$H$28</f>
        <v>0</v>
      </c>
      <c r="BF50" s="410">
        <f t="array" ref="BF50">IFERROR(SUM(($AU$8:$AU$28-$AX$37:$AX$57)^2*(($AU$8:$AU$28-$AX$37:$AX$57)^2&gt;($AV$8:$AV$28-$AX$37:$AX$57)^2)*TRANSPOSE($I21:$AC21)
         +($AV$8:$AV$28-$AX$37:$AX$57)^2*(($AU$8:$AU$28-$AX$37:$AX$57)^2&lt;=($AV$8:$AV$28-$AX$37:$AX$57)^2)*TRANSPOSE($I21:$AC21)
           )/(SUM($I21:$AC21)-1),"")</f>
        <v>0</v>
      </c>
      <c r="BG50" s="410">
        <f t="array" ref="BG50">IFERROR(SUM(($AU$8:$AU$28-$AX$37:$AX$57)^2*(($AU$8:$AU$28-$AX$37:$AX$57)^2&lt;=($AV$8:$AV$28-$AX$37:$AX$57)^2)*TRANSPOSE($I21:$AC21)
         +($AV$8:$AV$28-$AX$37:$AX$57)^2*(($AU$8:$AU$28-$AX$37:$AX$57)^2&gt;($AV$8:$AV$28-$AX$37:$AX$57)^2)*TRANSPOSE($I21:$AC21)
           )/(SUM($I21:$AC21)-1),"")</f>
        <v>0</v>
      </c>
      <c r="BH50" s="5"/>
      <c r="BI50" s="4" t="b">
        <v>0</v>
      </c>
    </row>
    <row r="51" spans="36:61" hidden="1" x14ac:dyDescent="0.35">
      <c r="AJ51" s="428">
        <f>'2.1'!D23</f>
        <v>0</v>
      </c>
      <c r="AK51" s="409">
        <f>'2.1'!$H$7</f>
        <v>0</v>
      </c>
      <c r="AL51" s="409">
        <f>'2.1'!H$9</f>
        <v>0</v>
      </c>
      <c r="AM51" s="409">
        <f>'2.1'!H$10</f>
        <v>0</v>
      </c>
      <c r="AN51" s="409">
        <f>'2.1'!$H$11</f>
        <v>0</v>
      </c>
      <c r="AO51" s="409">
        <f>'2.1'!$H$12</f>
        <v>0</v>
      </c>
      <c r="AP51" s="409">
        <f>'2.1'!$H$13</f>
        <v>0</v>
      </c>
      <c r="AQ51" s="409">
        <f>'2.1'!$H$14</f>
        <v>0</v>
      </c>
      <c r="AR51" s="409">
        <f>'2.1'!$H$15</f>
        <v>0</v>
      </c>
      <c r="AS51" s="409">
        <f>'2.1'!$H$16</f>
        <v>0</v>
      </c>
      <c r="AT51" s="409">
        <f>'2.1'!$H$17</f>
        <v>0</v>
      </c>
      <c r="AU51" s="409">
        <f>'2.1'!$H$18</f>
        <v>0</v>
      </c>
      <c r="AV51" s="409">
        <f>'2.1'!$H$19</f>
        <v>0</v>
      </c>
      <c r="AW51" s="409">
        <f>'2.1'!$H$20</f>
        <v>0</v>
      </c>
      <c r="AX51" s="409">
        <f>'2.1'!$H$21</f>
        <v>0</v>
      </c>
      <c r="AY51" s="409">
        <f>'2.1'!$H$22</f>
        <v>0</v>
      </c>
      <c r="AZ51" s="409">
        <f>'2.1'!$H$23</f>
        <v>0</v>
      </c>
      <c r="BA51" s="409">
        <f>'2.1'!$H$24</f>
        <v>0</v>
      </c>
      <c r="BB51" s="409">
        <f>'2.1'!$H$25</f>
        <v>0</v>
      </c>
      <c r="BC51" s="429">
        <f>'2.1'!$H$26</f>
        <v>0</v>
      </c>
      <c r="BD51" s="409">
        <f>'2.1'!$H$27</f>
        <v>0</v>
      </c>
      <c r="BE51" s="409">
        <f>'2.1'!$H$28</f>
        <v>0</v>
      </c>
      <c r="BF51" s="410">
        <f t="array" ref="BF51">IFERROR(SUM(($AU$8:$AU$28-$AY$37:$AY$57)^2*(($AU$8:$AU$28-$AY$37:$AY$57)^2&gt;($AV$8:$AV$28-$AY$37:$AY$57)^2)*TRANSPOSE($I22:$AC22)
         +($AV$8:$AV$28-$AY$37:$AY$57)^2*(($AU$8:$AU$28-$AY$37:$AY$57)^2&lt;=($AV$8:$AV$28-$AY$37:$AY$57)^2)*TRANSPOSE($I22:$AC22)
           )/(SUM($I22:$AC22)-1),"")</f>
        <v>0</v>
      </c>
      <c r="BG51" s="410">
        <f t="array" ref="BG51">IFERROR(SUM(($AU$8:$AU$28-$AY$37:$AY$57)^2*(($AU$8:$AU$28-$AY$37:$AY$57)^2&lt;=($AV$8:$AV$28-$AY$37:$AY$57)^2)*TRANSPOSE($I22:$AC22)
         +($AV$8:$AV$28-$AY$37:$AY$57)^2*(($AU$8:$AU$28-$AY$37:$AY$57)^2&gt;($AV$8:$AV$28-$AY$37:$AY$57)^2)*TRANSPOSE($I22:$AC22)
           )/(SUM($I22:$AC22)-1),"")</f>
        <v>0</v>
      </c>
      <c r="BH51" s="5"/>
      <c r="BI51" s="4" t="b">
        <v>0</v>
      </c>
    </row>
    <row r="52" spans="36:61" hidden="1" x14ac:dyDescent="0.35">
      <c r="AJ52" s="428">
        <f>'2.1'!D24</f>
        <v>0</v>
      </c>
      <c r="AK52" s="409">
        <f>'2.1'!$H$7</f>
        <v>0</v>
      </c>
      <c r="AL52" s="409">
        <f>'2.1'!H$9</f>
        <v>0</v>
      </c>
      <c r="AM52" s="409">
        <f>'2.1'!H$10</f>
        <v>0</v>
      </c>
      <c r="AN52" s="409">
        <f>'2.1'!$H$11</f>
        <v>0</v>
      </c>
      <c r="AO52" s="409">
        <f>'2.1'!$H$12</f>
        <v>0</v>
      </c>
      <c r="AP52" s="409">
        <f>'2.1'!$H$13</f>
        <v>0</v>
      </c>
      <c r="AQ52" s="409">
        <f>'2.1'!$H$14</f>
        <v>0</v>
      </c>
      <c r="AR52" s="409">
        <f>'2.1'!$H$15</f>
        <v>0</v>
      </c>
      <c r="AS52" s="409">
        <f>'2.1'!$H$16</f>
        <v>0</v>
      </c>
      <c r="AT52" s="409">
        <f>'2.1'!$H$17</f>
        <v>0</v>
      </c>
      <c r="AU52" s="409">
        <f>'2.1'!$H$18</f>
        <v>0</v>
      </c>
      <c r="AV52" s="409">
        <f>'2.1'!$H$19</f>
        <v>0</v>
      </c>
      <c r="AW52" s="409">
        <f>'2.1'!$H$20</f>
        <v>0</v>
      </c>
      <c r="AX52" s="409">
        <f>'2.1'!$H$21</f>
        <v>0</v>
      </c>
      <c r="AY52" s="409">
        <f>'2.1'!$H$22</f>
        <v>0</v>
      </c>
      <c r="AZ52" s="409">
        <f>'2.1'!$H$23</f>
        <v>0</v>
      </c>
      <c r="BA52" s="409">
        <f>'2.1'!$H$24</f>
        <v>0</v>
      </c>
      <c r="BB52" s="409">
        <f>'2.1'!$H$25</f>
        <v>0</v>
      </c>
      <c r="BC52" s="429">
        <f>'2.1'!$H$26</f>
        <v>0</v>
      </c>
      <c r="BD52" s="409">
        <f>'2.1'!$H$27</f>
        <v>0</v>
      </c>
      <c r="BE52" s="409">
        <f>'2.1'!$H$28</f>
        <v>0</v>
      </c>
      <c r="BF52" s="410">
        <f t="array" ref="BF52">IFERROR(SUM(($AU$8:$AU$28-$AZ$37:$AZ$57)^2*(($AU$8:$AU$28-$AZ$37:$AZ$57)^2&gt;($AV$8:$AV$28-$AZ$37:$AZ$57)^2)*TRANSPOSE($I23:$AC23)
         +($AV$8:$AV$28-$AZ$37:$AZ$57)^2*(($AU$8:$AU$28-$AZ$37:$AZ$57)^2&lt;=($AV$8:$AV$28-$AZ$37:$AZ$57)^2)*TRANSPOSE($I23:$AC23)
           )/(SUM($I23:$AC23)-1),"")</f>
        <v>0</v>
      </c>
      <c r="BG52" s="410">
        <f t="array" ref="BG52">IFERROR(SUM(($AU$8:$AU$28-$AZ$37:$AZ$57)^2*(($AU$8:$AU$28-$AZ$37:$AZ$57)^2&lt;=($AV$8:$AV$28-$AZ$37:$AZ$57)^2)*TRANSPOSE($I23:$AC23)
         +($AV$8:$AV$28-$AZ$37:$AZ$57)^2*(($AU$8:$AU$28-$AZ$37:$AZ$57)^2&gt;($AV$8:$AV$28-$AZ$37:$AZ$57)^2)*TRANSPOSE($I23:$AC23)
           )/(SUM($I23:$AC23)-1),"")</f>
        <v>0</v>
      </c>
      <c r="BH52" s="5"/>
      <c r="BI52" s="4" t="b">
        <v>0</v>
      </c>
    </row>
    <row r="53" spans="36:61" hidden="1" x14ac:dyDescent="0.35">
      <c r="AJ53" s="428">
        <f>'2.1'!D25</f>
        <v>0</v>
      </c>
      <c r="AK53" s="409">
        <f>'2.1'!$H$7</f>
        <v>0</v>
      </c>
      <c r="AL53" s="409">
        <f>'2.1'!H$9</f>
        <v>0</v>
      </c>
      <c r="AM53" s="409">
        <f>'2.1'!H$10</f>
        <v>0</v>
      </c>
      <c r="AN53" s="409">
        <f>'2.1'!$H$11</f>
        <v>0</v>
      </c>
      <c r="AO53" s="409">
        <f>'2.1'!$H$12</f>
        <v>0</v>
      </c>
      <c r="AP53" s="409">
        <f>'2.1'!$H$13</f>
        <v>0</v>
      </c>
      <c r="AQ53" s="409">
        <f>'2.1'!$H$14</f>
        <v>0</v>
      </c>
      <c r="AR53" s="409">
        <f>'2.1'!$H$15</f>
        <v>0</v>
      </c>
      <c r="AS53" s="409">
        <f>'2.1'!$H$16</f>
        <v>0</v>
      </c>
      <c r="AT53" s="409">
        <f>'2.1'!$H$17</f>
        <v>0</v>
      </c>
      <c r="AU53" s="409">
        <f>'2.1'!$H$18</f>
        <v>0</v>
      </c>
      <c r="AV53" s="409">
        <f>'2.1'!$H$19</f>
        <v>0</v>
      </c>
      <c r="AW53" s="409">
        <f>'2.1'!$H$20</f>
        <v>0</v>
      </c>
      <c r="AX53" s="409">
        <f>'2.1'!$H$21</f>
        <v>0</v>
      </c>
      <c r="AY53" s="409">
        <f>'2.1'!$H$22</f>
        <v>0</v>
      </c>
      <c r="AZ53" s="409">
        <f>'2.1'!$H$23</f>
        <v>0</v>
      </c>
      <c r="BA53" s="409">
        <f>'2.1'!$H$24</f>
        <v>0</v>
      </c>
      <c r="BB53" s="409">
        <f>'2.1'!$H$25</f>
        <v>0</v>
      </c>
      <c r="BC53" s="429">
        <f>'2.1'!$H$26</f>
        <v>0</v>
      </c>
      <c r="BD53" s="409">
        <f>'2.1'!$H$27</f>
        <v>0</v>
      </c>
      <c r="BE53" s="409">
        <f>'2.1'!$H$28</f>
        <v>0</v>
      </c>
      <c r="BF53" s="410">
        <f t="array" ref="BF53">IFERROR(SUM(($AU$8:$AU$28-$BA$37:$BA$57)^2*(($AU$8:$AU$28-$BA$37:$BA$57)^2&gt;($AV$8:$AV$28-$BA$37:$BA$57)^2)*TRANSPOSE($I24:$AC24)
         +($AV$8:$AV$28-$BA$37:$BA$57)^2*(($AU$8:$AU$28-$BA$37:$BA$57)^2&lt;=($AV$8:$AV$28-$BA$37:$BA$57)^2)*TRANSPOSE($I24:$AC24)
           )/(SUM($I24:$AC24)-1),"")</f>
        <v>0</v>
      </c>
      <c r="BG53" s="410">
        <f t="array" ref="BG53">IFERROR(SUM(($AU$8:$AU$28-$BA$37:$BA$57)^2*(($AU$8:$AU$28-$BA$37:$BA$57)^2&lt;=($AV$8:$AV$28-$BA$37:$BA$57)^2)*TRANSPOSE($I24:$AC24)
         +($AV$8:$AV$28-$BA$37:$BA$57)^2*(($AU$8:$AU$28-$BA$37:$BA$57)^2&gt;($AV$8:$AV$28-$BA$37:$BA$57)^2)*TRANSPOSE($I24:$AC24)
           )/(SUM($I24:$AC24)-1),"")</f>
        <v>0</v>
      </c>
      <c r="BH53" s="5"/>
      <c r="BI53" s="4" t="b">
        <v>0</v>
      </c>
    </row>
    <row r="54" spans="36:61" hidden="1" x14ac:dyDescent="0.35">
      <c r="AJ54" s="428">
        <f>'2.1'!D26</f>
        <v>0</v>
      </c>
      <c r="AK54" s="409">
        <f>'2.1'!$H$7</f>
        <v>0</v>
      </c>
      <c r="AL54" s="409">
        <f>'2.1'!H$9</f>
        <v>0</v>
      </c>
      <c r="AM54" s="409">
        <f>'2.1'!H$10</f>
        <v>0</v>
      </c>
      <c r="AN54" s="409">
        <f>'2.1'!$H$11</f>
        <v>0</v>
      </c>
      <c r="AO54" s="409">
        <f>'2.1'!$H$12</f>
        <v>0</v>
      </c>
      <c r="AP54" s="409">
        <f>'2.1'!$H$13</f>
        <v>0</v>
      </c>
      <c r="AQ54" s="409">
        <f>'2.1'!$H$14</f>
        <v>0</v>
      </c>
      <c r="AR54" s="409">
        <f>'2.1'!$H$15</f>
        <v>0</v>
      </c>
      <c r="AS54" s="409">
        <f>'2.1'!$H$16</f>
        <v>0</v>
      </c>
      <c r="AT54" s="409">
        <f>'2.1'!$H$17</f>
        <v>0</v>
      </c>
      <c r="AU54" s="409">
        <f>'2.1'!$H$18</f>
        <v>0</v>
      </c>
      <c r="AV54" s="409">
        <f>'2.1'!$H$19</f>
        <v>0</v>
      </c>
      <c r="AW54" s="409">
        <f>'2.1'!$H$20</f>
        <v>0</v>
      </c>
      <c r="AX54" s="409">
        <f>'2.1'!$H$21</f>
        <v>0</v>
      </c>
      <c r="AY54" s="409">
        <f>'2.1'!$H$22</f>
        <v>0</v>
      </c>
      <c r="AZ54" s="409">
        <f>'2.1'!$H$23</f>
        <v>0</v>
      </c>
      <c r="BA54" s="409">
        <f>'2.1'!$H$24</f>
        <v>0</v>
      </c>
      <c r="BB54" s="409">
        <f>'2.1'!$H$25</f>
        <v>0</v>
      </c>
      <c r="BC54" s="429">
        <f>'2.1'!$H$26</f>
        <v>0</v>
      </c>
      <c r="BD54" s="409">
        <f>'2.1'!$H$27</f>
        <v>0</v>
      </c>
      <c r="BE54" s="409">
        <f>'2.1'!$H$28</f>
        <v>0</v>
      </c>
      <c r="BF54" s="410">
        <f t="array" ref="BF54">IFERROR(SUM(($AU$8:$AU$28-$BB$37:$BB$57)^2*(($AU$8:$AU$28-$BB$37:$BB$57)^2&gt;($AV$8:$AV$28-$BB$37:$BB$57)^2)*TRANSPOSE($I25:$AC25)
         +($AV$8:$AV$28-$BB$37:$BB$57)^2*(($AU$8:$AU$28-$BB$37:$BB$57)^2&lt;=($AV$8:$AV$28-$BB$37:$BB$57)^2)*TRANSPOSE($I25:$AC25)
           )/(SUM($I25:$AC25)-1),"")</f>
        <v>0</v>
      </c>
      <c r="BG54" s="410">
        <f t="array" ref="BG54">IFERROR(SUM(($AU$8:$AU$28-$BB$37:$BB$57)^2*(($AU$8:$AU$28-$BB$37:$BB$57)^2&lt;=($AV$8:$AV$28-$BB$37:$BB$57)^2)*TRANSPOSE($I25:$AC25)
         +($AV$8:$AV$28-$BB$37:$BB$57)^2*(($AU$8:$AU$28-$BB$37:$BB$57)^2&gt;($AV$8:$AV$28-$BB$37:$BB$57)^2)*TRANSPOSE($I25:$AC25)
           )/(SUM($I25:$AC25)-1),"")</f>
        <v>0</v>
      </c>
      <c r="BH54" s="5"/>
      <c r="BI54" s="4" t="b">
        <v>0</v>
      </c>
    </row>
    <row r="55" spans="36:61" hidden="1" x14ac:dyDescent="0.35">
      <c r="AJ55" s="428">
        <f>'2.1'!D27</f>
        <v>0</v>
      </c>
      <c r="AK55" s="409">
        <f>'2.1'!$H$7</f>
        <v>0</v>
      </c>
      <c r="AL55" s="409">
        <f>'2.1'!H$9</f>
        <v>0</v>
      </c>
      <c r="AM55" s="409">
        <f>'2.1'!H$10</f>
        <v>0</v>
      </c>
      <c r="AN55" s="409">
        <f>'2.1'!$H$11</f>
        <v>0</v>
      </c>
      <c r="AO55" s="409">
        <f>'2.1'!$H$12</f>
        <v>0</v>
      </c>
      <c r="AP55" s="409">
        <f>'2.1'!$H$13</f>
        <v>0</v>
      </c>
      <c r="AQ55" s="409">
        <f>'2.1'!$H$14</f>
        <v>0</v>
      </c>
      <c r="AR55" s="409">
        <f>'2.1'!$H$15</f>
        <v>0</v>
      </c>
      <c r="AS55" s="409">
        <f>'2.1'!$H$16</f>
        <v>0</v>
      </c>
      <c r="AT55" s="409">
        <f>'2.1'!$H$17</f>
        <v>0</v>
      </c>
      <c r="AU55" s="409">
        <f>'2.1'!$H$18</f>
        <v>0</v>
      </c>
      <c r="AV55" s="409">
        <f>'2.1'!$H$19</f>
        <v>0</v>
      </c>
      <c r="AW55" s="409">
        <f>'2.1'!$H$20</f>
        <v>0</v>
      </c>
      <c r="AX55" s="409">
        <f>'2.1'!$H$21</f>
        <v>0</v>
      </c>
      <c r="AY55" s="409">
        <f>'2.1'!$H$22</f>
        <v>0</v>
      </c>
      <c r="AZ55" s="409">
        <f>'2.1'!$H$23</f>
        <v>0</v>
      </c>
      <c r="BA55" s="409">
        <f>'2.1'!$H$24</f>
        <v>0</v>
      </c>
      <c r="BB55" s="409">
        <f>'2.1'!$H$25</f>
        <v>0</v>
      </c>
      <c r="BC55" s="429">
        <f>'2.1'!$H$26</f>
        <v>0</v>
      </c>
      <c r="BD55" s="409">
        <f>'2.1'!$H$27</f>
        <v>0</v>
      </c>
      <c r="BE55" s="409">
        <f>'2.1'!$H$28</f>
        <v>0</v>
      </c>
      <c r="BF55" s="410">
        <f t="array" ref="BF55">IFERROR(SUM(($AU$8:$AU$28-$BC$37:$BC$57)^2*(($AU$8:$AU$28-$BC$37:$BC$57)^2&gt;($AV$8:$AV$28-$BC$37:$BC$57)^2)*TRANSPOSE($I26:$AC26)
         +($AV$8:$AV$28-$BC$37:$BC$57)^2*(($AU$8:$AU$28-$BC$37:$BC$57)^2&lt;=($AV$8:$AV$28-$BC$37:$BC$57)^2)*TRANSPOSE($I26:$AC26)
           )/(SUM($I26:$AC26)-1),"")</f>
        <v>0</v>
      </c>
      <c r="BG55" s="410">
        <f t="array" ref="BG55">IFERROR(SUM(($AU$8:$AU$28-$BC$37:$BC$57)^2*(($AU$8:$AU$28-$BC$37:$BC$57)^2&lt;=($AV$8:$AV$28-$BC$37:$BC$57)^2)*TRANSPOSE($I26:$AC26)
         +($AV$8:$AV$28-$BC$37:$BC$57)^2*(($AU$8:$AU$28-$BC$37:$BC$57)^2&gt;($AV$8:$AV$28-$BC$37:$BC$57)^2)*TRANSPOSE($I26:$AC26)
           )/(SUM($I26:$AC26)-1),"")</f>
        <v>0</v>
      </c>
      <c r="BH55" s="5"/>
      <c r="BI55" s="4" t="b">
        <v>0</v>
      </c>
    </row>
    <row r="56" spans="36:61" hidden="1" x14ac:dyDescent="0.35">
      <c r="AJ56" s="428">
        <f>'2.1'!D28</f>
        <v>0</v>
      </c>
      <c r="AK56" s="409">
        <f>'2.1'!$H$7</f>
        <v>0</v>
      </c>
      <c r="AL56" s="409">
        <f>'2.1'!H$9</f>
        <v>0</v>
      </c>
      <c r="AM56" s="409">
        <f>'2.1'!H$10</f>
        <v>0</v>
      </c>
      <c r="AN56" s="409">
        <f>'2.1'!$H$11</f>
        <v>0</v>
      </c>
      <c r="AO56" s="409">
        <f>'2.1'!$H$12</f>
        <v>0</v>
      </c>
      <c r="AP56" s="409">
        <f>'2.1'!$H$13</f>
        <v>0</v>
      </c>
      <c r="AQ56" s="409">
        <f>'2.1'!$H$14</f>
        <v>0</v>
      </c>
      <c r="AR56" s="409">
        <f>'2.1'!$H$15</f>
        <v>0</v>
      </c>
      <c r="AS56" s="409">
        <f>'2.1'!$H$16</f>
        <v>0</v>
      </c>
      <c r="AT56" s="409">
        <f>'2.1'!$H$17</f>
        <v>0</v>
      </c>
      <c r="AU56" s="409">
        <f>'2.1'!$H$18</f>
        <v>0</v>
      </c>
      <c r="AV56" s="409">
        <f>'2.1'!$H$19</f>
        <v>0</v>
      </c>
      <c r="AW56" s="409">
        <f>'2.1'!$H$20</f>
        <v>0</v>
      </c>
      <c r="AX56" s="409">
        <f>'2.1'!$H$21</f>
        <v>0</v>
      </c>
      <c r="AY56" s="409">
        <f>'2.1'!$H$22</f>
        <v>0</v>
      </c>
      <c r="AZ56" s="409">
        <f>'2.1'!$H$23</f>
        <v>0</v>
      </c>
      <c r="BA56" s="409">
        <f>'2.1'!$H$24</f>
        <v>0</v>
      </c>
      <c r="BB56" s="409">
        <f>'2.1'!$H$25</f>
        <v>0</v>
      </c>
      <c r="BC56" s="429">
        <f>'2.1'!$H$26</f>
        <v>0</v>
      </c>
      <c r="BD56" s="409">
        <f>'2.1'!$H$27</f>
        <v>0</v>
      </c>
      <c r="BE56" s="409">
        <f>'2.1'!$H$28</f>
        <v>0</v>
      </c>
      <c r="BF56" s="410">
        <f t="array" ref="BF56">IFERROR(SUM(($AU$8:$AU$28-$BD$37:$BD$57)^2*(($AU$8:$AU$28-$BD$37:$BD$57)^2&gt;($AV$8:$AV$28-$BD$37:$BD$57)^2)*TRANSPOSE($I27:$AC27)
         +($AV$8:$AV$28-$BD$37:$BD$57)^2*(($AU$8:$AU$28-$BD$37:$BD$57)^2&lt;=($AV$8:$AV$28-$BD$37:$BD$57)^2)*TRANSPOSE($I27:$AC27)
           )/(SUM($I27:$AC27)-1),"")</f>
        <v>0</v>
      </c>
      <c r="BG56" s="410">
        <f t="array" ref="BG56">IFERROR(SUM(($AU$8:$AU$28-$BD$37:$BD$57)^2*(($AU$8:$AU$28-$BD$37:$BD$57)^2&lt;=($AV$8:$AV$28-$BD$37:$BD$57)^2)*TRANSPOSE($I27:$AC27)
         +($AV$8:$AV$28-$BD$37:$BD$57)^2*(($AU$8:$AU$28-$BD$37:$BD$57)^2&gt;($AV$8:$AV$28-$BD$37:$BD$57)^2)*TRANSPOSE($I27:$AC27)
           )/(SUM($I27:$AC27)-1),"")</f>
        <v>0</v>
      </c>
      <c r="BH56" s="5"/>
      <c r="BI56" s="4" t="b">
        <v>0</v>
      </c>
    </row>
    <row r="57" spans="36:61" hidden="1" x14ac:dyDescent="0.35">
      <c r="AJ57" s="428">
        <f>'2.1'!D29</f>
        <v>0</v>
      </c>
      <c r="AK57" s="409">
        <f>'2.1'!$H$7</f>
        <v>0</v>
      </c>
      <c r="AL57" s="409">
        <f>'2.1'!H$9</f>
        <v>0</v>
      </c>
      <c r="AM57" s="409">
        <f>'2.1'!H$10</f>
        <v>0</v>
      </c>
      <c r="AN57" s="409">
        <f>'2.1'!$H$11</f>
        <v>0</v>
      </c>
      <c r="AO57" s="409">
        <f>'2.1'!$H$12</f>
        <v>0</v>
      </c>
      <c r="AP57" s="409">
        <f>'2.1'!$H$13</f>
        <v>0</v>
      </c>
      <c r="AQ57" s="409">
        <f>'2.1'!$H$14</f>
        <v>0</v>
      </c>
      <c r="AR57" s="409">
        <f>'2.1'!$H$15</f>
        <v>0</v>
      </c>
      <c r="AS57" s="409">
        <f>'2.1'!$H$16</f>
        <v>0</v>
      </c>
      <c r="AT57" s="409">
        <f>'2.1'!$H$17</f>
        <v>0</v>
      </c>
      <c r="AU57" s="409">
        <f>'2.1'!$H$18</f>
        <v>0</v>
      </c>
      <c r="AV57" s="409">
        <f>'2.1'!$H$19</f>
        <v>0</v>
      </c>
      <c r="AW57" s="409">
        <f>'2.1'!$H$20</f>
        <v>0</v>
      </c>
      <c r="AX57" s="409">
        <f>'2.1'!$H$21</f>
        <v>0</v>
      </c>
      <c r="AY57" s="409">
        <f>'2.1'!$H$22</f>
        <v>0</v>
      </c>
      <c r="AZ57" s="409">
        <f>'2.1'!$H$23</f>
        <v>0</v>
      </c>
      <c r="BA57" s="409">
        <f>'2.1'!$H$24</f>
        <v>0</v>
      </c>
      <c r="BB57" s="409">
        <f>'2.1'!$H$25</f>
        <v>0</v>
      </c>
      <c r="BC57" s="429">
        <f>'2.1'!$H$26</f>
        <v>0</v>
      </c>
      <c r="BD57" s="409">
        <f>'2.1'!$H$27</f>
        <v>0</v>
      </c>
      <c r="BE57" s="409">
        <f>'2.1'!$H$28</f>
        <v>0</v>
      </c>
      <c r="BF57" s="410">
        <f t="array" ref="BF57">IFERROR(SUM(($AU$8:$AU$28-$BE$37:$BE$57)^2*(($AU$8:$AU$28-$BE$37:$BE$57)^2&gt;($AV$8:$AV$28-$BE$37:$BE$57)^2)*TRANSPOSE($I28:$AC28)
         +($AV$8:$AV$28-$BE$37:$BE$57)^2*(($AU$8:$AU$28-$BE$37:$BE$57)^2&lt;=($AV$8:$AV$28-$BE$37:$BE$57)^2)*TRANSPOSE($I28:$AC28)
           )/(SUM($I28:$AC28)-1),"")</f>
        <v>0</v>
      </c>
      <c r="BG57" s="410">
        <f t="array" ref="BG57">IFERROR(SUM(($AU$8:$AU$28-$BE$37:$BE$57)^2*(($AU$8:$AU$28-$BE$37:$BE$57)^2&lt;=($AV$8:$AV$28-$BE$37:$BE$57)^2)*TRANSPOSE($I28:$AC28)
         +($AV$8:$AV$28-$BE$37:$BE$57)^2*(($AU$8:$AU$28-$BE$37:$BE$57)^2&gt;($AV$8:$AV$28-$BE$37:$BE$57)^2)*TRANSPOSE($I28:$AC28)
           )/(SUM($I28:$AC28)-1),"")</f>
        <v>0</v>
      </c>
      <c r="BH57" s="5"/>
      <c r="BI57" s="4" t="b">
        <v>0</v>
      </c>
    </row>
    <row r="58" spans="36:61" hidden="1" x14ac:dyDescent="0.35">
      <c r="AJ58" s="428"/>
    </row>
    <row r="59" spans="36:61" hidden="1" x14ac:dyDescent="0.35">
      <c r="AJ59" s="428"/>
    </row>
  </sheetData>
  <sheetProtection password="9BF7" sheet="1" objects="1" scenarios="1"/>
  <mergeCells count="30">
    <mergeCell ref="AL35:BE35"/>
    <mergeCell ref="I4:AC4"/>
    <mergeCell ref="AD4:AF4"/>
    <mergeCell ref="BE7:BE8"/>
    <mergeCell ref="AH5:AH6"/>
    <mergeCell ref="AI5:AI6"/>
    <mergeCell ref="AJ5:AJ6"/>
    <mergeCell ref="AK5:AK6"/>
    <mergeCell ref="AL5:AL6"/>
    <mergeCell ref="AU5:AU6"/>
    <mergeCell ref="AV5:AV6"/>
    <mergeCell ref="AW5:AW6"/>
    <mergeCell ref="BD6:BZ6"/>
    <mergeCell ref="AH4:AT4"/>
    <mergeCell ref="F4:F5"/>
    <mergeCell ref="B2:AF2"/>
    <mergeCell ref="BD7:BD8"/>
    <mergeCell ref="B3:K3"/>
    <mergeCell ref="AM5:AO5"/>
    <mergeCell ref="AP5:AR5"/>
    <mergeCell ref="AT5:AT6"/>
    <mergeCell ref="AS5:AS6"/>
    <mergeCell ref="AZ4:BZ4"/>
    <mergeCell ref="BF7:BZ7"/>
    <mergeCell ref="AZ6:BA6"/>
    <mergeCell ref="B4:C6"/>
    <mergeCell ref="D4:D5"/>
    <mergeCell ref="E4:E5"/>
    <mergeCell ref="G4:G5"/>
    <mergeCell ref="H4:H5"/>
  </mergeCells>
  <conditionalFormatting sqref="AH7:AH28">
    <cfRule type="expression" dxfId="39" priority="34">
      <formula>AH7="WARNING"</formula>
    </cfRule>
    <cfRule type="expression" dxfId="38" priority="35">
      <formula>AH7="NOT OK"</formula>
    </cfRule>
    <cfRule type="expression" dxfId="37" priority="36">
      <formula>AH7="OK"</formula>
    </cfRule>
  </conditionalFormatting>
  <conditionalFormatting sqref="AJ9:AJ28">
    <cfRule type="expression" dxfId="36" priority="3">
      <formula>AJ9="WARNING"</formula>
    </cfRule>
  </conditionalFormatting>
  <conditionalFormatting sqref="AJ7:AL28">
    <cfRule type="expression" dxfId="35" priority="4">
      <formula>AJ7="NOT OK"</formula>
    </cfRule>
    <cfRule type="expression" dxfId="34" priority="5">
      <formula>AJ7="OK"</formula>
    </cfRule>
  </conditionalFormatting>
  <conditionalFormatting sqref="AO7:AO28">
    <cfRule type="expression" dxfId="33" priority="2">
      <formula>AO7="WARNING"</formula>
    </cfRule>
    <cfRule type="expression" dxfId="32" priority="14">
      <formula>AO7="NOT OK"</formula>
    </cfRule>
    <cfRule type="expression" dxfId="31" priority="15">
      <formula>AO7="OK"</formula>
    </cfRule>
  </conditionalFormatting>
  <conditionalFormatting sqref="AR7:AR28">
    <cfRule type="expression" dxfId="30" priority="1">
      <formula>AR7="WARNING"</formula>
    </cfRule>
    <cfRule type="expression" dxfId="29" priority="12">
      <formula>AR7="NOT OK"</formula>
    </cfRule>
    <cfRule type="expression" dxfId="28" priority="13">
      <formula>AR7="OK"</formula>
    </cfRule>
  </conditionalFormatting>
  <conditionalFormatting sqref="AT7">
    <cfRule type="expression" dxfId="27" priority="6">
      <formula>AT7="NOT OK"</formula>
    </cfRule>
    <cfRule type="expression" dxfId="26" priority="7">
      <formula>AT7="OK"</formula>
    </cfRule>
  </conditionalFormatting>
  <conditionalFormatting sqref="AT9:AU28">
    <cfRule type="expression" dxfId="25" priority="8">
      <formula>AT9="NOT OK"</formula>
    </cfRule>
    <cfRule type="expression" dxfId="24" priority="9">
      <formula>AT9="OK"</formula>
    </cfRule>
  </conditionalFormatting>
  <conditionalFormatting sqref="AV8:AV28">
    <cfRule type="expression" dxfId="23" priority="10">
      <formula>AV8="NOT OK"</formula>
    </cfRule>
    <cfRule type="expression" dxfId="22" priority="11">
      <formula>AV8="OK"</formula>
    </cfRule>
  </conditionalFormatting>
  <conditionalFormatting sqref="AW9:AW28">
    <cfRule type="expression" dxfId="21" priority="26">
      <formula>AW9="NOT OK"</formula>
    </cfRule>
    <cfRule type="expression" dxfId="20" priority="27">
      <formula>AW9="OK"</formula>
    </cfRule>
  </conditionalFormatting>
  <dataValidations count="9">
    <dataValidation type="custom" operator="notEqual" showInputMessage="1" showErrorMessage="1" error="Value should be a number." sqref="AE9:AE28 AE7" xr:uid="{00000000-0002-0000-0500-000000000000}">
      <formula1>ISNUMBER(AE7)</formula1>
    </dataValidation>
    <dataValidation type="decimal" allowBlank="1" showInputMessage="1" showErrorMessage="1" error="Only values between 0 and 1 are allowed" sqref="AF7 AF9:AF28" xr:uid="{00000000-0002-0000-0500-000001000000}">
      <formula1>0</formula1>
      <formula2>1</formula2>
    </dataValidation>
    <dataValidation type="whole" operator="greaterThanOrEqual" allowBlank="1" showInputMessage="1" showErrorMessage="1" error="Value should be a non-negative integer." sqref="T7:AC7 I14:R28 S9:AC28" xr:uid="{00000000-0002-0000-0500-000002000000}">
      <formula1>0</formula1>
    </dataValidation>
    <dataValidation type="whole" operator="greaterThanOrEqual" allowBlank="1" showInputMessage="1" showErrorMessage="1" error="Value should be a non-negative integer" sqref="I7:S7 I9:R13" xr:uid="{00000000-0002-0000-0500-000003000000}">
      <formula1>0</formula1>
    </dataValidation>
    <dataValidation type="whole" operator="greaterThanOrEqual" allowBlank="1" showInputMessage="1" showErrorMessage="1" error="Insert a valid number greater or equal to 0._x000a_" sqref="E7:E28 F8:F28" xr:uid="{00000000-0002-0000-0500-000004000000}">
      <formula1>0</formula1>
    </dataValidation>
    <dataValidation operator="greaterThanOrEqual" allowBlank="1" showInputMessage="1" showErrorMessage="1" error="Value should be a non-negative integer" sqref="D7:D28" xr:uid="{00000000-0002-0000-0500-000005000000}"/>
    <dataValidation type="decimal" operator="greaterThanOrEqual" allowBlank="1" showInputMessage="1" showErrorMessage="1" error="Insert a non-negative number. " sqref="G7:H28" xr:uid="{00000000-0002-0000-0500-000006000000}">
      <formula1>0</formula1>
    </dataValidation>
    <dataValidation type="decimal" operator="greaterThanOrEqual" allowBlank="1" showInputMessage="1" showErrorMessage="1" error="Insert a valid number greater or equal to 0._x000a_" sqref="F7" xr:uid="{00000000-0002-0000-0500-000007000000}">
      <formula1>0</formula1>
    </dataValidation>
    <dataValidation type="decimal" operator="greaterThanOrEqual" allowBlank="1" showInputMessage="1" showErrorMessage="1" error="Value should be non-negative" sqref="AD7 AD9:AD28" xr:uid="{00000000-0002-0000-0500-000008000000}">
      <formula1>0</formula1>
    </dataValidation>
  </dataValidations>
  <hyperlinks>
    <hyperlink ref="C7" location="Portfolio" display="Portfolio" xr:uid="{00000000-0004-0000-0500-000000000000}"/>
    <hyperlink ref="C9" location="Facility_grade___pool" display="Facility grade / pool 1" xr:uid="{00000000-0004-0000-0500-000001000000}"/>
    <hyperlink ref="B2:AC2" location="Backtesting_LGD" display="C 02.00 - BACK-TESTING LGD (LGD BT)" xr:uid="{00000000-0004-0000-0500-000002000000}"/>
    <hyperlink ref="B2:AF2" location="Back_testing_LGD" display="LGD 02.01 - BACK-TESTING LGD (Less than 20 facility grades or pools) (LGD BT PM)" xr:uid="{00000000-0004-0000-0500-000003000000}"/>
    <hyperlink ref="E4:E5" location="Number_facilities__backtesting" display="Number of facilities (back-testing)" xr:uid="{00000000-0004-0000-0500-000004000000}"/>
  </hyperlinks>
  <printOptions horizontalCentered="1"/>
  <pageMargins left="0.23622047244094491" right="0.23622047244094491" top="0.74803149606299213" bottom="0.74803149606299213" header="0.31496062992125984" footer="0.31496062992125984"/>
  <pageSetup paperSize="9" scale="37" orientation="landscape" r:id="rId1"/>
  <headerFooter>
    <oddFooter>&amp;A</oddFooter>
  </headerFooter>
  <ignoredErrors>
    <ignoredError sqref="B7:B28 D6:E6 F6:AF6" numberStoredAsText="1"/>
  </ignoredErrors>
  <extLst>
    <ext xmlns:x14="http://schemas.microsoft.com/office/spreadsheetml/2009/9/main" uri="{78C0D931-6437-407d-A8EE-F0AAD7539E65}">
      <x14:conditionalFormattings>
        <x14:conditionalFormatting xmlns:xm="http://schemas.microsoft.com/office/excel/2006/main">
          <x14:cfRule type="expression" priority="28" id="{5997B4EB-69EE-4935-837D-D0A4006003E1}">
            <xm:f>'1.2'!$D$11="Continous Model"</xm:f>
            <x14:dxf>
              <fill>
                <patternFill>
                  <bgColor rgb="FFFFC000"/>
                </patternFill>
              </fill>
            </x14:dxf>
          </x14:cfRule>
          <xm:sqref>B3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13"/>
  <sheetViews>
    <sheetView showGridLines="0" zoomScaleNormal="100" zoomScaleSheetLayoutView="130" workbookViewId="0"/>
  </sheetViews>
  <sheetFormatPr defaultColWidth="0" defaultRowHeight="13" zeroHeight="1" x14ac:dyDescent="0.35"/>
  <cols>
    <col min="1" max="1" width="5.6328125" style="8" customWidth="1"/>
    <col min="2" max="2" width="14.36328125" style="12" customWidth="1"/>
    <col min="3" max="4" width="20.6328125" style="12" customWidth="1"/>
    <col min="5" max="8" width="23.08984375" style="8" customWidth="1"/>
    <col min="9" max="10" width="23.6328125" style="8" customWidth="1"/>
    <col min="11" max="12" width="20.6328125" style="8" customWidth="1"/>
    <col min="13" max="13" width="5.6328125" style="8" customWidth="1"/>
    <col min="14" max="16384" width="9.08984375" style="8" hidden="1"/>
  </cols>
  <sheetData>
    <row r="1" spans="2:12" ht="12.75" customHeight="1" thickBot="1" x14ac:dyDescent="0.4"/>
    <row r="2" spans="2:12" s="330" customFormat="1" ht="13.5" customHeight="1" thickBot="1" x14ac:dyDescent="0.4">
      <c r="B2" s="635" t="s">
        <v>320</v>
      </c>
      <c r="C2" s="636"/>
      <c r="D2" s="636"/>
      <c r="E2" s="636"/>
      <c r="F2" s="636"/>
      <c r="G2" s="636"/>
      <c r="H2" s="636"/>
      <c r="I2" s="636"/>
      <c r="J2" s="636"/>
      <c r="K2" s="636"/>
      <c r="L2" s="675"/>
    </row>
    <row r="3" spans="2:12" s="330" customFormat="1" ht="12.75" customHeight="1" thickBot="1" x14ac:dyDescent="0.4">
      <c r="B3" s="431"/>
      <c r="C3" s="431"/>
      <c r="D3" s="431"/>
      <c r="E3" s="431"/>
      <c r="F3" s="431"/>
      <c r="G3" s="431"/>
      <c r="H3" s="431"/>
      <c r="I3" s="8"/>
      <c r="J3" s="8"/>
      <c r="K3" s="8"/>
      <c r="L3" s="8"/>
    </row>
    <row r="4" spans="2:12" x14ac:dyDescent="0.35">
      <c r="B4" s="602"/>
      <c r="C4" s="608"/>
      <c r="D4" s="715" t="s">
        <v>9</v>
      </c>
      <c r="E4" s="662" t="s">
        <v>91</v>
      </c>
      <c r="F4" s="630" t="s">
        <v>215</v>
      </c>
      <c r="G4" s="631"/>
      <c r="H4" s="718"/>
      <c r="I4" s="712" t="s">
        <v>59</v>
      </c>
      <c r="J4" s="713"/>
      <c r="K4" s="713"/>
      <c r="L4" s="714"/>
    </row>
    <row r="5" spans="2:12" s="12" customFormat="1" x14ac:dyDescent="0.35">
      <c r="B5" s="690"/>
      <c r="C5" s="609"/>
      <c r="D5" s="716"/>
      <c r="E5" s="717"/>
      <c r="F5" s="551" t="s">
        <v>25</v>
      </c>
      <c r="G5" s="432" t="s">
        <v>216</v>
      </c>
      <c r="H5" s="547" t="s">
        <v>217</v>
      </c>
      <c r="I5" s="549" t="s">
        <v>218</v>
      </c>
      <c r="J5" s="433" t="s">
        <v>219</v>
      </c>
      <c r="K5" s="133" t="s">
        <v>220</v>
      </c>
      <c r="L5" s="434" t="s">
        <v>364</v>
      </c>
    </row>
    <row r="6" spans="2:12" ht="13.5" thickBot="1" x14ac:dyDescent="0.4">
      <c r="B6" s="691"/>
      <c r="C6" s="692"/>
      <c r="D6" s="384" t="s">
        <v>1</v>
      </c>
      <c r="E6" s="367" t="s">
        <v>2</v>
      </c>
      <c r="F6" s="365" t="s">
        <v>3</v>
      </c>
      <c r="G6" s="366" t="s">
        <v>4</v>
      </c>
      <c r="H6" s="383" t="s">
        <v>5</v>
      </c>
      <c r="I6" s="384" t="s">
        <v>6</v>
      </c>
      <c r="J6" s="366" t="s">
        <v>35</v>
      </c>
      <c r="K6" s="366" t="s">
        <v>36</v>
      </c>
      <c r="L6" s="367" t="s">
        <v>37</v>
      </c>
    </row>
    <row r="7" spans="2:12" ht="13.5" thickBot="1" x14ac:dyDescent="0.4">
      <c r="B7" s="435" t="s">
        <v>7</v>
      </c>
      <c r="C7" s="436" t="s">
        <v>10</v>
      </c>
      <c r="D7" s="222"/>
      <c r="E7" s="553"/>
      <c r="F7" s="552"/>
      <c r="G7" s="223"/>
      <c r="H7" s="548"/>
      <c r="I7" s="550"/>
      <c r="J7" s="124"/>
      <c r="K7" s="125"/>
      <c r="L7" s="224"/>
    </row>
    <row r="8" spans="2:12" ht="12.75" customHeight="1" thickBot="1" x14ac:dyDescent="0.4">
      <c r="B8" s="8"/>
      <c r="C8" s="8"/>
      <c r="D8" s="8"/>
    </row>
    <row r="9" spans="2:12" ht="13.5" thickBot="1" x14ac:dyDescent="0.35">
      <c r="B9" s="709" t="s">
        <v>211</v>
      </c>
      <c r="C9" s="126" t="s">
        <v>80</v>
      </c>
      <c r="D9" s="534" t="str">
        <f>IF('1.2'!D11="More than 20 facility grades or pools (including continuous LGD models)", "Table LGD 2.0","Table LGD 2.1")</f>
        <v>Table LGD 2.1</v>
      </c>
      <c r="E9" s="541" t="str">
        <f>IF(AND(OR(AND(D9="Table LGD 2.0", COUNTA(LGD_2.0b)&lt;=1),AND(D9="Table LGD 2.1", COUNTA('2.1'!E9:E28)&lt;=1)),NOT(ISBLANK(E7))), "NOT OK",
IF(AND(OR(AND(D9="Table LGD 2.0", COUNTA(LGD_2.0b)&lt;=1),AND(D9="Table LGD 2.1", COUNTA('2.1'!E9:E28)&lt;=1)),ISBLANK(E7)), "OK",
IF(AND(E10="",E7=""),"OK",
IF(AND(E7="",E10&lt;&gt;""),"NOT OK",
IF(AND(E10="",E7&lt;&gt;""),"NOT OK",
IFERROR(IF(ABS(E7-E10)&lt;E13,"OK","NOT OK"),""))))))</f>
        <v>OK</v>
      </c>
      <c r="F9" s="541" t="str">
        <f>IF(AND(ISBLANK($E$10),NOT(ISBLANK(F7))),"NOT OK",
IF(AND(ISBLANK($E$10),ISBLANK(F7),ISBLANK(F10)),"OK",
IF(AND(F10="",F7&lt;&gt;""), "NOT OK",
IF(AND(F10&lt;&gt;"",F7=""),"NOT OK",
IF(F10=F7, "OK",
IF(F7="","NOT OK",
IF(AND(F10=0, F7&gt;0), "NOT OK",
IF(ABS((F7-F10)/F10)&lt;F13,"OK","NOT OK"))))))))</f>
        <v>OK</v>
      </c>
      <c r="G9" s="541" t="str">
        <f>IF(AND(ISBLANK($E$10),NOT(ISBLANK(G7))),"NOT OK",
IF(AND(ISBLANK($E$10),ISBLANK(G7),ISBLANK(G10)),"OK",
IF(AND(G10="",G7&lt;&gt;""), "NOT OK",
IF(AND(G10&lt;&gt;"",G7=""),"NOT OK",
IF(G10=G7, "OK",
IF(G7="","NOT OK",
IF(G10=0, "IGNORE",
IF(ABS((G7-G10)/G10)&lt;G13,"OK","NOT OK"))))))))</f>
        <v>OK</v>
      </c>
      <c r="H9" s="541" t="str">
        <f>IF(AND(ISBLANK($E$10),NOT(ISBLANK(H7))),"NOT OK",
IF(AND(ISBLANK($E$10),ISBLANK(H7),ISBLANK(H10)),"OK",
IF(AND(H10="",H7&lt;&gt;""),"NOT OK",
IF(AND(H10&lt;&gt;"",H7=""),"NOT OK",
IF(H10=H7,"OK",
IF(H7="","NOT OK",
IF(AND(H10=0,H7&gt;0),"NOT OK",
IF(ABS(H7-H10)&lt;0.00001,"OK","NOT OK"))))))))</f>
        <v>OK</v>
      </c>
      <c r="I9" s="535" t="str">
        <f>IF('3.0'!I7&gt;LGD_1.0f, "NOT OK", IF(COUNTA(I7)=1,IF(COUNTA(J7)=0,"OK",IF(J7&gt;I7,"OK","NOT OK")),"NOT OK"))</f>
        <v>NOT OK</v>
      </c>
      <c r="J9" s="535" t="str">
        <f>IF(COUNTA(J7)=1,IF(J7&gt;I7,"OK","NOT OK"),"NOT OK")</f>
        <v>NOT OK</v>
      </c>
      <c r="K9" s="535" t="str">
        <f>IF(COUNTA(K7)=1,"OK","NOT OK")</f>
        <v>NOT OK</v>
      </c>
      <c r="L9" s="536" t="str">
        <f>IF(COUNTA(D7)=1,IF(COUNTA(L7)=1,"OK","NOT OK"),"WARNING")</f>
        <v>WARNING</v>
      </c>
    </row>
    <row r="10" spans="2:12" ht="14" customHeight="1" thickBot="1" x14ac:dyDescent="0.35">
      <c r="B10" s="710"/>
      <c r="C10" s="533" t="s">
        <v>84</v>
      </c>
      <c r="D10" s="540"/>
      <c r="E10" s="543" t="str">
        <f>IF('1.2'!D11="More than 20 facility grades or pools (including continuous LGD models)", IFERROR('2.0'!AS12,""), IFERROR('2.1'!BA11,""))</f>
        <v/>
      </c>
      <c r="F10" s="532" t="str">
        <f>IF('1.2'!D11="More than 20 facility grades or pools (including continuous LGD models)", IFERROR(POWER('2.0'!AS13,2),""),IFERROR(POWER('2.1'!BA12,2),""))</f>
        <v/>
      </c>
      <c r="G10" s="532" t="str">
        <f>IFERROR(IF(COUNTA(D7)=1,IFERROR((D7-E7)/SQRT(F7),""),""),"")</f>
        <v/>
      </c>
      <c r="H10" s="544" t="str">
        <f>IF(F7=0,"", IFERROR(IF(COUNTA(D7)=1,IFERROR(1-_xlfn.NORM.DIST(G10,0,1,TRUE),""),""),""))</f>
        <v/>
      </c>
    </row>
    <row r="11" spans="2:12" ht="14.4" customHeight="1" thickBot="1" x14ac:dyDescent="0.35">
      <c r="B11" s="711"/>
      <c r="C11" s="127" t="s">
        <v>81</v>
      </c>
      <c r="D11" s="537" t="str">
        <f>IF(OR(D9="Table LGD 2.0", D9="Table LGD 2.1"),"","Information missing")</f>
        <v/>
      </c>
      <c r="E11" s="542" t="str">
        <f>IF(AND(OR(AND(D9="Table LGD 2.0", COUNTA(LGD_2.0b)&lt;=1),AND(D9="Table LGD 2.1", COUNTA('2.1'!E9:E28)&lt;=1))), "No more than 1 grade/pool",  IF(E9="NOT OK", IF(E7="","gAUC_curr missing","Values do not match"),""))</f>
        <v>No more than 1 grade/pool</v>
      </c>
      <c r="F11" s="542" t="str">
        <f>IF(AND(OR(AND(D9="Table LGD 2.0", COUNTA(LGD_2.0b)&lt;=1),AND(D9="Table LGD 2.1", COUNTA('2.1'!E9:E28)&lt;=1))), "No more than 1 grade/pool",IF(F9="NOT OK", IF(F7="","Variance missing","Values do not match"),""))</f>
        <v>No more than 1 grade/pool</v>
      </c>
      <c r="G11" s="542" t="str">
        <f>IF(AND(OR(AND($D$9="Table LGD 2.0", COUNTA(LGD_2.0b)&lt;=1),AND($D$9="Table LGD 2.1", COUNTA('2.1'!$E$9:$E$28)&lt;=1))), "No more than 1 grade/pool", IF(G9="NOT OK", IF(AND(F7=0,F7&lt;&gt;"",G7&lt;&gt;""), "Not defined (s^2 = 0)", IF(G7="", "Test statistic missing", "Values do not match.")),""))</f>
        <v>No more than 1 grade/pool</v>
      </c>
      <c r="H11" s="542" t="str">
        <f>IF(AND(OR(AND($D$9="Table LGD 2.0", COUNTA(LGD_2.0b)&lt;=1),AND($D$9="Table LGD 2.1", COUNTA('2.1'!$E$9:$E$28)&lt;=1))),  "No more than 1 grade/pool", IF(H9="NOT OK", IF(AND(F7=0,F7&lt;&gt;"",H7&lt;&gt;""), "Not defined (s^2 = 0)", IF(H7="", "p-value missing", "Values do not match.")),""))</f>
        <v>No more than 1 grade/pool</v>
      </c>
      <c r="I11" s="538" t="str">
        <f>IF(I9="OK","",IF(COUNTA(I7)=0,"Information missing",IF(COUNTA(J7)=0,"",IF(I7&gt;LGD_1.0f,"Start date after current period","End date before start date"))))</f>
        <v>Information missing</v>
      </c>
      <c r="J11" s="538" t="str">
        <f>IF(J9="OK","",IF(COUNTA(J7)=0,"Information missing","End date before start date"))</f>
        <v>Information missing</v>
      </c>
      <c r="K11" s="538" t="str">
        <f>IF(K9="OK","","Information missing")</f>
        <v>Information missing</v>
      </c>
      <c r="L11" s="539" t="str">
        <f>IF(OR(L9="WARNING",L9="NOT OK"),"Information missing","")</f>
        <v>Information missing</v>
      </c>
    </row>
    <row r="12" spans="2:12" ht="12.75" customHeight="1" x14ac:dyDescent="0.35">
      <c r="B12" s="8"/>
      <c r="C12" s="8"/>
      <c r="D12" s="8"/>
    </row>
    <row r="13" spans="2:12" hidden="1" x14ac:dyDescent="0.3">
      <c r="B13" s="437"/>
      <c r="C13" s="438" t="s">
        <v>92</v>
      </c>
      <c r="D13" s="439"/>
      <c r="E13" s="440">
        <v>1.0000000000000001E-5</v>
      </c>
      <c r="F13" s="441">
        <v>1E-4</v>
      </c>
      <c r="G13" s="441">
        <v>1E-4</v>
      </c>
      <c r="H13" s="440">
        <v>1.0000000000000001E-5</v>
      </c>
    </row>
  </sheetData>
  <sheetProtection algorithmName="SHA-512" hashValue="du+Lau5Qj50ZxAV1cPmF2xWPtG5udBPXA6/zhZoOFMsAv8MZPo+aeMNT7upDJ6wIZf/Q8NmG+Ob2UmPslCZO+Q==" saltValue="UuqD8G1BXETDaUZUwvgfPw==" spinCount="100000" sheet="1" objects="1" scenarios="1"/>
  <mergeCells count="7">
    <mergeCell ref="B9:B11"/>
    <mergeCell ref="B2:L2"/>
    <mergeCell ref="I4:L4"/>
    <mergeCell ref="B4:C6"/>
    <mergeCell ref="D4:D5"/>
    <mergeCell ref="E4:E5"/>
    <mergeCell ref="F4:H4"/>
  </mergeCells>
  <conditionalFormatting sqref="E9:L9">
    <cfRule type="expression" dxfId="19" priority="10">
      <formula>E9="WARNING"</formula>
    </cfRule>
    <cfRule type="expression" dxfId="18" priority="11">
      <formula>E9="NOT OK"</formula>
    </cfRule>
    <cfRule type="expression" dxfId="17" priority="12">
      <formula>E9="OK"</formula>
    </cfRule>
  </conditionalFormatting>
  <dataValidations count="7">
    <dataValidation type="custom" operator="notEqual" showInputMessage="1" showErrorMessage="1" error="Value should be a number." sqref="G7:G8" xr:uid="{00000000-0002-0000-0600-000000000000}">
      <formula1>ISNUMBER(G7)</formula1>
    </dataValidation>
    <dataValidation type="decimal" allowBlank="1" showInputMessage="1" showErrorMessage="1" error="Only values between 0 and 1 are allowed" sqref="H7:H8 D7:E8" xr:uid="{00000000-0002-0000-0600-000001000000}">
      <formula1>0</formula1>
      <formula2>1</formula2>
    </dataValidation>
    <dataValidation type="decimal" operator="greaterThanOrEqual" allowBlank="1" showInputMessage="1" showErrorMessage="1" error="Value should be non-negative" sqref="F7:F8" xr:uid="{00000000-0002-0000-0600-000002000000}">
      <formula1>0</formula1>
    </dataValidation>
    <dataValidation type="whole" operator="greaterThan" allowBlank="1" showInputMessage="1" showErrorMessage="1" sqref="K8" xr:uid="{00000000-0002-0000-0600-000003000000}">
      <formula1>0</formula1>
    </dataValidation>
    <dataValidation type="decimal" operator="greaterThanOrEqual" allowBlank="1" showInputMessage="1" showErrorMessage="1" sqref="L7:L8" xr:uid="{00000000-0002-0000-0600-000004000000}">
      <formula1>0</formula1>
    </dataValidation>
    <dataValidation type="date" operator="lessThanOrEqual" allowBlank="1" showInputMessage="1" showErrorMessage="1" error="Start date cannot be grater than end date_x000a_" sqref="I7:I8" xr:uid="{00000000-0002-0000-0600-000005000000}">
      <formula1>J7</formula1>
    </dataValidation>
    <dataValidation type="whole" operator="greaterThan" allowBlank="1" showInputMessage="1" showErrorMessage="1" error="Only positive integers are allowed." sqref="K7" xr:uid="{00000000-0002-0000-0600-000006000000}">
      <formula1>0</formula1>
    </dataValidation>
  </dataValidations>
  <hyperlinks>
    <hyperlink ref="C7" location="Portfolio" display="Portfolio" xr:uid="{00000000-0004-0000-0600-000000000000}"/>
    <hyperlink ref="B2:H2" location="DiscriminatoryPower" display="C 03.00 -DISCRIMINATORY POWER (LGD DP)" xr:uid="{00000000-0004-0000-0600-000001000000}"/>
    <hyperlink ref="L5" location="Var_gAUC_init" display="Var (gAUC_init)" xr:uid="{00000000-0004-0000-0600-000002000000}"/>
    <hyperlink ref="I4:L4" location="Information_on_the_initial_sample" display="Information on the initial sample" xr:uid="{00000000-0004-0000-0600-000003000000}"/>
    <hyperlink ref="B2:L2" location="Discriminatory_Power_LGD" display="LGD 03.01 - DISCRIMINATORY POWER (LGD DP AUC)" xr:uid="{00000000-0004-0000-0600-000004000000}"/>
    <hyperlink ref="D4:D5" location="Generalised_AUC" display="gAUC_init" xr:uid="{00000000-0004-0000-0600-000005000000}"/>
  </hyperlinks>
  <printOptions horizontalCentered="1"/>
  <pageMargins left="0.23622047244094491" right="0.23622047244094491" top="0.74803149606299213" bottom="0.74803149606299213" header="0.31496062992125984" footer="0.31496062992125984"/>
  <pageSetup paperSize="9" scale="77" orientation="landscape" r:id="rId1"/>
  <headerFooter>
    <oddFooter>&amp;A</oddFooter>
  </headerFooter>
  <ignoredErrors>
    <ignoredError sqref="D6:L6 B7" numberStoredAsText="1"/>
  </ignoredErrors>
  <extLst>
    <ext xmlns:x14="http://schemas.microsoft.com/office/spreadsheetml/2009/9/main" uri="{CCE6A557-97BC-4b89-ADB6-D9C93CAAB3DF}">
      <x14:dataValidations xmlns:xm="http://schemas.microsoft.com/office/excel/2006/main" count="1">
        <x14:dataValidation type="date" errorStyle="warning" allowBlank="1" showInputMessage="1" showErrorMessage="1" error="End of the initial sample period should be after the start of the nitial sample period. Furthermore the initial sample period should end before the validation period starts. _x000a_" xr:uid="{00000000-0002-0000-0600-000007000000}">
          <x14:formula1>
            <xm:f>I7</xm:f>
          </x14:formula1>
          <x14:formula2>
            <xm:f>'1.0'!C14</xm:f>
          </x14:formula2>
          <xm:sqref>J7:J8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M12"/>
  <sheetViews>
    <sheetView showGridLines="0" zoomScaleNormal="100" workbookViewId="0"/>
  </sheetViews>
  <sheetFormatPr defaultColWidth="0" defaultRowHeight="13" zeroHeight="1" x14ac:dyDescent="0.35"/>
  <cols>
    <col min="1" max="1" width="5.6328125" style="8" customWidth="1"/>
    <col min="2" max="2" width="11.453125" style="12" customWidth="1"/>
    <col min="3" max="3" width="18.90625" style="12" bestFit="1" customWidth="1"/>
    <col min="4" max="4" width="19.453125" style="12" customWidth="1"/>
    <col min="5" max="5" width="19.453125" style="8" customWidth="1"/>
    <col min="6" max="6" width="25.08984375" style="8" customWidth="1"/>
    <col min="7" max="7" width="5.6328125" style="8" customWidth="1"/>
    <col min="8" max="13" width="19.453125" style="8" hidden="1" customWidth="1"/>
    <col min="14" max="16384" width="9.08984375" style="8" hidden="1"/>
  </cols>
  <sheetData>
    <row r="1" spans="2:13" ht="12.75" customHeight="1" thickBot="1" x14ac:dyDescent="0.4"/>
    <row r="2" spans="2:13" s="330" customFormat="1" ht="13.5" customHeight="1" thickBot="1" x14ac:dyDescent="0.4">
      <c r="B2" s="554" t="s">
        <v>321</v>
      </c>
      <c r="C2" s="555"/>
      <c r="D2" s="555"/>
      <c r="E2" s="555"/>
      <c r="F2" s="556"/>
      <c r="G2" s="8"/>
      <c r="H2" s="8"/>
      <c r="I2" s="8"/>
      <c r="J2" s="8"/>
      <c r="K2" s="8"/>
      <c r="L2" s="8"/>
    </row>
    <row r="3" spans="2:13" ht="12.75" customHeight="1" thickBot="1" x14ac:dyDescent="0.4"/>
    <row r="4" spans="2:13" s="12" customFormat="1" x14ac:dyDescent="0.35">
      <c r="B4" s="602"/>
      <c r="C4" s="608"/>
      <c r="D4" s="712" t="s">
        <v>33</v>
      </c>
      <c r="E4" s="713"/>
      <c r="F4" s="714"/>
      <c r="G4" s="8"/>
      <c r="H4" s="8"/>
      <c r="I4" s="8"/>
      <c r="J4" s="8"/>
      <c r="K4" s="8"/>
      <c r="L4" s="8"/>
      <c r="M4" s="8"/>
    </row>
    <row r="5" spans="2:13" ht="26" x14ac:dyDescent="0.35">
      <c r="B5" s="690"/>
      <c r="C5" s="609"/>
      <c r="D5" s="442" t="s">
        <v>112</v>
      </c>
      <c r="E5" s="433" t="s">
        <v>34</v>
      </c>
      <c r="F5" s="443" t="s">
        <v>279</v>
      </c>
    </row>
    <row r="6" spans="2:13" ht="13.5" thickBot="1" x14ac:dyDescent="0.4">
      <c r="B6" s="691"/>
      <c r="C6" s="692"/>
      <c r="D6" s="120" t="s">
        <v>1</v>
      </c>
      <c r="E6" s="107" t="s">
        <v>2</v>
      </c>
      <c r="F6" s="24" t="s">
        <v>3</v>
      </c>
    </row>
    <row r="7" spans="2:13" ht="13.5" thickBot="1" x14ac:dyDescent="0.4">
      <c r="B7" s="444" t="s">
        <v>7</v>
      </c>
      <c r="C7" s="436" t="s">
        <v>10</v>
      </c>
      <c r="D7" s="66"/>
      <c r="E7" s="67"/>
      <c r="F7" s="131" t="str">
        <f>IFERROR(E7/D7,"")</f>
        <v/>
      </c>
    </row>
    <row r="8" spans="2:13" ht="12.75" customHeight="1" thickBot="1" x14ac:dyDescent="0.4"/>
    <row r="9" spans="2:13" x14ac:dyDescent="0.3">
      <c r="B9" s="577" t="s">
        <v>211</v>
      </c>
      <c r="C9" s="64" t="s">
        <v>80</v>
      </c>
      <c r="D9" s="722" t="s">
        <v>81</v>
      </c>
      <c r="E9" s="723"/>
      <c r="F9" s="724"/>
    </row>
    <row r="10" spans="2:13" ht="13.5" thickBot="1" x14ac:dyDescent="0.35">
      <c r="B10" s="725"/>
      <c r="C10" s="65" t="str">
        <f>IF(D10="","OK","NOT OK")</f>
        <v>NOT OK</v>
      </c>
      <c r="D10" s="719" t="str">
        <f>IF(COUNTA(LGD_4.1a)&lt;&gt;2, "Row incomplete",
IF(D7-E7&lt;&gt;SUM('4.2'!E9:E28),"Inconsistent number of facilities between table LGD 4.1 and table LGD 4.2.",
IF(D7&lt;&gt;'1.2'!D10,"Inconsistent number of facilities between table LGD 04.01 and table LGD 1.2.","")))</f>
        <v>Row incomplete</v>
      </c>
      <c r="E10" s="720"/>
      <c r="F10" s="721"/>
    </row>
    <row r="11" spans="2:13" ht="12.75" customHeight="1" x14ac:dyDescent="0.35">
      <c r="D11" s="445"/>
    </row>
    <row r="12" spans="2:13" hidden="1" x14ac:dyDescent="0.35">
      <c r="E12" s="446"/>
    </row>
  </sheetData>
  <sheetProtection password="9BF7" sheet="1" objects="1" scenarios="1"/>
  <dataConsolidate/>
  <mergeCells count="6">
    <mergeCell ref="D10:F10"/>
    <mergeCell ref="B4:C6"/>
    <mergeCell ref="D4:F4"/>
    <mergeCell ref="B2:F2"/>
    <mergeCell ref="D9:F9"/>
    <mergeCell ref="B9:B10"/>
  </mergeCells>
  <conditionalFormatting sqref="C10">
    <cfRule type="expression" dxfId="16" priority="1">
      <formula>C10="WARNING"</formula>
    </cfRule>
    <cfRule type="expression" dxfId="15" priority="2">
      <formula>C10="NOT OK"</formula>
    </cfRule>
    <cfRule type="expression" dxfId="14" priority="3">
      <formula>C10="OK"</formula>
    </cfRule>
  </conditionalFormatting>
  <dataValidations count="3">
    <dataValidation type="whole" operator="greaterThanOrEqual" allowBlank="1" showInputMessage="1" showErrorMessage="1" error="Value should be non-negative integer_x000a_" sqref="D7" xr:uid="{00000000-0002-0000-0700-000000000000}">
      <formula1>0</formula1>
    </dataValidation>
    <dataValidation allowBlank="1" showInputMessage="1" showErrorMessage="1" error="Only values between 0 and 1 are allowed" sqref="F7" xr:uid="{00000000-0002-0000-0700-000001000000}"/>
    <dataValidation type="whole" operator="greaterThanOrEqual" allowBlank="1" showInputMessage="1" showErrorMessage="1" error="Please fill in a whole non-negative number that is smaller or equal to the Number of facilities" sqref="E7" xr:uid="{00000000-0002-0000-0700-000002000000}">
      <formula1>0</formula1>
    </dataValidation>
  </dataValidations>
  <hyperlinks>
    <hyperlink ref="C7" location="Portfolio" display="Portfolio" xr:uid="{00000000-0004-0000-0700-000000000000}"/>
    <hyperlink ref="D5" location="Number_of_facilities__application_portfolio" display="Number of facilities (application portfolio)" xr:uid="{00000000-0004-0000-0700-000001000000}"/>
    <hyperlink ref="D4:F4" location="Missing_Values_LGD" display="Missing LGD values" xr:uid="{00000000-0004-0000-0700-000002000000}"/>
  </hyperlinks>
  <printOptions horizontalCentered="1"/>
  <pageMargins left="0.23622047244094491" right="0.23622047244094491" top="0.74803149606299213" bottom="0.74803149606299213" header="0.31496062992125984" footer="0.31496062992125984"/>
  <pageSetup paperSize="9" orientation="landscape" r:id="rId1"/>
  <headerFooter>
    <oddFooter>&amp;A</oddFooter>
  </headerFooter>
  <ignoredErrors>
    <ignoredError sqref="D6:F6"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pageSetUpPr fitToPage="1"/>
  </sheetPr>
  <dimension ref="A1:AF41"/>
  <sheetViews>
    <sheetView showGridLines="0" zoomScaleNormal="100" workbookViewId="0"/>
  </sheetViews>
  <sheetFormatPr defaultColWidth="0" defaultRowHeight="13" zeroHeight="1" x14ac:dyDescent="0.35"/>
  <cols>
    <col min="1" max="1" width="5.6328125" style="8" customWidth="1"/>
    <col min="2" max="2" width="11.08984375" style="12" customWidth="1"/>
    <col min="3" max="3" width="31.453125" style="12" customWidth="1"/>
    <col min="4" max="5" width="21.453125" style="12" customWidth="1"/>
    <col min="6" max="13" width="21.453125" style="8" customWidth="1"/>
    <col min="14" max="14" width="5.6328125" style="8" customWidth="1"/>
    <col min="15" max="15" width="14.36328125" style="8" customWidth="1"/>
    <col min="16" max="16" width="66" style="8" customWidth="1"/>
    <col min="17" max="17" width="5.6328125" style="8" customWidth="1"/>
    <col min="18" max="18" width="14.54296875" style="8" hidden="1" customWidth="1"/>
    <col min="19" max="29" width="9.08984375" style="8" hidden="1" customWidth="1"/>
    <col min="30" max="30" width="15.90625" style="8" hidden="1" customWidth="1"/>
    <col min="31" max="31" width="11.90625" style="8" hidden="1" customWidth="1"/>
    <col min="32" max="32" width="15.6328125" style="8" hidden="1" customWidth="1"/>
    <col min="33" max="16384" width="9.08984375" style="8" hidden="1"/>
  </cols>
  <sheetData>
    <row r="1" spans="2:32" ht="12.75" customHeight="1" thickBot="1" x14ac:dyDescent="0.4"/>
    <row r="2" spans="2:32" s="330" customFormat="1" ht="13.5" customHeight="1" thickBot="1" x14ac:dyDescent="0.4">
      <c r="B2" s="726" t="s">
        <v>323</v>
      </c>
      <c r="C2" s="727"/>
      <c r="D2" s="727"/>
      <c r="E2" s="727"/>
      <c r="F2" s="727"/>
      <c r="G2" s="728"/>
      <c r="H2" s="728"/>
      <c r="I2" s="728"/>
      <c r="J2" s="728"/>
      <c r="K2" s="728"/>
      <c r="L2" s="728"/>
      <c r="M2" s="729"/>
      <c r="N2" s="8"/>
      <c r="O2" s="8"/>
      <c r="P2" s="8"/>
      <c r="Q2" s="8"/>
      <c r="R2" s="8"/>
      <c r="S2" s="8"/>
      <c r="T2" s="8"/>
      <c r="U2" s="8"/>
      <c r="V2" s="8"/>
    </row>
    <row r="3" spans="2:32" ht="12.75" customHeight="1" thickBot="1" x14ac:dyDescent="0.4"/>
    <row r="4" spans="2:32" ht="13.5" customHeight="1" thickBot="1" x14ac:dyDescent="0.4">
      <c r="B4" s="730"/>
      <c r="C4" s="732"/>
      <c r="D4" s="741" t="s">
        <v>257</v>
      </c>
      <c r="E4" s="741"/>
      <c r="F4" s="741"/>
      <c r="G4" s="741"/>
      <c r="H4" s="742"/>
      <c r="I4" s="743" t="s">
        <v>221</v>
      </c>
      <c r="J4" s="741"/>
      <c r="K4" s="741"/>
      <c r="L4" s="741"/>
      <c r="M4" s="742"/>
    </row>
    <row r="5" spans="2:32" ht="39.5" thickBot="1" x14ac:dyDescent="0.4">
      <c r="B5" s="731"/>
      <c r="C5" s="733"/>
      <c r="D5" s="447" t="s">
        <v>322</v>
      </c>
      <c r="E5" s="448" t="s">
        <v>227</v>
      </c>
      <c r="F5" s="448" t="s">
        <v>324</v>
      </c>
      <c r="G5" s="448" t="s">
        <v>325</v>
      </c>
      <c r="H5" s="449" t="s">
        <v>48</v>
      </c>
      <c r="I5" s="447" t="s">
        <v>322</v>
      </c>
      <c r="J5" s="448" t="s">
        <v>228</v>
      </c>
      <c r="K5" s="448" t="s">
        <v>324</v>
      </c>
      <c r="L5" s="448" t="s">
        <v>325</v>
      </c>
      <c r="M5" s="449" t="s">
        <v>48</v>
      </c>
      <c r="O5" s="594" t="s">
        <v>211</v>
      </c>
      <c r="P5" s="637"/>
      <c r="R5" s="168"/>
      <c r="Y5" s="8" t="s">
        <v>106</v>
      </c>
      <c r="Z5" s="8" t="s">
        <v>108</v>
      </c>
      <c r="AA5" s="8" t="s">
        <v>107</v>
      </c>
      <c r="AB5" s="8" t="s">
        <v>109</v>
      </c>
    </row>
    <row r="6" spans="2:32" ht="13.5" customHeight="1" thickBot="1" x14ac:dyDescent="0.4">
      <c r="B6" s="725"/>
      <c r="C6" s="734"/>
      <c r="D6" s="120" t="s">
        <v>1</v>
      </c>
      <c r="E6" s="107" t="s">
        <v>2</v>
      </c>
      <c r="F6" s="107" t="s">
        <v>3</v>
      </c>
      <c r="G6" s="107" t="s">
        <v>4</v>
      </c>
      <c r="H6" s="24" t="s">
        <v>5</v>
      </c>
      <c r="I6" s="120" t="s">
        <v>6</v>
      </c>
      <c r="J6" s="107" t="s">
        <v>35</v>
      </c>
      <c r="K6" s="107" t="s">
        <v>36</v>
      </c>
      <c r="L6" s="107" t="s">
        <v>37</v>
      </c>
      <c r="M6" s="24" t="s">
        <v>7</v>
      </c>
      <c r="O6" s="40" t="s">
        <v>80</v>
      </c>
      <c r="P6" s="41" t="s">
        <v>81</v>
      </c>
      <c r="R6" s="169" t="s">
        <v>82</v>
      </c>
      <c r="U6" s="450" t="s">
        <v>104</v>
      </c>
      <c r="V6" s="451" t="s">
        <v>105</v>
      </c>
      <c r="W6" s="13" t="s">
        <v>93</v>
      </c>
      <c r="X6" s="13"/>
      <c r="Y6" s="8" t="str">
        <f>IFERROR(SUMPRODUCT(F9:F28,$E9:$E28)/SUM($E9:$E28),"")</f>
        <v/>
      </c>
      <c r="Z6" s="8" t="str">
        <f>IFERROR(SUMPRODUCT(G9:G28,$E9:$E28)/SUM($E9:$E28),"")</f>
        <v/>
      </c>
      <c r="AA6" s="8" t="str">
        <f>IFERROR(SUMPRODUCT(K9:K28,$J9:$J28)/SUM($J9:$J28),"")</f>
        <v/>
      </c>
      <c r="AB6" s="8" t="str">
        <f>IFERROR(SUMPRODUCT(L9:L28,$J9:$J28)/SUM($J9:$J28),"")</f>
        <v/>
      </c>
      <c r="AD6" s="452" t="s">
        <v>337</v>
      </c>
      <c r="AE6" s="452" t="s">
        <v>349</v>
      </c>
      <c r="AF6" s="8" t="s">
        <v>350</v>
      </c>
    </row>
    <row r="7" spans="2:32" x14ac:dyDescent="0.3">
      <c r="B7" s="453">
        <v>100</v>
      </c>
      <c r="C7" s="44" t="s">
        <v>10</v>
      </c>
      <c r="D7" s="172"/>
      <c r="E7" s="173">
        <f>SUM(E9:E28)</f>
        <v>0</v>
      </c>
      <c r="F7" s="226" t="str">
        <f>E37</f>
        <v/>
      </c>
      <c r="G7" s="227" t="str">
        <f>E38</f>
        <v/>
      </c>
      <c r="H7" s="174">
        <f>SUM(H9:H28)</f>
        <v>0</v>
      </c>
      <c r="I7" s="175"/>
      <c r="J7" s="173">
        <f>SUM(J9:J28)</f>
        <v>0</v>
      </c>
      <c r="K7" s="227" t="str">
        <f>F37</f>
        <v/>
      </c>
      <c r="L7" s="227" t="str">
        <f>F38</f>
        <v/>
      </c>
      <c r="M7" s="174">
        <f>SUM(M9:M28)</f>
        <v>0</v>
      </c>
      <c r="O7" s="18" t="str">
        <f>IF('4.2'!P7="", "OK", "NOT OK")</f>
        <v>OK</v>
      </c>
      <c r="P7" s="166" t="str">
        <f>IF(E7&lt;&gt;'4.1'!D7-'4.1'!E7,"Number of facilities inconsistent with table LGD 4.1", "")</f>
        <v/>
      </c>
      <c r="R7" s="170"/>
      <c r="U7" s="450"/>
      <c r="V7" s="451"/>
      <c r="W7" s="13"/>
      <c r="X7" s="13"/>
      <c r="AD7" s="452"/>
      <c r="AE7" s="452"/>
    </row>
    <row r="8" spans="2:32" x14ac:dyDescent="0.35">
      <c r="B8" s="453"/>
      <c r="C8" s="44"/>
      <c r="D8" s="119"/>
      <c r="E8" s="395"/>
      <c r="F8" s="393"/>
      <c r="G8" s="454"/>
      <c r="H8" s="455"/>
      <c r="I8" s="354"/>
      <c r="J8" s="395"/>
      <c r="K8" s="454"/>
      <c r="L8" s="454"/>
      <c r="M8" s="455"/>
      <c r="O8" s="15"/>
      <c r="P8" s="38"/>
      <c r="R8" s="170"/>
      <c r="U8" s="450"/>
      <c r="V8" s="451"/>
      <c r="W8" s="13"/>
      <c r="X8" s="13"/>
      <c r="AD8" s="452"/>
      <c r="AE8" s="452"/>
    </row>
    <row r="9" spans="2:32" x14ac:dyDescent="0.3">
      <c r="B9" s="453">
        <v>201</v>
      </c>
      <c r="C9" s="44" t="s">
        <v>369</v>
      </c>
      <c r="D9" s="155"/>
      <c r="E9" s="143"/>
      <c r="F9" s="228"/>
      <c r="G9" s="228"/>
      <c r="H9" s="49"/>
      <c r="I9" s="158"/>
      <c r="J9" s="143"/>
      <c r="K9" s="228"/>
      <c r="L9" s="228"/>
      <c r="M9" s="49"/>
      <c r="O9" s="18" t="str">
        <f>IF(AND('4.2'!P9="", R9=""),"", IF( P9&lt;&gt;"","NOT OK","OK"))</f>
        <v/>
      </c>
      <c r="P9" s="167" t="str">
        <f>IF('4.2'!AD9="NOT OK", "Names of facility grades/pools or segments must be identical.",IF(R9="NOT OK", "Row incomplete",IF(AE9="NOT OK", "Empty gap lines not allowed",IF(AF9="NOT OK","Name of facility name/pool not consistent with table 2.1",""))))</f>
        <v/>
      </c>
      <c r="R9" s="171" t="str">
        <f>IF(COUNTA('4.2'!D9:'4.2'!M9)=0,"",
IF(COUNTA(D9:M9)=10,"OK",
IF(AND('4.2'!E9=0,NOT(ISBLANK(E9)),J9=0,NOT(ISBLANK(J9)),COUNTA(D9:M9)=4),"OK",
IF(AND(E9=0,NOT(ISBLANK(E9)),J9&lt;&gt;0,COUNTA(D9:M9)=7),"OK",
IF(AND(J9=0,NOT(ISBLANK(J9)),E9&lt;&gt;0,COUNTA(D9:M9)=7),"OK","NOT OK")))))</f>
        <v/>
      </c>
      <c r="U9" s="456">
        <f>IFERROR((E9/SUM($E$9:$E$28)-J9/SUM($J$9:$J$28))*LN((E9/SUM($E$9:$E$28))/(J9/SUM($J$9:$J$28))),0)</f>
        <v>0</v>
      </c>
      <c r="V9" s="451" t="s">
        <v>43</v>
      </c>
      <c r="W9" s="13" t="s">
        <v>110</v>
      </c>
      <c r="X9" s="8" t="s">
        <v>106</v>
      </c>
      <c r="Y9" s="8" t="e">
        <f t="array" ref="Y9">SUM(F9:F28*F9:F28*$E9:$E28)/SUM($E9:$E28)-(Y6*Y6)</f>
        <v>#DIV/0!</v>
      </c>
      <c r="Z9" s="8" t="e">
        <f t="array" ref="Z9">SUM(G9:G28*F9:F28*$E9:$E28)/SUM($E9:$E28)-(Z6*Y6)</f>
        <v>#DIV/0!</v>
      </c>
      <c r="AD9" s="452" t="str">
        <f>IF(OR(AND('1.1'!$G$8="No",D9=I9),'1.1'!$G$8="Yes",'1.1'!$G$8=""),"OK","NOT OK")</f>
        <v>OK</v>
      </c>
      <c r="AE9" s="452" t="str">
        <f>IF(AND('4.2'!R9="",COUNTIF(R10:$R$28, "*OK")&lt;&gt;0), "NOT OK", "OK")</f>
        <v>OK</v>
      </c>
      <c r="AF9" s="8" t="str">
        <f>IF('1.2'!$E$11="More than 20 facility grades or pools (including continuous LGD models)","OK",IF(I9='2.1'!D9,"OK","NOT OK"))</f>
        <v>OK</v>
      </c>
    </row>
    <row r="10" spans="2:32" x14ac:dyDescent="0.3">
      <c r="B10" s="391">
        <v>202</v>
      </c>
      <c r="C10" s="44" t="s">
        <v>370</v>
      </c>
      <c r="D10" s="156"/>
      <c r="E10" s="144"/>
      <c r="F10" s="229"/>
      <c r="G10" s="229"/>
      <c r="H10" s="50"/>
      <c r="I10" s="159"/>
      <c r="J10" s="144"/>
      <c r="K10" s="229"/>
      <c r="L10" s="229"/>
      <c r="M10" s="50"/>
      <c r="O10" s="18" t="str">
        <f>IF(AND('4.2'!P10="", R10=""),"", IF( P10&lt;&gt;"","NOT OK","OK"))</f>
        <v/>
      </c>
      <c r="P10" s="167" t="str">
        <f>IF('4.2'!AD10="NOT OK", "Names of facility grades/pools or segments must be identical.",IF(R10="NOT OK", "Row incomplete",IF(AE10="NOT OK", "Empty gap lines not allowed",IF(AF10="NOT OK","Name of facility name/pool not consistent with table 2.1",""))))</f>
        <v/>
      </c>
      <c r="R10" s="171" t="str">
        <f>IF(COUNTA('4.2'!D10:'4.2'!M10)=0,"",
IF(COUNTA(D10:M10)=10,"OK",
IF(AND('4.2'!E10=0,NOT(ISBLANK(E10)),J10=0,NOT(ISBLANK(J10)),COUNTA(D10:M10)=4),"OK",
IF(AND(E10=0,NOT(ISBLANK(E10)),J10&lt;&gt;0,COUNTA(D10:M10)=7),"OK",
IF(AND(J10=0,NOT(ISBLANK(J10)),E10&lt;&gt;0,COUNTA(D10:M10)=7),"OK","NOT OK")))))</f>
        <v/>
      </c>
      <c r="U10" s="456">
        <f t="shared" ref="U10:U28" si="0">IFERROR((E10/SUM($E$9:$E$28)-J10/SUM($J$9:$J$28))*LN((E10/SUM($E$9:$E$28))/(J10/SUM($J$9:$J$28))),0)</f>
        <v>0</v>
      </c>
      <c r="V10" s="451" t="s">
        <v>38</v>
      </c>
      <c r="W10" s="13"/>
      <c r="X10" s="8" t="s">
        <v>108</v>
      </c>
      <c r="Z10" s="8" t="e">
        <f t="array" ref="Z10">SUM(G9:G28*G9:G28*$E9:$E28)/SUM($E9:$E28)-(Z6*Z6)</f>
        <v>#DIV/0!</v>
      </c>
      <c r="AD10" s="452" t="str">
        <f>IF(OR(AND('1.1'!$G$8="No",D10=I10),'1.1'!$G$8="Yes",'1.1'!$G$8=""),"OK","NOT OK")</f>
        <v>OK</v>
      </c>
      <c r="AE10" s="452" t="str">
        <f>IF(AND('4.2'!R10="",COUNTIF(R11:$R$28, "*OK")&lt;&gt;0), "NOT OK", "OK")</f>
        <v>OK</v>
      </c>
      <c r="AF10" s="8" t="str">
        <f>IF('1.2'!$E$11="More than 20 facility grades or pools (including continuous LGD models)","OK",IF(I10='2.1'!D10,"OK","NOT OK"))</f>
        <v>OK</v>
      </c>
    </row>
    <row r="11" spans="2:32" x14ac:dyDescent="0.3">
      <c r="B11" s="453">
        <v>203</v>
      </c>
      <c r="C11" s="44" t="s">
        <v>371</v>
      </c>
      <c r="D11" s="156"/>
      <c r="E11" s="144"/>
      <c r="F11" s="229"/>
      <c r="G11" s="229"/>
      <c r="H11" s="50"/>
      <c r="I11" s="159"/>
      <c r="J11" s="144"/>
      <c r="K11" s="229"/>
      <c r="L11" s="229"/>
      <c r="M11" s="50"/>
      <c r="O11" s="18" t="str">
        <f>IF(AND('4.2'!P11="", R11=""),"", IF( P11&lt;&gt;"","NOT OK","OK"))</f>
        <v/>
      </c>
      <c r="P11" s="167" t="str">
        <f>IF('4.2'!AD11="NOT OK", "Names of facility grades/pools or segments must be identical.",IF(R11="NOT OK", "Row incomplete",IF(AE11="NOT OK", "Empty gap lines not allowed",IF(AF11="NOT OK","Name of facility name/pool not consistent with table 2.1",""))))</f>
        <v/>
      </c>
      <c r="R11" s="171" t="str">
        <f>IF(COUNTA('4.2'!D11:'4.2'!M11)=0,"",
IF(COUNTA(D11:M11)=10,"OK",
IF(AND('4.2'!E11=0,NOT(ISBLANK(E11)),J11=0,NOT(ISBLANK(J11)),COUNTA(D11:M11)=4),"OK",
IF(AND(E11=0,NOT(ISBLANK(E11)),J11&lt;&gt;0,COUNTA(D11:M11)=7),"OK",
IF(AND(J11=0,NOT(ISBLANK(J11)),E11&lt;&gt;0,COUNTA(D11:M11)=7),"OK","NOT OK")))))</f>
        <v/>
      </c>
      <c r="U11" s="456">
        <f t="shared" si="0"/>
        <v>0</v>
      </c>
      <c r="V11" s="451" t="s">
        <v>39</v>
      </c>
      <c r="X11" s="8" t="s">
        <v>107</v>
      </c>
      <c r="AA11" s="8" t="e">
        <f t="array" ref="AA11">SUM(K9:K28*K9:K28*$J9:$J28)/SUM($J9:$J28)-(AA6*AA6)</f>
        <v>#DIV/0!</v>
      </c>
      <c r="AB11" s="8" t="e">
        <f t="array" ref="AB11">SUM(L9:L28*K9:K28*$J9:$J28)/SUM($J9:$J28)-(AB6*AA6)</f>
        <v>#DIV/0!</v>
      </c>
      <c r="AD11" s="452" t="str">
        <f>IF(OR(AND('1.1'!$G$8="No",D11=I11),'1.1'!$G$8="Yes",'1.1'!$G$8=""),"OK","NOT OK")</f>
        <v>OK</v>
      </c>
      <c r="AE11" s="452" t="str">
        <f>IF(AND('4.2'!R11="",COUNTIF(R12:$R$28, "*OK")&lt;&gt;0), "NOT OK", "OK")</f>
        <v>OK</v>
      </c>
      <c r="AF11" s="8" t="str">
        <f>IF('1.2'!$E$11="More than 20 facility grades or pools (including continuous LGD models)","OK",IF(I11='2.1'!D11,"OK","NOT OK"))</f>
        <v>OK</v>
      </c>
    </row>
    <row r="12" spans="2:32" x14ac:dyDescent="0.3">
      <c r="B12" s="391">
        <v>204</v>
      </c>
      <c r="C12" s="44" t="s">
        <v>372</v>
      </c>
      <c r="D12" s="156"/>
      <c r="E12" s="144"/>
      <c r="F12" s="229"/>
      <c r="G12" s="229"/>
      <c r="H12" s="50"/>
      <c r="I12" s="159"/>
      <c r="J12" s="144"/>
      <c r="K12" s="229"/>
      <c r="L12" s="229"/>
      <c r="M12" s="50"/>
      <c r="O12" s="18" t="str">
        <f>IF(AND('4.2'!P12="", R12=""),"", IF( P12&lt;&gt;"","NOT OK","OK"))</f>
        <v/>
      </c>
      <c r="P12" s="167" t="str">
        <f>IF('4.2'!AD12="NOT OK", "Names of facility grades/pools or segments must be identical.",IF(R12="NOT OK", "Row incomplete",IF(AE12="NOT OK", "Empty gap lines not allowed",IF(AF12="NOT OK","Name of facility name/pool not consistent with table 2.1",""))))</f>
        <v/>
      </c>
      <c r="R12" s="171" t="str">
        <f>IF(COUNTA('4.2'!D12:'4.2'!M12)=0,"",
IF(COUNTA(D12:M12)=10,"OK",
IF(AND('4.2'!E12=0,NOT(ISBLANK(E12)),J12=0,NOT(ISBLANK(J12)),COUNTA(D12:M12)=4),"OK",
IF(AND(E12=0,NOT(ISBLANK(E12)),J12&lt;&gt;0,COUNTA(D12:M12)=7),"OK",
IF(AND(J12=0,NOT(ISBLANK(J12)),E12&lt;&gt;0,COUNTA(D12:M12)=7),"OK","NOT OK")))))</f>
        <v/>
      </c>
      <c r="U12" s="456">
        <f t="shared" si="0"/>
        <v>0</v>
      </c>
      <c r="V12" s="451" t="s">
        <v>40</v>
      </c>
      <c r="X12" s="8" t="s">
        <v>109</v>
      </c>
      <c r="AB12" s="8" t="e">
        <f t="array" ref="AB12">SUM(L9:L28*L9:L28*$J9:$J28)/SUM($J9:$J28)-(AB6*AB6)</f>
        <v>#DIV/0!</v>
      </c>
      <c r="AD12" s="452" t="str">
        <f>IF(OR(AND('1.1'!$G$8="No",D12=I12),'1.1'!$G$8="Yes",'1.1'!$G$8=""),"OK","NOT OK")</f>
        <v>OK</v>
      </c>
      <c r="AE12" s="452" t="str">
        <f>IF(AND('4.2'!R12="",COUNTIF(R13:$R$28, "*OK")&lt;&gt;0), "NOT OK", "OK")</f>
        <v>OK</v>
      </c>
      <c r="AF12" s="8" t="str">
        <f>IF('1.2'!$E$11="More than 20 facility grades or pools (including continuous LGD models)","OK",IF(I12='2.1'!D12,"OK","NOT OK"))</f>
        <v>OK</v>
      </c>
    </row>
    <row r="13" spans="2:32" x14ac:dyDescent="0.3">
      <c r="B13" s="453">
        <v>205</v>
      </c>
      <c r="C13" s="44" t="s">
        <v>373</v>
      </c>
      <c r="D13" s="156"/>
      <c r="E13" s="144"/>
      <c r="F13" s="229"/>
      <c r="G13" s="229"/>
      <c r="H13" s="50"/>
      <c r="I13" s="159"/>
      <c r="J13" s="144"/>
      <c r="K13" s="229"/>
      <c r="L13" s="229"/>
      <c r="M13" s="50"/>
      <c r="O13" s="18" t="str">
        <f>IF(AND('4.2'!P13="", R13=""),"", IF( P13&lt;&gt;"","NOT OK","OK"))</f>
        <v/>
      </c>
      <c r="P13" s="167" t="str">
        <f>IF('4.2'!AD13="NOT OK", "Names of facility grades/pools or segments must be identical.",IF(R13="NOT OK", "Row incomplete",IF(AE13="NOT OK", "Empty gap lines not allowed",IF(AF13="NOT OK","Name of facility name/pool not consistent with table 2.1",""))))</f>
        <v/>
      </c>
      <c r="R13" s="171" t="str">
        <f>IF(COUNTA('4.2'!D13:'4.2'!M13)=0,"",
IF(COUNTA(D13:M13)=10,"OK",
IF(AND('4.2'!E13=0,NOT(ISBLANK(E13)),J13=0,NOT(ISBLANK(J13)),COUNTA(D13:M13)=4),"OK",
IF(AND(E13=0,NOT(ISBLANK(E13)),J13&lt;&gt;0,COUNTA(D13:M13)=7),"OK",
IF(AND(J13=0,NOT(ISBLANK(J13)),E13&lt;&gt;0,COUNTA(D13:M13)=7),"OK","NOT OK")))))</f>
        <v/>
      </c>
      <c r="U13" s="456">
        <f t="shared" si="0"/>
        <v>0</v>
      </c>
      <c r="V13" s="451" t="s">
        <v>41</v>
      </c>
      <c r="AD13" s="452" t="str">
        <f>IF(OR(AND('1.1'!$G$8="No",D13=I13),'1.1'!$G$8="Yes",'1.1'!$G$8=""),"OK","NOT OK")</f>
        <v>OK</v>
      </c>
      <c r="AE13" s="452" t="str">
        <f>IF(AND('4.2'!R13="",COUNTIF(R14:$R$28, "*OK")&lt;&gt;0), "NOT OK", "OK")</f>
        <v>OK</v>
      </c>
      <c r="AF13" s="8" t="str">
        <f>IF('1.2'!$E$11="More than 20 facility grades or pools (including continuous LGD models)","OK",IF(I13='2.1'!D13,"OK","NOT OK"))</f>
        <v>OK</v>
      </c>
    </row>
    <row r="14" spans="2:32" x14ac:dyDescent="0.3">
      <c r="B14" s="391">
        <v>206</v>
      </c>
      <c r="C14" s="44" t="s">
        <v>374</v>
      </c>
      <c r="D14" s="156"/>
      <c r="E14" s="144"/>
      <c r="F14" s="229"/>
      <c r="G14" s="229"/>
      <c r="H14" s="50"/>
      <c r="I14" s="159"/>
      <c r="J14" s="144"/>
      <c r="K14" s="229"/>
      <c r="L14" s="229"/>
      <c r="M14" s="50"/>
      <c r="O14" s="18" t="str">
        <f>IF(AND('4.2'!P14="", R14=""),"", IF( P14&lt;&gt;"","NOT OK","OK"))</f>
        <v/>
      </c>
      <c r="P14" s="167" t="str">
        <f>IF('4.2'!AD14="NOT OK", "Names of facility grades/pools or segments must be identical.",IF(R14="NOT OK", "Row incomplete",IF(AE14="NOT OK", "Empty gap lines not allowed",IF(AF14="NOT OK","Name of facility name/pool not consistent with table 2.1",""))))</f>
        <v/>
      </c>
      <c r="R14" s="171" t="str">
        <f>IF(COUNTA('4.2'!D14:'4.2'!M14)=0,"",
IF(COUNTA(D14:M14)=10,"OK",
IF(AND('4.2'!E14=0,NOT(ISBLANK(E14)),J14=0,NOT(ISBLANK(J14)),COUNTA(D14:M14)=4),"OK",
IF(AND(E14=0,NOT(ISBLANK(E14)),J14&lt;&gt;0,COUNTA(D14:M14)=7),"OK",
IF(AND(J14=0,NOT(ISBLANK(J14)),E14&lt;&gt;0,COUNTA(D14:M14)=7),"OK","NOT OK")))))</f>
        <v/>
      </c>
      <c r="U14" s="456">
        <f t="shared" si="0"/>
        <v>0</v>
      </c>
      <c r="V14" s="451" t="s">
        <v>42</v>
      </c>
      <c r="W14" s="13" t="s">
        <v>94</v>
      </c>
      <c r="X14" s="8" t="s">
        <v>106</v>
      </c>
      <c r="Z14" s="8" t="e">
        <f>Z9/SQRT(Y9*Z10)</f>
        <v>#DIV/0!</v>
      </c>
      <c r="AD14" s="452" t="str">
        <f>IF(OR(AND('1.1'!$G$8="No",D14=I14),'1.1'!$G$8="Yes",'1.1'!$G$8=""),"OK","NOT OK")</f>
        <v>OK</v>
      </c>
      <c r="AE14" s="452" t="str">
        <f>IF(AND('4.2'!R14="",COUNTIF(R15:$R$28, "*OK")&lt;&gt;0), "NOT OK", "OK")</f>
        <v>OK</v>
      </c>
      <c r="AF14" s="8" t="str">
        <f>IF('1.2'!$E$11="More than 20 facility grades or pools (including continuous LGD models)","OK",IF(I14='2.1'!D14,"OK","NOT OK"))</f>
        <v>OK</v>
      </c>
    </row>
    <row r="15" spans="2:32" x14ac:dyDescent="0.3">
      <c r="B15" s="391">
        <v>207</v>
      </c>
      <c r="C15" s="44" t="s">
        <v>375</v>
      </c>
      <c r="D15" s="156"/>
      <c r="E15" s="144"/>
      <c r="F15" s="229"/>
      <c r="G15" s="229"/>
      <c r="H15" s="50"/>
      <c r="I15" s="159"/>
      <c r="J15" s="144"/>
      <c r="K15" s="229"/>
      <c r="L15" s="229"/>
      <c r="M15" s="50"/>
      <c r="O15" s="18" t="str">
        <f>IF(AND('4.2'!P15="", R15=""),"", IF( P15&lt;&gt;"","NOT OK","OK"))</f>
        <v/>
      </c>
      <c r="P15" s="167" t="str">
        <f>IF('4.2'!AD15="NOT OK", "Names of facility grades/pools or segments must be identical.",IF(R15="NOT OK", "Row incomplete",IF(AE15="NOT OK", "Empty gap lines not allowed",IF(AF15="NOT OK","Name of facility name/pool not consistent with table 2.1",""))))</f>
        <v/>
      </c>
      <c r="R15" s="171" t="str">
        <f>IF(COUNTA('4.2'!D15:'4.2'!M15)=0,"",
IF(COUNTA(D15:M15)=10,"OK",
IF(AND('4.2'!E15=0,NOT(ISBLANK(E15)),J15=0,NOT(ISBLANK(J15)),COUNTA(D15:M15)=4),"OK",
IF(AND(E15=0,NOT(ISBLANK(E15)),J15&lt;&gt;0,COUNTA(D15:M15)=7),"OK",
IF(AND(J15=0,NOT(ISBLANK(J15)),E15&lt;&gt;0,COUNTA(D15:M15)=7),"OK","NOT OK")))))</f>
        <v/>
      </c>
      <c r="U15" s="456">
        <f t="shared" si="0"/>
        <v>0</v>
      </c>
      <c r="V15" s="451" t="s">
        <v>47</v>
      </c>
      <c r="X15" s="8" t="s">
        <v>108</v>
      </c>
      <c r="AD15" s="452" t="str">
        <f>IF(OR(AND('1.1'!$G$8="No",D15=I15),'1.1'!$G$8="Yes",'1.1'!$G$8=""),"OK","NOT OK")</f>
        <v>OK</v>
      </c>
      <c r="AE15" s="452" t="str">
        <f>IF(AND('4.2'!R15="",COUNTIF(R16:$R$28, "*OK")&lt;&gt;0), "NOT OK", "OK")</f>
        <v>OK</v>
      </c>
      <c r="AF15" s="8" t="str">
        <f>IF('1.2'!$E$11="More than 20 facility grades or pools (including continuous LGD models)","OK",IF(I15='2.1'!D15,"OK","NOT OK"))</f>
        <v>OK</v>
      </c>
    </row>
    <row r="16" spans="2:32" x14ac:dyDescent="0.3">
      <c r="B16" s="391">
        <v>208</v>
      </c>
      <c r="C16" s="44" t="s">
        <v>376</v>
      </c>
      <c r="D16" s="156"/>
      <c r="E16" s="144"/>
      <c r="F16" s="229"/>
      <c r="G16" s="229"/>
      <c r="H16" s="50"/>
      <c r="I16" s="159"/>
      <c r="J16" s="144"/>
      <c r="K16" s="229"/>
      <c r="L16" s="229"/>
      <c r="M16" s="50"/>
      <c r="O16" s="18" t="str">
        <f>IF(AND('4.2'!P16="", R16=""),"", IF( P16&lt;&gt;"","NOT OK","OK"))</f>
        <v/>
      </c>
      <c r="P16" s="167" t="str">
        <f>IF('4.2'!AD16="NOT OK", "Names of facility grades/pools or segments must be identical.",IF(R16="NOT OK", "Row incomplete",IF(AE16="NOT OK", "Empty gap lines not allowed",IF(AF16="NOT OK","Name of facility name/pool not consistent with table 2.1",""))))</f>
        <v/>
      </c>
      <c r="R16" s="171" t="str">
        <f>IF(COUNTA('4.2'!D16:'4.2'!M16)=0,"",
IF(COUNTA(D16:M16)=10,"OK",
IF(AND('4.2'!E16=0,NOT(ISBLANK(E16)),J16=0,NOT(ISBLANK(J16)),COUNTA(D16:M16)=4),"OK",
IF(AND(E16=0,NOT(ISBLANK(E16)),J16&lt;&gt;0,COUNTA(D16:M16)=7),"OK",
IF(AND(J16=0,NOT(ISBLANK(J16)),E16&lt;&gt;0,COUNTA(D16:M16)=7),"OK","NOT OK")))))</f>
        <v/>
      </c>
      <c r="U16" s="456">
        <f t="shared" si="0"/>
        <v>0</v>
      </c>
      <c r="V16" s="451" t="s">
        <v>44</v>
      </c>
      <c r="X16" s="8" t="s">
        <v>107</v>
      </c>
      <c r="AB16" s="8" t="e">
        <f>AB11/SQRT(AA11*AB12)</f>
        <v>#DIV/0!</v>
      </c>
      <c r="AD16" s="452" t="str">
        <f>IF(OR(AND('1.1'!$G$8="No",D16=I16),'1.1'!$G$8="Yes",'1.1'!$G$8=""),"OK","NOT OK")</f>
        <v>OK</v>
      </c>
      <c r="AE16" s="452" t="str">
        <f>IF(AND('4.2'!R16="",COUNTIF(R17:$R$28, "*OK")&lt;&gt;0), "NOT OK", "OK")</f>
        <v>OK</v>
      </c>
      <c r="AF16" s="8" t="str">
        <f>IF('1.2'!$E$11="More than 20 facility grades or pools (including continuous LGD models)","OK",IF(I16='2.1'!D16,"OK","NOT OK"))</f>
        <v>OK</v>
      </c>
    </row>
    <row r="17" spans="2:32" x14ac:dyDescent="0.3">
      <c r="B17" s="453">
        <v>209</v>
      </c>
      <c r="C17" s="44" t="s">
        <v>377</v>
      </c>
      <c r="D17" s="156"/>
      <c r="E17" s="144"/>
      <c r="F17" s="229"/>
      <c r="G17" s="229"/>
      <c r="H17" s="50"/>
      <c r="I17" s="159"/>
      <c r="J17" s="144"/>
      <c r="K17" s="229"/>
      <c r="L17" s="229"/>
      <c r="M17" s="50"/>
      <c r="O17" s="18" t="str">
        <f>IF(AND('4.2'!P17="", R17=""),"", IF( P17&lt;&gt;"","NOT OK","OK"))</f>
        <v/>
      </c>
      <c r="P17" s="167" t="str">
        <f>IF('4.2'!AD17="NOT OK", "Names of facility grades/pools or segments must be identical.",IF(R17="NOT OK", "Row incomplete",IF(AE17="NOT OK", "Empty gap lines not allowed",IF(AF17="NOT OK","Name of facility name/pool not consistent with table 2.1",""))))</f>
        <v/>
      </c>
      <c r="R17" s="171" t="str">
        <f>IF(COUNTA('4.2'!D17:'4.2'!M17)=0,"",
IF(COUNTA(D17:M17)=10,"OK",
IF(AND('4.2'!E17=0,NOT(ISBLANK(E17)),J17=0,NOT(ISBLANK(J17)),COUNTA(D17:M17)=4),"OK",
IF(AND(E17=0,NOT(ISBLANK(E17)),J17&lt;&gt;0,COUNTA(D17:M17)=7),"OK",
IF(AND(J17=0,NOT(ISBLANK(J17)),E17&lt;&gt;0,COUNTA(D17:M17)=7),"OK","NOT OK")))))</f>
        <v/>
      </c>
      <c r="U17" s="456">
        <f t="shared" si="0"/>
        <v>0</v>
      </c>
      <c r="X17" s="8" t="s">
        <v>109</v>
      </c>
      <c r="AD17" s="452" t="str">
        <f>IF(OR(AND('1.1'!$G$8="No",D17=I17),'1.1'!$G$8="Yes",'1.1'!$G$8=""),"OK","NOT OK")</f>
        <v>OK</v>
      </c>
      <c r="AE17" s="452" t="str">
        <f>IF(AND('4.2'!R17="",COUNTIF(R18:$R$28, "*OK")&lt;&gt;0), "NOT OK", "OK")</f>
        <v>OK</v>
      </c>
      <c r="AF17" s="8" t="str">
        <f>IF('1.2'!$E$11="More than 20 facility grades or pools (including continuous LGD models)","OK",IF(I17='2.1'!D17,"OK","NOT OK"))</f>
        <v>OK</v>
      </c>
    </row>
    <row r="18" spans="2:32" x14ac:dyDescent="0.3">
      <c r="B18" s="391">
        <v>210</v>
      </c>
      <c r="C18" s="44" t="s">
        <v>378</v>
      </c>
      <c r="D18" s="156"/>
      <c r="E18" s="144"/>
      <c r="F18" s="229"/>
      <c r="G18" s="229"/>
      <c r="H18" s="50"/>
      <c r="I18" s="159"/>
      <c r="J18" s="144"/>
      <c r="K18" s="229"/>
      <c r="L18" s="229"/>
      <c r="M18" s="50"/>
      <c r="O18" s="18" t="str">
        <f>IF(AND('4.2'!P18="", R18=""),"", IF( P18&lt;&gt;"","NOT OK","OK"))</f>
        <v/>
      </c>
      <c r="P18" s="167" t="str">
        <f>IF('4.2'!AD18="NOT OK", "Names of facility grades/pools or segments must be identical.",IF(R18="NOT OK", "Row incomplete",IF(AE18="NOT OK", "Empty gap lines not allowed",IF(AF18="NOT OK","Name of facility name/pool not consistent with table 2.1",""))))</f>
        <v/>
      </c>
      <c r="R18" s="171" t="str">
        <f>IF(COUNTA('4.2'!D18:'4.2'!M18)=0,"",
IF(COUNTA(D18:M18)=10,"OK",
IF(AND('4.2'!E18=0,NOT(ISBLANK(E18)),J18=0,NOT(ISBLANK(J18)),COUNTA(D18:M18)=4),"OK",
IF(AND(E18=0,NOT(ISBLANK(E18)),J18&lt;&gt;0,COUNTA(D18:M18)=7),"OK",
IF(AND(J18=0,NOT(ISBLANK(J18)),E18&lt;&gt;0,COUNTA(D18:M18)=7),"OK","NOT OK")))))</f>
        <v/>
      </c>
      <c r="U18" s="456">
        <f t="shared" si="0"/>
        <v>0</v>
      </c>
      <c r="AD18" s="452" t="str">
        <f>IF(OR(AND('1.1'!$G$8="No",D18=I18),'1.1'!$G$8="Yes",'1.1'!$G$8=""),"OK","NOT OK")</f>
        <v>OK</v>
      </c>
      <c r="AE18" s="452" t="str">
        <f>IF(AND('4.2'!R18="",COUNTIF(R19:$R$28, "*OK")&lt;&gt;0), "NOT OK", "OK")</f>
        <v>OK</v>
      </c>
      <c r="AF18" s="8" t="str">
        <f>IF('1.2'!$E$11="More than 20 facility grades or pools (including continuous LGD models)","OK",IF(I18='2.1'!D18,"OK","NOT OK"))</f>
        <v>OK</v>
      </c>
    </row>
    <row r="19" spans="2:32" x14ac:dyDescent="0.3">
      <c r="B19" s="391">
        <v>211</v>
      </c>
      <c r="C19" s="44" t="s">
        <v>379</v>
      </c>
      <c r="D19" s="156"/>
      <c r="E19" s="144"/>
      <c r="F19" s="229"/>
      <c r="G19" s="229"/>
      <c r="H19" s="50"/>
      <c r="I19" s="159"/>
      <c r="J19" s="144"/>
      <c r="K19" s="229"/>
      <c r="L19" s="229"/>
      <c r="M19" s="50"/>
      <c r="O19" s="18" t="str">
        <f>IF(AND('4.2'!P19="", R19=""),"", IF( P19&lt;&gt;"","NOT OK","OK"))</f>
        <v/>
      </c>
      <c r="P19" s="167" t="str">
        <f>IF('4.2'!AD19="NOT OK", "Names of facility grades/pools or segments must be identical.",IF(R19="NOT OK", "Row incomplete",IF(AE19="NOT OK", "Empty gap lines not allowed",IF(AF19="NOT OK","Name of facility name/pool not consistent with table 2.1",""))))</f>
        <v/>
      </c>
      <c r="R19" s="171" t="str">
        <f>IF(COUNTA('4.2'!D19:'4.2'!M19)=0,"",
IF(COUNTA(D19:M19)=10,"OK",
IF(AND('4.2'!E19=0,NOT(ISBLANK(E19)),J19=0,NOT(ISBLANK(J19)),COUNTA(D19:M19)=4),"OK",
IF(AND(E19=0,NOT(ISBLANK(E19)),J19&lt;&gt;0,COUNTA(D19:M19)=7),"OK",
IF(AND(J19=0,NOT(ISBLANK(J19)),E19&lt;&gt;0,COUNTA(D19:M19)=7),"OK","NOT OK")))))</f>
        <v/>
      </c>
      <c r="U19" s="456">
        <f t="shared" si="0"/>
        <v>0</v>
      </c>
      <c r="AD19" s="452" t="str">
        <f>IF(OR(AND('1.1'!$G$8="No",D19=I19),'1.1'!$G$8="Yes",'1.1'!$G$8=""),"OK","NOT OK")</f>
        <v>OK</v>
      </c>
      <c r="AE19" s="452" t="str">
        <f>IF(AND('4.2'!R19="",COUNTIF(R20:$R$28, "*OK")&lt;&gt;0), "NOT OK", "OK")</f>
        <v>OK</v>
      </c>
      <c r="AF19" s="8" t="str">
        <f>IF('1.2'!$E$11="More than 20 facility grades or pools (including continuous LGD models)","OK",IF(I19='2.1'!D19,"OK","NOT OK"))</f>
        <v>OK</v>
      </c>
    </row>
    <row r="20" spans="2:32" x14ac:dyDescent="0.3">
      <c r="B20" s="391">
        <v>212</v>
      </c>
      <c r="C20" s="44" t="s">
        <v>380</v>
      </c>
      <c r="D20" s="156"/>
      <c r="E20" s="144"/>
      <c r="F20" s="229"/>
      <c r="G20" s="229"/>
      <c r="H20" s="50"/>
      <c r="I20" s="159"/>
      <c r="J20" s="144"/>
      <c r="K20" s="229"/>
      <c r="L20" s="229"/>
      <c r="M20" s="50"/>
      <c r="O20" s="18" t="str">
        <f>IF(AND('4.2'!P20="", R20=""),"", IF( P20&lt;&gt;"","NOT OK","OK"))</f>
        <v/>
      </c>
      <c r="P20" s="167" t="str">
        <f>IF('4.2'!AD20="NOT OK", "Names of facility grades/pools or segments must be identical.",IF(R20="NOT OK", "Row incomplete",IF(AE20="NOT OK", "Empty gap lines not allowed",IF(AF20="NOT OK","Name of facility name/pool not consistent with table 2.1",""))))</f>
        <v/>
      </c>
      <c r="R20" s="171" t="str">
        <f>IF(COUNTA('4.2'!D20:'4.2'!M20)=0,"",
IF(COUNTA(D20:M20)=10,"OK",
IF(AND('4.2'!E20=0,NOT(ISBLANK(E20)),J20=0,NOT(ISBLANK(J20)),COUNTA(D20:M20)=4),"OK",
IF(AND(E20=0,NOT(ISBLANK(E20)),J20&lt;&gt;0,COUNTA(D20:M20)=7),"OK",
IF(AND(J20=0,NOT(ISBLANK(J20)),E20&lt;&gt;0,COUNTA(D20:M20)=7),"OK","NOT OK")))))</f>
        <v/>
      </c>
      <c r="U20" s="456">
        <f t="shared" si="0"/>
        <v>0</v>
      </c>
      <c r="AD20" s="452" t="str">
        <f>IF(OR(AND('1.1'!$G$8="No",D20=I20),'1.1'!$G$8="Yes",'1.1'!$G$8=""),"OK","NOT OK")</f>
        <v>OK</v>
      </c>
      <c r="AE20" s="452" t="str">
        <f>IF(AND('4.2'!R20="",COUNTIF(R21:$R$28, "*OK")&lt;&gt;0), "NOT OK", "OK")</f>
        <v>OK</v>
      </c>
      <c r="AF20" s="8" t="str">
        <f>IF('1.2'!$E$11="More than 20 facility grades or pools (including continuous LGD models)","OK",IF(I20='2.1'!D20,"OK","NOT OK"))</f>
        <v>OK</v>
      </c>
    </row>
    <row r="21" spans="2:32" x14ac:dyDescent="0.3">
      <c r="B21" s="391">
        <v>213</v>
      </c>
      <c r="C21" s="44" t="s">
        <v>381</v>
      </c>
      <c r="D21" s="156"/>
      <c r="E21" s="144"/>
      <c r="F21" s="229"/>
      <c r="G21" s="229"/>
      <c r="H21" s="50"/>
      <c r="I21" s="159"/>
      <c r="J21" s="144"/>
      <c r="K21" s="229"/>
      <c r="L21" s="229"/>
      <c r="M21" s="50"/>
      <c r="O21" s="18" t="str">
        <f>IF(AND('4.2'!P21="", R21=""),"", IF( P21&lt;&gt;"","NOT OK","OK"))</f>
        <v/>
      </c>
      <c r="P21" s="167" t="str">
        <f>IF('4.2'!AD21="NOT OK", "Names of facility grades/pools or segments must be identical.",IF(R21="NOT OK", "Row incomplete",IF(AE21="NOT OK", "Empty gap lines not allowed",IF(AF21="NOT OK","Name of facility name/pool not consistent with table 2.1",""))))</f>
        <v/>
      </c>
      <c r="R21" s="171" t="str">
        <f>IF(COUNTA('4.2'!D21:'4.2'!M21)=0,"",
IF(COUNTA(D21:M21)=10,"OK",
IF(AND('4.2'!E21=0,NOT(ISBLANK(E21)),J21=0,NOT(ISBLANK(J21)),COUNTA(D21:M21)=4),"OK",
IF(AND(E21=0,NOT(ISBLANK(E21)),J21&lt;&gt;0,COUNTA(D21:M21)=7),"OK",
IF(AND(J21=0,NOT(ISBLANK(J21)),E21&lt;&gt;0,COUNTA(D21:M21)=7),"OK","NOT OK")))))</f>
        <v/>
      </c>
      <c r="U21" s="456">
        <f t="shared" si="0"/>
        <v>0</v>
      </c>
      <c r="AD21" s="452" t="str">
        <f>IF(OR(AND('1.1'!$G$8="No",D21=I21),'1.1'!$G$8="Yes",'1.1'!$G$8=""),"OK","NOT OK")</f>
        <v>OK</v>
      </c>
      <c r="AE21" s="452" t="str">
        <f>IF(AND('4.2'!R21="",COUNTIF(R22:$R$28, "*OK")&lt;&gt;0), "NOT OK", "OK")</f>
        <v>OK</v>
      </c>
      <c r="AF21" s="8" t="str">
        <f>IF('1.2'!$E$11="More than 20 facility grades or pools (including continuous LGD models)","OK",IF(I21='2.1'!D21,"OK","NOT OK"))</f>
        <v>OK</v>
      </c>
    </row>
    <row r="22" spans="2:32" x14ac:dyDescent="0.3">
      <c r="B22" s="391">
        <v>214</v>
      </c>
      <c r="C22" s="44" t="s">
        <v>382</v>
      </c>
      <c r="D22" s="156"/>
      <c r="E22" s="144"/>
      <c r="F22" s="229"/>
      <c r="G22" s="229"/>
      <c r="H22" s="50"/>
      <c r="I22" s="159"/>
      <c r="J22" s="144"/>
      <c r="K22" s="229"/>
      <c r="L22" s="229"/>
      <c r="M22" s="50"/>
      <c r="O22" s="18" t="str">
        <f>IF(AND('4.2'!P22="", R22=""),"", IF( P22&lt;&gt;"","NOT OK","OK"))</f>
        <v/>
      </c>
      <c r="P22" s="167" t="str">
        <f>IF('4.2'!AD22="NOT OK", "Names of facility grades/pools or segments must be identical.",IF(R22="NOT OK", "Row incomplete",IF(AE22="NOT OK", "Empty gap lines not allowed",IF(AF22="NOT OK","Name of facility name/pool not consistent with table 2.1",""))))</f>
        <v/>
      </c>
      <c r="R22" s="171" t="str">
        <f>IF(COUNTA('4.2'!D22:'4.2'!M22)=0,"",
IF(COUNTA(D22:M22)=10,"OK",
IF(AND('4.2'!E22=0,NOT(ISBLANK(E22)),J22=0,NOT(ISBLANK(J22)),COUNTA(D22:M22)=4),"OK",
IF(AND(E22=0,NOT(ISBLANK(E22)),J22&lt;&gt;0,COUNTA(D22:M22)=7),"OK",
IF(AND(J22=0,NOT(ISBLANK(J22)),E22&lt;&gt;0,COUNTA(D22:M22)=7),"OK","NOT OK")))))</f>
        <v/>
      </c>
      <c r="U22" s="456">
        <f t="shared" si="0"/>
        <v>0</v>
      </c>
      <c r="AD22" s="452" t="str">
        <f>IF(OR(AND('1.1'!$G$8="No",D22=I22),'1.1'!$G$8="Yes",'1.1'!$G$8=""),"OK","NOT OK")</f>
        <v>OK</v>
      </c>
      <c r="AE22" s="452" t="str">
        <f>IF(AND('4.2'!R22="",COUNTIF(R23:$R$28, "*OK")&lt;&gt;0), "NOT OK", "OK")</f>
        <v>OK</v>
      </c>
      <c r="AF22" s="8" t="str">
        <f>IF('1.2'!$E$11="More than 20 facility grades or pools (including continuous LGD models)","OK",IF(I22='2.1'!D22,"OK","NOT OK"))</f>
        <v>OK</v>
      </c>
    </row>
    <row r="23" spans="2:32" x14ac:dyDescent="0.3">
      <c r="B23" s="391">
        <v>215</v>
      </c>
      <c r="C23" s="44" t="s">
        <v>383</v>
      </c>
      <c r="D23" s="156"/>
      <c r="E23" s="144"/>
      <c r="F23" s="229"/>
      <c r="G23" s="229"/>
      <c r="H23" s="50"/>
      <c r="I23" s="159"/>
      <c r="J23" s="144"/>
      <c r="K23" s="229"/>
      <c r="L23" s="229"/>
      <c r="M23" s="50"/>
      <c r="O23" s="18" t="str">
        <f>IF(AND('4.2'!P23="", R23=""),"", IF( P23&lt;&gt;"","NOT OK","OK"))</f>
        <v/>
      </c>
      <c r="P23" s="167" t="str">
        <f>IF('4.2'!AD23="NOT OK", "Names of facility grades/pools or segments must be identical.",IF(R23="NOT OK", "Row incomplete",IF(AE23="NOT OK", "Empty gap lines not allowed",IF(AF23="NOT OK","Name of facility name/pool not consistent with table 2.1",""))))</f>
        <v/>
      </c>
      <c r="R23" s="171" t="str">
        <f>IF(COUNTA('4.2'!D23:'4.2'!M23)=0,"",
IF(COUNTA(D23:M23)=10,"OK",
IF(AND('4.2'!E23=0,NOT(ISBLANK(E23)),J23=0,NOT(ISBLANK(J23)),COUNTA(D23:M23)=4),"OK",
IF(AND(E23=0,NOT(ISBLANK(E23)),J23&lt;&gt;0,COUNTA(D23:M23)=7),"OK",
IF(AND(J23=0,NOT(ISBLANK(J23)),E23&lt;&gt;0,COUNTA(D23:M23)=7),"OK","NOT OK")))))</f>
        <v/>
      </c>
      <c r="U23" s="456">
        <f t="shared" si="0"/>
        <v>0</v>
      </c>
      <c r="AD23" s="452" t="str">
        <f>IF(OR(AND('1.1'!$G$8="No",D23=I23),'1.1'!$G$8="Yes",'1.1'!$G$8=""),"OK","NOT OK")</f>
        <v>OK</v>
      </c>
      <c r="AE23" s="452" t="str">
        <f>IF(AND('4.2'!R23="",COUNTIF(R24:$R$28, "*OK")&lt;&gt;0), "NOT OK", "OK")</f>
        <v>OK</v>
      </c>
      <c r="AF23" s="8" t="str">
        <f>IF('1.2'!$E$11="More than 20 facility grades or pools (including continuous LGD models)","OK",IF(I23='2.1'!D23,"OK","NOT OK"))</f>
        <v>OK</v>
      </c>
    </row>
    <row r="24" spans="2:32" x14ac:dyDescent="0.3">
      <c r="B24" s="391">
        <v>216</v>
      </c>
      <c r="C24" s="44" t="s">
        <v>384</v>
      </c>
      <c r="D24" s="156"/>
      <c r="E24" s="144"/>
      <c r="F24" s="229"/>
      <c r="G24" s="229"/>
      <c r="H24" s="50"/>
      <c r="I24" s="159"/>
      <c r="J24" s="144"/>
      <c r="K24" s="229"/>
      <c r="L24" s="229"/>
      <c r="M24" s="50"/>
      <c r="O24" s="18" t="str">
        <f>IF(AND('4.2'!P24="", R24=""),"", IF( P24&lt;&gt;"","NOT OK","OK"))</f>
        <v/>
      </c>
      <c r="P24" s="167" t="str">
        <f>IF('4.2'!AD24="NOT OK", "Names of facility grades/pools or segments must be identical.",IF(R24="NOT OK", "Row incomplete",IF(AE24="NOT OK", "Empty gap lines not allowed",IF(AF24="NOT OK","Name of facility name/pool not consistent with table 2.1",""))))</f>
        <v/>
      </c>
      <c r="R24" s="171" t="str">
        <f>IF(COUNTA('4.2'!D24:'4.2'!M24)=0,"",
IF(COUNTA(D24:M24)=10,"OK",
IF(AND('4.2'!E24=0,NOT(ISBLANK(E24)),J24=0,NOT(ISBLANK(J24)),COUNTA(D24:M24)=4),"OK",
IF(AND(E24=0,NOT(ISBLANK(E24)),J24&lt;&gt;0,COUNTA(D24:M24)=7),"OK",
IF(AND(J24=0,NOT(ISBLANK(J24)),E24&lt;&gt;0,COUNTA(D24:M24)=7),"OK","NOT OK")))))</f>
        <v/>
      </c>
      <c r="U24" s="456">
        <f t="shared" si="0"/>
        <v>0</v>
      </c>
      <c r="AD24" s="452" t="str">
        <f>IF(OR(AND('1.1'!$G$8="No",D24=I24),'1.1'!$G$8="Yes",'1.1'!$G$8=""),"OK","NOT OK")</f>
        <v>OK</v>
      </c>
      <c r="AE24" s="452" t="str">
        <f>IF(AND('4.2'!R24="",COUNTIF(R25:$R$28, "*OK")&lt;&gt;0), "NOT OK", "OK")</f>
        <v>OK</v>
      </c>
      <c r="AF24" s="8" t="str">
        <f>IF('1.2'!$E$11="More than 20 facility grades or pools (including continuous LGD models)","OK",IF(I24='2.1'!D24,"OK","NOT OK"))</f>
        <v>OK</v>
      </c>
    </row>
    <row r="25" spans="2:32" x14ac:dyDescent="0.3">
      <c r="B25" s="391">
        <v>217</v>
      </c>
      <c r="C25" s="44" t="s">
        <v>385</v>
      </c>
      <c r="D25" s="156"/>
      <c r="E25" s="144"/>
      <c r="F25" s="229"/>
      <c r="G25" s="229"/>
      <c r="H25" s="50"/>
      <c r="I25" s="159"/>
      <c r="J25" s="144"/>
      <c r="K25" s="229"/>
      <c r="L25" s="229"/>
      <c r="M25" s="50"/>
      <c r="O25" s="18" t="str">
        <f>IF(AND('4.2'!P25="", R25=""),"", IF( P25&lt;&gt;"","NOT OK","OK"))</f>
        <v/>
      </c>
      <c r="P25" s="167" t="str">
        <f>IF('4.2'!AD25="NOT OK", "Names of facility grades/pools or segments must be identical.",IF(R25="NOT OK", "Row incomplete",IF(AE25="NOT OK", "Empty gap lines not allowed",IF(AF25="NOT OK","Name of facility name/pool not consistent with table 2.1",""))))</f>
        <v/>
      </c>
      <c r="R25" s="171" t="str">
        <f>IF(COUNTA('4.2'!D25:'4.2'!M25)=0,"",
IF(COUNTA(D25:M25)=10,"OK",
IF(AND('4.2'!E25=0,NOT(ISBLANK(E25)),J25=0,NOT(ISBLANK(J25)),COUNTA(D25:M25)=4),"OK",
IF(AND(E25=0,NOT(ISBLANK(E25)),J25&lt;&gt;0,COUNTA(D25:M25)=7),"OK",
IF(AND(J25=0,NOT(ISBLANK(J25)),E25&lt;&gt;0,COUNTA(D25:M25)=7),"OK","NOT OK")))))</f>
        <v/>
      </c>
      <c r="U25" s="456">
        <f t="shared" si="0"/>
        <v>0</v>
      </c>
      <c r="AD25" s="452" t="str">
        <f>IF(OR(AND('1.1'!$G$8="No",D25=I25),'1.1'!$G$8="Yes",'1.1'!$G$8=""),"OK","NOT OK")</f>
        <v>OK</v>
      </c>
      <c r="AE25" s="452" t="str">
        <f>IF(AND('4.2'!R25="",COUNTIF(R26:$R$28, "*OK")&lt;&gt;0), "NOT OK", "OK")</f>
        <v>OK</v>
      </c>
      <c r="AF25" s="8" t="str">
        <f>IF('1.2'!$E$11="More than 20 facility grades or pools (including continuous LGD models)","OK",IF(I25='2.1'!D25,"OK","NOT OK"))</f>
        <v>OK</v>
      </c>
    </row>
    <row r="26" spans="2:32" x14ac:dyDescent="0.3">
      <c r="B26" s="391">
        <v>218</v>
      </c>
      <c r="C26" s="44" t="s">
        <v>386</v>
      </c>
      <c r="D26" s="156"/>
      <c r="E26" s="144"/>
      <c r="F26" s="229"/>
      <c r="G26" s="229"/>
      <c r="H26" s="50"/>
      <c r="I26" s="159"/>
      <c r="J26" s="144"/>
      <c r="K26" s="229"/>
      <c r="L26" s="229"/>
      <c r="M26" s="50"/>
      <c r="O26" s="18" t="str">
        <f>IF(AND('4.2'!P26="", R26=""),"", IF( P26&lt;&gt;"","NOT OK","OK"))</f>
        <v/>
      </c>
      <c r="P26" s="167" t="str">
        <f>IF('4.2'!AD26="NOT OK", "Names of facility grades/pools or segments must be identical.",IF(R26="NOT OK", "Row incomplete",IF(AE26="NOT OK", "Empty gap lines not allowed",IF(AF26="NOT OK","Name of facility name/pool not consistent with table 2.1",""))))</f>
        <v/>
      </c>
      <c r="R26" s="171" t="str">
        <f>IF(COUNTA('4.2'!D26:'4.2'!M26)=0,"",
IF(COUNTA(D26:M26)=10,"OK",
IF(AND('4.2'!E26=0,NOT(ISBLANK(E26)),J26=0,NOT(ISBLANK(J26)),COUNTA(D26:M26)=4),"OK",
IF(AND(E26=0,NOT(ISBLANK(E26)),J26&lt;&gt;0,COUNTA(D26:M26)=7),"OK",
IF(AND(J26=0,NOT(ISBLANK(J26)),E26&lt;&gt;0,COUNTA(D26:M26)=7),"OK","NOT OK")))))</f>
        <v/>
      </c>
      <c r="U26" s="456">
        <f t="shared" si="0"/>
        <v>0</v>
      </c>
      <c r="AD26" s="452" t="str">
        <f>IF(OR(AND('1.1'!$G$8="No",D26=I26),'1.1'!$G$8="Yes",'1.1'!$G$8=""),"OK","NOT OK")</f>
        <v>OK</v>
      </c>
      <c r="AE26" s="452" t="str">
        <f>IF(AND('4.2'!R26="",COUNTIF(R27:$R$28, "*OK")&lt;&gt;0), "NOT OK", "OK")</f>
        <v>OK</v>
      </c>
      <c r="AF26" s="8" t="str">
        <f>IF('1.2'!$E$11="More than 20 facility grades or pools (including continuous LGD models)","OK",IF(I26='2.1'!D26,"OK","NOT OK"))</f>
        <v>OK</v>
      </c>
    </row>
    <row r="27" spans="2:32" x14ac:dyDescent="0.3">
      <c r="B27" s="391">
        <v>219</v>
      </c>
      <c r="C27" s="44" t="s">
        <v>387</v>
      </c>
      <c r="D27" s="156"/>
      <c r="E27" s="144"/>
      <c r="F27" s="229"/>
      <c r="G27" s="229"/>
      <c r="H27" s="50"/>
      <c r="I27" s="159"/>
      <c r="J27" s="144"/>
      <c r="K27" s="229"/>
      <c r="L27" s="229"/>
      <c r="M27" s="50"/>
      <c r="O27" s="18" t="str">
        <f>IF(AND('4.2'!P27="", R27=""),"", IF( P27&lt;&gt;"","NOT OK","OK"))</f>
        <v/>
      </c>
      <c r="P27" s="167" t="str">
        <f>IF('4.2'!AD27="NOT OK", "Names of facility grades/pools or segments must be identical.",IF(R27="NOT OK", "Row incomplete",IF(AE27="NOT OK", "Empty gap lines not allowed",IF(AF27="NOT OK","Name of facility name/pool not consistent with table 2.1",""))))</f>
        <v/>
      </c>
      <c r="R27" s="171" t="str">
        <f>IF(COUNTA('4.2'!D27:'4.2'!M27)=0,"",
IF(COUNTA(D27:M27)=10,"OK",
IF(AND('4.2'!E27=0,NOT(ISBLANK(E27)),J27=0,NOT(ISBLANK(J27)),COUNTA(D27:M27)=4),"OK",
IF(AND(E27=0,NOT(ISBLANK(E27)),J27&lt;&gt;0,COUNTA(D27:M27)=7),"OK",
IF(AND(J27=0,NOT(ISBLANK(J27)),E27&lt;&gt;0,COUNTA(D27:M27)=7),"OK","NOT OK")))))</f>
        <v/>
      </c>
      <c r="U27" s="456">
        <f t="shared" si="0"/>
        <v>0</v>
      </c>
      <c r="AD27" s="452" t="str">
        <f>IF(OR(AND('1.1'!$G$8="No",D27=I27),'1.1'!$G$8="Yes",'1.1'!$G$8=""),"OK","NOT OK")</f>
        <v>OK</v>
      </c>
      <c r="AE27" s="452" t="str">
        <f>IF(AND('4.2'!R27="",COUNTIF(R28:$R$28, "*OK")&lt;&gt;0), "NOT OK", "OK")</f>
        <v>OK</v>
      </c>
      <c r="AF27" s="8" t="str">
        <f>IF('1.2'!$E$11="More than 20 facility grades or pools (including continuous LGD models)","OK",IF(I27='2.1'!D27,"OK","NOT OK"))</f>
        <v>OK</v>
      </c>
    </row>
    <row r="28" spans="2:32" ht="13.5" thickBot="1" x14ac:dyDescent="0.35">
      <c r="B28" s="545">
        <v>220</v>
      </c>
      <c r="C28" s="546" t="s">
        <v>388</v>
      </c>
      <c r="D28" s="157"/>
      <c r="E28" s="141"/>
      <c r="F28" s="230"/>
      <c r="G28" s="230"/>
      <c r="H28" s="21"/>
      <c r="I28" s="160"/>
      <c r="J28" s="141"/>
      <c r="K28" s="230"/>
      <c r="L28" s="230"/>
      <c r="M28" s="21"/>
      <c r="O28" s="494" t="str">
        <f>IF(AND('4.2'!P28="", R28=""),"", IF( P28&lt;&gt;"","NOT OK","OK"))</f>
        <v/>
      </c>
      <c r="P28" s="51" t="str">
        <f>IF('4.2'!AD28="NOT OK", "Names of facility grades/pools or segments must be identical.",IF(R28="NOT OK", "Row incomplete",IF(AE28="NOT OK", "Empty gap lines not allowed",IF(AF28="NOT OK","Name of facility name/pool not consistent with table 2.1",""))))</f>
        <v/>
      </c>
      <c r="R28" s="171" t="str">
        <f>IF(COUNTA('4.2'!D28:'4.2'!M28)=0,"",
IF(COUNTA(D28:M28)=10,"OK",
IF(AND('4.2'!E28=0,NOT(ISBLANK(E28)),J28=0,NOT(ISBLANK(J28)),COUNTA(D28:M28)=4),"OK",
IF(AND(E28=0,NOT(ISBLANK(E28)),J28&lt;&gt;0,COUNTA(D28:M28)=7),"OK",
IF(AND(J28=0,NOT(ISBLANK(J28)),E28&lt;&gt;0,COUNTA(D28:M28)=7),"OK","NOT OK")))))</f>
        <v/>
      </c>
      <c r="U28" s="456">
        <f t="shared" si="0"/>
        <v>0</v>
      </c>
      <c r="AD28" s="452" t="str">
        <f>IF(OR(AND('1.1'!$G$8="No",D28=I28),'1.1'!$G$8="Yes",'1.1'!$G$8=""),"OK","NOT OK")</f>
        <v>OK</v>
      </c>
      <c r="AE28" s="452" t="str">
        <f>IF(AND('4.2'!R28="",COUNTIF(R$28:$R29, "*OK")&lt;&gt;0), "NOT OK", "OK")</f>
        <v>OK</v>
      </c>
      <c r="AF28" s="8" t="str">
        <f>IF('1.2'!$E$11="More than 20 facility grades or pools (including continuous LGD models)","OK",IF(I28='2.1'!D28,"OK","NOT OK"))</f>
        <v>OK</v>
      </c>
    </row>
    <row r="29" spans="2:32" ht="12.75" customHeight="1" thickBot="1" x14ac:dyDescent="0.4">
      <c r="B29" s="378"/>
      <c r="P29" s="457"/>
    </row>
    <row r="30" spans="2:32" ht="15.75" customHeight="1" thickBot="1" x14ac:dyDescent="0.4">
      <c r="B30" s="744" t="s">
        <v>339</v>
      </c>
      <c r="C30" s="745"/>
      <c r="D30" s="745"/>
      <c r="E30" s="746"/>
      <c r="O30" s="594" t="s">
        <v>211</v>
      </c>
      <c r="P30" s="595"/>
    </row>
    <row r="31" spans="2:32" ht="15.75" customHeight="1" thickBot="1" x14ac:dyDescent="0.4">
      <c r="B31" s="458"/>
      <c r="C31" s="459"/>
      <c r="D31" s="460"/>
      <c r="E31" s="461" t="s">
        <v>184</v>
      </c>
      <c r="O31" s="68" t="s">
        <v>80</v>
      </c>
      <c r="P31" s="69" t="s">
        <v>81</v>
      </c>
    </row>
    <row r="32" spans="2:32" ht="15.75" customHeight="1" thickBot="1" x14ac:dyDescent="0.35">
      <c r="B32" s="462"/>
      <c r="C32" s="463"/>
      <c r="D32" s="464"/>
      <c r="E32" s="161" t="s">
        <v>78</v>
      </c>
      <c r="O32" s="39" t="str">
        <f>IF(E7=0,"",IF('1.1'!G8="Yes","WARNING",IF(AND(IFERROR(ABS((E33-SUM(U9:U29))/SUM(U9:U29)),1)&gt;0.00001,ABS(E33-SUM(U9:U29))&gt;0.000001),"NOT OK","OK")))</f>
        <v/>
      </c>
      <c r="P32" s="53" t="str">
        <f>IF('1.1'!G8="Yes","PSI not meaningful, as definition of facility grades/pools changed during period.",IF(O32="NOT OK","PSI calculation differs.",""))</f>
        <v/>
      </c>
    </row>
    <row r="33" spans="2:18" ht="15.75" customHeight="1" thickBot="1" x14ac:dyDescent="0.4">
      <c r="B33" s="465" t="s">
        <v>225</v>
      </c>
      <c r="C33" s="466"/>
      <c r="D33" s="467"/>
      <c r="E33" s="225"/>
      <c r="O33" s="468" t="s">
        <v>84</v>
      </c>
      <c r="P33" s="231" t="str">
        <f>IF(E7=0,"",SUM(U9:U28))</f>
        <v/>
      </c>
    </row>
    <row r="34" spans="2:18" ht="12.75" customHeight="1" thickBot="1" x14ac:dyDescent="0.4">
      <c r="B34" s="378"/>
      <c r="P34" s="469"/>
    </row>
    <row r="35" spans="2:18" ht="26.25" customHeight="1" x14ac:dyDescent="0.35">
      <c r="B35" s="735"/>
      <c r="C35" s="736"/>
      <c r="D35" s="135"/>
      <c r="E35" s="145" t="s">
        <v>254</v>
      </c>
      <c r="F35" s="48" t="s">
        <v>255</v>
      </c>
      <c r="G35" s="7" t="s">
        <v>65</v>
      </c>
      <c r="L35" s="740"/>
      <c r="M35" s="740"/>
      <c r="N35" s="11"/>
      <c r="O35" s="739"/>
      <c r="P35" s="739"/>
      <c r="R35" s="11"/>
    </row>
    <row r="36" spans="2:18" ht="13.5" thickBot="1" x14ac:dyDescent="0.4">
      <c r="B36" s="737"/>
      <c r="C36" s="738"/>
      <c r="D36" s="136"/>
      <c r="E36" s="146" t="s">
        <v>79</v>
      </c>
      <c r="F36" s="46" t="s">
        <v>95</v>
      </c>
      <c r="G36" s="47" t="s">
        <v>96</v>
      </c>
      <c r="L36" s="470"/>
      <c r="M36" s="471"/>
      <c r="N36" s="11"/>
      <c r="O36" s="5"/>
      <c r="P36" s="5"/>
      <c r="R36" s="11"/>
    </row>
    <row r="37" spans="2:18" x14ac:dyDescent="0.3">
      <c r="B37" s="42" t="s">
        <v>340</v>
      </c>
      <c r="C37" s="9" t="s">
        <v>103</v>
      </c>
      <c r="D37" s="150"/>
      <c r="E37" s="147" t="str">
        <f>Y6</f>
        <v/>
      </c>
      <c r="F37" s="70" t="str">
        <f>AA6</f>
        <v/>
      </c>
      <c r="G37" s="71" t="str">
        <f>IFERROR((-E37+F37)/'4.2'!E37,"")</f>
        <v/>
      </c>
      <c r="L37" s="470"/>
      <c r="M37" s="472"/>
      <c r="O37" s="162"/>
      <c r="R37" s="11"/>
    </row>
    <row r="38" spans="2:18" ht="26" x14ac:dyDescent="0.35">
      <c r="B38" s="42" t="s">
        <v>341</v>
      </c>
      <c r="C38" s="16" t="s">
        <v>326</v>
      </c>
      <c r="D38" s="151"/>
      <c r="E38" s="148" t="str">
        <f>Z6</f>
        <v/>
      </c>
      <c r="F38" s="70" t="str">
        <f>AB6</f>
        <v/>
      </c>
      <c r="G38" s="71" t="str">
        <f>IFERROR((-E38+F38)/'4.2'!E38,"")</f>
        <v/>
      </c>
      <c r="O38" s="473"/>
      <c r="P38" s="163"/>
      <c r="R38" s="11"/>
    </row>
    <row r="39" spans="2:18" ht="26.4" customHeight="1" x14ac:dyDescent="0.35">
      <c r="B39" s="42" t="s">
        <v>342</v>
      </c>
      <c r="C39" s="17" t="s">
        <v>222</v>
      </c>
      <c r="D39" s="152"/>
      <c r="E39" s="149" t="str">
        <f>IFERROR(CORREL(F9:F28,G9:G28),"")</f>
        <v/>
      </c>
      <c r="F39" s="72" t="str">
        <f>IFERROR(CORREL(K9:K28,L9:L28),"")</f>
        <v/>
      </c>
      <c r="G39" s="71" t="str">
        <f>IFERROR((-E39+F39)/'4.2'!E39,"")</f>
        <v/>
      </c>
      <c r="R39" s="11"/>
    </row>
    <row r="40" spans="2:18" ht="24.65" customHeight="1" thickBot="1" x14ac:dyDescent="0.4">
      <c r="B40" s="43" t="s">
        <v>343</v>
      </c>
      <c r="C40" s="154" t="s">
        <v>336</v>
      </c>
      <c r="D40" s="153"/>
      <c r="E40" s="73" t="str">
        <f>IFERROR(SUMPRODUCT(G9:G28,H9:H28)/SUM(H9:H28),"")</f>
        <v/>
      </c>
      <c r="F40" s="74" t="str">
        <f>IFERROR(SUMPRODUCT(L9:L28,M9:M28)/SUM(M9:M28),"")</f>
        <v/>
      </c>
      <c r="G40" s="504" t="str">
        <f>IFERROR((-E40+F40)/'4.2'!E40,"")</f>
        <v/>
      </c>
      <c r="J40" s="10"/>
      <c r="K40" s="11"/>
      <c r="L40" s="11"/>
      <c r="M40" s="11"/>
    </row>
    <row r="41" spans="2:18" ht="12.75" customHeight="1" x14ac:dyDescent="0.35">
      <c r="C41" s="13"/>
      <c r="D41" s="13"/>
      <c r="E41" s="10"/>
      <c r="F41" s="11"/>
      <c r="G41" s="11"/>
      <c r="J41" s="10"/>
      <c r="K41" s="11"/>
      <c r="L41" s="11"/>
      <c r="M41" s="11"/>
    </row>
  </sheetData>
  <sheetProtection password="9BF7" sheet="1" objects="1" scenarios="1"/>
  <mergeCells count="11">
    <mergeCell ref="O5:P5"/>
    <mergeCell ref="B2:M2"/>
    <mergeCell ref="B4:B6"/>
    <mergeCell ref="C4:C6"/>
    <mergeCell ref="B35:C36"/>
    <mergeCell ref="O35:P35"/>
    <mergeCell ref="L35:M35"/>
    <mergeCell ref="D4:H4"/>
    <mergeCell ref="I4:M4"/>
    <mergeCell ref="B30:E30"/>
    <mergeCell ref="O30:P30"/>
  </mergeCells>
  <conditionalFormatting sqref="O7">
    <cfRule type="expression" dxfId="13" priority="1">
      <formula>O7="WARNING"</formula>
    </cfRule>
    <cfRule type="expression" dxfId="12" priority="2">
      <formula>O7="NOT OK"</formula>
    </cfRule>
    <cfRule type="expression" dxfId="11" priority="3">
      <formula>O7="OK"</formula>
    </cfRule>
  </conditionalFormatting>
  <conditionalFormatting sqref="O9:O28">
    <cfRule type="expression" dxfId="10" priority="14">
      <formula>O9="WARNING"</formula>
    </cfRule>
    <cfRule type="expression" dxfId="9" priority="15">
      <formula>O9="NOT OK"</formula>
    </cfRule>
    <cfRule type="expression" dxfId="8" priority="16">
      <formula>O9="OK"</formula>
    </cfRule>
  </conditionalFormatting>
  <conditionalFormatting sqref="O32">
    <cfRule type="expression" dxfId="7" priority="4">
      <formula>O32="WARNING"</formula>
    </cfRule>
    <cfRule type="expression" dxfId="6" priority="5">
      <formula>O32="NOT OK"</formula>
    </cfRule>
    <cfRule type="expression" dxfId="5" priority="6">
      <formula>O32="OK"</formula>
    </cfRule>
  </conditionalFormatting>
  <conditionalFormatting sqref="O37">
    <cfRule type="expression" dxfId="4" priority="7">
      <formula>O37="WARNING"</formula>
    </cfRule>
    <cfRule type="expression" dxfId="3" priority="8">
      <formula>O37="NOT OK"</formula>
    </cfRule>
    <cfRule type="expression" dxfId="2" priority="9">
      <formula>O37="OK"</formula>
    </cfRule>
  </conditionalFormatting>
  <dataValidations count="5">
    <dataValidation type="decimal" operator="greaterThanOrEqual" allowBlank="1" showInputMessage="1" showErrorMessage="1" error="Value should be a number." sqref="F9:F28" xr:uid="{00000000-0002-0000-0800-000000000000}">
      <formula1>0</formula1>
    </dataValidation>
    <dataValidation type="whole" operator="greaterThanOrEqual" allowBlank="1" showInputMessage="1" showErrorMessage="1" error="Non-negative Integers only allowed" sqref="J9:J28 E9:E28" xr:uid="{00000000-0002-0000-0800-000001000000}">
      <formula1>0</formula1>
    </dataValidation>
    <dataValidation type="decimal" operator="greaterThanOrEqual" allowBlank="1" showInputMessage="1" showErrorMessage="1" sqref="G9:H28 K9:M28" xr:uid="{00000000-0002-0000-0800-000002000000}">
      <formula1>0</formula1>
    </dataValidation>
    <dataValidation operator="greaterThanOrEqual" allowBlank="1" showInputMessage="1" showErrorMessage="1" sqref="I9:I28" xr:uid="{00000000-0002-0000-0800-000003000000}"/>
    <dataValidation type="custom" allowBlank="1" showInputMessage="1" showErrorMessage="1" sqref="E33" xr:uid="{00000000-0002-0000-0800-000004000000}">
      <formula1>ISNUMBER(E33)</formula1>
    </dataValidation>
  </dataValidations>
  <hyperlinks>
    <hyperlink ref="V9" location="Loan_to_Value" display="0 ≤ LTV &lt; 20%" xr:uid="{00000000-0004-0000-0800-000000000000}"/>
    <hyperlink ref="B2:M2" location="LGD_Distribution" display="LGD 04.02 - QUALITATIVE VALIDATION TOOLS - LGD DISTRIBUTION (LGD QVT2 - Overall Portfolio)" xr:uid="{00000000-0004-0000-0800-000001000000}"/>
    <hyperlink ref="H5" location="Original_exposure" display="Original exposure" xr:uid="{00000000-0004-0000-0800-000002000000}"/>
    <hyperlink ref="M5" location="Original_exposure" display="Original exposure" xr:uid="{00000000-0004-0000-0800-000003000000}"/>
    <hyperlink ref="D5" location="Facility_grade___pool" display="Name of facility grade/pool or segment" xr:uid="{00000000-0004-0000-0800-000004000000}"/>
    <hyperlink ref="I5" location="Facility_grade___pool" display="Name of facility grade/pool or segment" xr:uid="{00000000-0004-0000-0800-000005000000}"/>
  </hyperlinks>
  <printOptions horizontalCentered="1"/>
  <pageMargins left="0.23622047244094491" right="0.23622047244094491" top="0.74803149606299213" bottom="0.74803149606299213" header="0.31496062992125984" footer="0.31496062992125984"/>
  <pageSetup paperSize="9" scale="56" orientation="landscape" r:id="rId1"/>
  <headerFooter>
    <oddFoote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pageSetUpPr fitToPage="1"/>
  </sheetPr>
  <dimension ref="A1:J22"/>
  <sheetViews>
    <sheetView showGridLines="0" zoomScaleNormal="100" workbookViewId="0"/>
  </sheetViews>
  <sheetFormatPr defaultColWidth="0" defaultRowHeight="15" customHeight="1" zeroHeight="1" x14ac:dyDescent="0.35"/>
  <cols>
    <col min="1" max="1" width="5.6328125" style="4" customWidth="1"/>
    <col min="2" max="2" width="7.08984375" style="4" customWidth="1"/>
    <col min="3" max="3" width="29.36328125" style="4" customWidth="1"/>
    <col min="4" max="5" width="31.453125" style="4" customWidth="1"/>
    <col min="6" max="6" width="15.6328125" style="4" customWidth="1"/>
    <col min="7" max="7" width="5.6328125" style="4" customWidth="1"/>
    <col min="8" max="8" width="14.36328125" style="4" customWidth="1"/>
    <col min="9" max="9" width="50" style="4" customWidth="1"/>
    <col min="10" max="10" width="5.6328125" style="4" customWidth="1"/>
    <col min="11" max="16384" width="9.08984375" style="4" hidden="1"/>
  </cols>
  <sheetData>
    <row r="1" spans="2:9" ht="12.75" customHeight="1" thickBot="1" x14ac:dyDescent="0.4"/>
    <row r="2" spans="2:9" ht="13.5" customHeight="1" thickBot="1" x14ac:dyDescent="0.4">
      <c r="B2" s="625" t="s">
        <v>327</v>
      </c>
      <c r="C2" s="751"/>
      <c r="D2" s="751"/>
      <c r="E2" s="751"/>
      <c r="F2" s="752"/>
    </row>
    <row r="3" spans="2:9" ht="12.75" customHeight="1" thickBot="1" x14ac:dyDescent="0.4"/>
    <row r="4" spans="2:9" ht="24" customHeight="1" thickBot="1" x14ac:dyDescent="0.4">
      <c r="B4" s="622" t="s">
        <v>259</v>
      </c>
      <c r="C4" s="623"/>
      <c r="D4" s="623"/>
      <c r="E4" s="623"/>
      <c r="F4" s="624"/>
    </row>
    <row r="5" spans="2:9" ht="14.5" x14ac:dyDescent="0.35">
      <c r="B5" s="749"/>
      <c r="C5" s="632" t="s">
        <v>64</v>
      </c>
      <c r="D5" s="283" t="s">
        <v>190</v>
      </c>
      <c r="E5" s="284" t="s">
        <v>191</v>
      </c>
      <c r="F5" s="285" t="s">
        <v>65</v>
      </c>
      <c r="H5" s="577" t="s">
        <v>211</v>
      </c>
      <c r="I5" s="579"/>
    </row>
    <row r="6" spans="2:9" thickBot="1" x14ac:dyDescent="0.4">
      <c r="B6" s="750"/>
      <c r="C6" s="756"/>
      <c r="D6" s="105" t="s">
        <v>1</v>
      </c>
      <c r="E6" s="107" t="s">
        <v>2</v>
      </c>
      <c r="F6" s="24" t="s">
        <v>3</v>
      </c>
      <c r="H6" s="747"/>
      <c r="I6" s="748"/>
    </row>
    <row r="7" spans="2:9" ht="14.5" x14ac:dyDescent="0.35">
      <c r="B7" s="370">
        <v>110</v>
      </c>
      <c r="C7" s="474" t="s">
        <v>156</v>
      </c>
      <c r="D7" s="521"/>
      <c r="E7" s="522"/>
      <c r="F7" s="523" t="str">
        <f>IF(AND(E7&lt;&gt;"",D7&lt;&gt;""),IF(D7&lt;&gt;0,(E7-D7)/'4.3'!D7,""),"")</f>
        <v/>
      </c>
      <c r="H7" s="2" t="str">
        <f>IF(COUNTA(D7:E7)&lt;&gt;2,"NOT OK",IF('4.3'!D7=E7,"WARNING","OK"))</f>
        <v>NOT OK</v>
      </c>
      <c r="I7" s="53" t="str">
        <f>IF(COUNTA(D7:E7)&lt;&gt;2,"Row incomplete",IF('4.3'!D7=E7,"Same information for beginning and end of observation period",""))</f>
        <v>Row incomplete</v>
      </c>
    </row>
    <row r="8" spans="2:9" ht="14.5" x14ac:dyDescent="0.35">
      <c r="B8" s="372">
        <v>120</v>
      </c>
      <c r="C8" s="475" t="s">
        <v>258</v>
      </c>
      <c r="D8" s="524"/>
      <c r="E8" s="1"/>
      <c r="F8" s="76" t="str">
        <f>IF(AND(E8&lt;&gt;"",D8&lt;&gt;""),IF(D8&lt;&gt;0,(E8-D8)/'4.3'!D8,""),"")</f>
        <v/>
      </c>
      <c r="H8" s="3" t="str">
        <f>IF(COUNTA(D8:E8)&lt;&gt;2,"NOT OK",IF('4.3'!D8=E8,"WARNING","OK"))</f>
        <v>NOT OK</v>
      </c>
      <c r="I8" s="38" t="str">
        <f>IF(COUNTA(D8:E8)&lt;&gt;2,"Row incomplete",IF('4.3'!D8=E8,"Same information for beginning and end of observation period",""))</f>
        <v>Row incomplete</v>
      </c>
    </row>
    <row r="9" spans="2:9" ht="14.5" x14ac:dyDescent="0.35">
      <c r="B9" s="372">
        <v>130</v>
      </c>
      <c r="C9" s="476" t="s">
        <v>328</v>
      </c>
      <c r="D9" s="524"/>
      <c r="E9" s="75"/>
      <c r="F9" s="76" t="str">
        <f>IF(AND(E9&lt;&gt;"",D9&lt;&gt;""),IF(D9&lt;&gt;0,(E9-D9)/'4.3'!D9,""),"")</f>
        <v/>
      </c>
      <c r="H9" s="3" t="str">
        <f>IF(COUNTA(D9:E9)&lt;&gt;2,"NOT OK",IF('4.3'!D9=E9,"WARNING","OK"))</f>
        <v>NOT OK</v>
      </c>
      <c r="I9" s="38" t="str">
        <f>IF(COUNTA(D9:E9)&lt;&gt;2,"Row incomplete",IF('4.3'!D9=E9,"Same information for beginning and end of observation period",""))</f>
        <v>Row incomplete</v>
      </c>
    </row>
    <row r="10" spans="2:9" ht="26" x14ac:dyDescent="0.35">
      <c r="B10" s="372">
        <v>140</v>
      </c>
      <c r="C10" s="475" t="s">
        <v>146</v>
      </c>
      <c r="D10" s="525"/>
      <c r="E10" s="77"/>
      <c r="F10" s="76" t="str">
        <f>IF(AND(E10&lt;&gt;"",D10&lt;&gt;""),IF(D10&lt;&gt;0,(E10-D10)/'4.3'!D10,""),"")</f>
        <v/>
      </c>
      <c r="H10" s="3" t="str">
        <f>IF(COUNTA(D10:E10)&lt;&gt;2,"NOT OK",IF('4.3'!D10=E10,"WARNING","OK"))</f>
        <v>NOT OK</v>
      </c>
      <c r="I10" s="38" t="str">
        <f>IF(COUNTA(D10:E10)&lt;&gt;2,"Row incomplete",IF('4.3'!D10=E10,"Same information for beginning and end of observation period",""))</f>
        <v>Row incomplete</v>
      </c>
    </row>
    <row r="11" spans="2:9" ht="26.5" thickBot="1" x14ac:dyDescent="0.4">
      <c r="B11" s="374">
        <v>150</v>
      </c>
      <c r="C11" s="477" t="s">
        <v>269</v>
      </c>
      <c r="D11" s="526"/>
      <c r="E11" s="142"/>
      <c r="F11" s="527" t="str">
        <f>IF(AND(E11&lt;&gt;"",D11&lt;&gt;""),IF(D11&lt;&gt;0,(E11-D11)/'4.3'!D11,""),"")</f>
        <v/>
      </c>
      <c r="H11" s="164" t="str">
        <f>IF(COUNTA(D11:E11)&lt;&gt;2,"NOT OK","OK")</f>
        <v>NOT OK</v>
      </c>
      <c r="I11" s="51" t="str">
        <f>IF(COUNTA(D11:E11)&lt;&gt;2,"Row incomplete","")</f>
        <v>Row incomplete</v>
      </c>
    </row>
    <row r="12" spans="2:9" ht="12.75" customHeight="1" thickBot="1" x14ac:dyDescent="0.4">
      <c r="I12" s="478"/>
    </row>
    <row r="13" spans="2:9" ht="21" customHeight="1" thickBot="1" x14ac:dyDescent="0.4">
      <c r="B13" s="753" t="s">
        <v>111</v>
      </c>
      <c r="C13" s="754"/>
      <c r="D13" s="755"/>
      <c r="I13" s="478"/>
    </row>
    <row r="14" spans="2:9" thickBot="1" x14ac:dyDescent="0.4">
      <c r="B14" s="479"/>
      <c r="C14" s="285" t="s">
        <v>64</v>
      </c>
      <c r="D14" s="480" t="s">
        <v>1</v>
      </c>
      <c r="I14" s="478"/>
    </row>
    <row r="15" spans="2:9" ht="26.4" customHeight="1" thickBot="1" x14ac:dyDescent="0.4">
      <c r="B15" s="481">
        <v>200</v>
      </c>
      <c r="C15" s="482" t="s">
        <v>267</v>
      </c>
      <c r="D15" s="165"/>
      <c r="H15" s="31" t="str">
        <f>IF(COUNTA(D15:D15)&lt;&gt;1,"NOT OK","OK")</f>
        <v>NOT OK</v>
      </c>
      <c r="I15" s="30" t="str">
        <f>IF(COUNTA(D15:D15)&lt;&gt;1,"Row incomplete","")</f>
        <v>Row incomplete</v>
      </c>
    </row>
    <row r="16" spans="2:9" ht="12.75" customHeight="1" x14ac:dyDescent="0.35">
      <c r="F16" s="6"/>
    </row>
    <row r="17" spans="8:8" ht="14.5" hidden="1" x14ac:dyDescent="0.35"/>
    <row r="18" spans="8:8" ht="14.5" hidden="1" x14ac:dyDescent="0.35"/>
    <row r="19" spans="8:8" ht="14.5" hidden="1" x14ac:dyDescent="0.35"/>
    <row r="20" spans="8:8" ht="14.5" hidden="1" x14ac:dyDescent="0.35"/>
    <row r="21" spans="8:8" ht="14.5" hidden="1" x14ac:dyDescent="0.35">
      <c r="H21" s="376"/>
    </row>
    <row r="22" spans="8:8" ht="14.5" hidden="1" x14ac:dyDescent="0.35"/>
  </sheetData>
  <sheetProtection password="9BF7" sheet="1" objects="1" scenarios="1"/>
  <mergeCells count="6">
    <mergeCell ref="H5:I6"/>
    <mergeCell ref="B5:B6"/>
    <mergeCell ref="B4:F4"/>
    <mergeCell ref="B2:F2"/>
    <mergeCell ref="B13:D13"/>
    <mergeCell ref="C5:C6"/>
  </mergeCells>
  <conditionalFormatting sqref="H7:H11 H15">
    <cfRule type="expression" dxfId="1" priority="4">
      <formula>H7="NOT OK"</formula>
    </cfRule>
    <cfRule type="expression" dxfId="0" priority="5">
      <formula>H7="OK"</formula>
    </cfRule>
  </conditionalFormatting>
  <dataValidations count="4">
    <dataValidation operator="greaterThanOrEqual" allowBlank="1" showInputMessage="1" showErrorMessage="1" error="Value should be non-negative" sqref="F15 F7:F12" xr:uid="{00000000-0002-0000-0900-000000000000}"/>
    <dataValidation type="decimal" operator="greaterThanOrEqual" allowBlank="1" showInputMessage="1" showErrorMessage="1" error="Value should be non-negative" sqref="D11:E12 D7:E9" xr:uid="{00000000-0002-0000-0900-000001000000}">
      <formula1>0</formula1>
    </dataValidation>
    <dataValidation type="whole" operator="greaterThanOrEqual" allowBlank="1" showInputMessage="1" showErrorMessage="1" error="Value should be a non-negative integer._x000a_" sqref="D15:E15" xr:uid="{00000000-0002-0000-0900-000002000000}">
      <formula1>0</formula1>
    </dataValidation>
    <dataValidation type="whole" operator="greaterThanOrEqual" allowBlank="1" showInputMessage="1" showErrorMessage="1" error="Value should be non-negative integer_x000a_" sqref="D10:E10" xr:uid="{00000000-0002-0000-0900-000003000000}">
      <formula1>0</formula1>
    </dataValidation>
  </dataValidations>
  <hyperlinks>
    <hyperlink ref="C8" location="Exposure_Value" display="Exposure Value" xr:uid="{00000000-0004-0000-0900-000000000000}"/>
    <hyperlink ref="C7" location="Risk_Weighted_Exposure_Amount" display="RWA" xr:uid="{00000000-0004-0000-0900-000001000000}"/>
    <hyperlink ref="C10" location="number_facilities_default" display="Number of facilities (defaulted portfolio)" xr:uid="{00000000-0004-0000-0900-000002000000}"/>
    <hyperlink ref="C11" location="Time_in_default" display="Number Weighted Average of the time in default [in days]" xr:uid="{00000000-0004-0000-0900-000003000000}"/>
    <hyperlink ref="C15" location="Duration_of_the_recovery_process" display="Number-weighted average duration of the recovery process [in days]" xr:uid="{00000000-0004-0000-0900-000004000000}"/>
    <hyperlink ref="C9" location="Expected_Loss" display="EL" xr:uid="{00000000-0004-0000-0900-000005000000}"/>
  </hyperlinks>
  <printOptions horizontalCentered="1"/>
  <pageMargins left="0.23622047244094491" right="0.23622047244094491" top="0.74803149606299213" bottom="0.74803149606299213" header="0.31496062992125984" footer="0.31496062992125984"/>
  <pageSetup paperSize="9" orientation="landscape" r:id="rId1"/>
  <headerFooter>
    <oddFooter>&amp;A</oddFooter>
  </headerFooter>
  <ignoredErrors>
    <ignoredError sqref="D6:F6 D14"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D24"/>
  <sheetViews>
    <sheetView showGridLines="0" zoomScaleNormal="100" workbookViewId="0"/>
  </sheetViews>
  <sheetFormatPr defaultColWidth="0" defaultRowHeight="15" customHeight="1" zeroHeight="1" x14ac:dyDescent="0.35"/>
  <cols>
    <col min="1" max="1" width="5.6328125" style="483" customWidth="1"/>
    <col min="2" max="2" width="17.36328125" style="4" customWidth="1"/>
    <col min="3" max="3" width="104.36328125" style="4" customWidth="1"/>
    <col min="4" max="4" width="5.6328125" style="4" customWidth="1"/>
    <col min="5" max="16384" width="11.453125" style="4" hidden="1"/>
  </cols>
  <sheetData>
    <row r="1" spans="2:3" ht="12.75" customHeight="1" x14ac:dyDescent="0.35"/>
    <row r="2" spans="2:3" ht="13.5" customHeight="1" x14ac:dyDescent="0.35">
      <c r="B2" s="328" t="s">
        <v>313</v>
      </c>
    </row>
    <row r="3" spans="2:3" ht="12.75" customHeight="1" x14ac:dyDescent="0.35">
      <c r="C3" s="328"/>
    </row>
    <row r="4" spans="2:3" ht="68.400000000000006" customHeight="1" x14ac:dyDescent="0.35">
      <c r="B4" s="757" t="s">
        <v>398</v>
      </c>
      <c r="C4" s="757"/>
    </row>
    <row r="5" spans="2:3" ht="14.5" x14ac:dyDescent="0.35">
      <c r="C5" s="45"/>
    </row>
    <row r="6" spans="2:3" ht="51" customHeight="1" x14ac:dyDescent="0.35">
      <c r="B6" s="758" t="s">
        <v>312</v>
      </c>
      <c r="C6" s="758"/>
    </row>
    <row r="7" spans="2:3" ht="54" customHeight="1" x14ac:dyDescent="0.35">
      <c r="B7" s="758" t="s">
        <v>310</v>
      </c>
      <c r="C7" s="758"/>
    </row>
    <row r="8" spans="2:3" ht="14.5" x14ac:dyDescent="0.35">
      <c r="C8" s="289"/>
    </row>
    <row r="9" spans="2:3" ht="51.75" customHeight="1" x14ac:dyDescent="0.35">
      <c r="B9" s="759" t="s">
        <v>311</v>
      </c>
      <c r="C9" s="759"/>
    </row>
    <row r="10" spans="2:3" ht="15" customHeight="1" x14ac:dyDescent="0.35">
      <c r="B10" s="306"/>
      <c r="C10" s="306"/>
    </row>
    <row r="11" spans="2:3" ht="39.75" customHeight="1" x14ac:dyDescent="0.35">
      <c r="B11" s="759" t="s">
        <v>330</v>
      </c>
      <c r="C11" s="759"/>
    </row>
    <row r="12" spans="2:3" ht="15" customHeight="1" x14ac:dyDescent="0.35"/>
    <row r="13" spans="2:3" ht="15" customHeight="1" x14ac:dyDescent="0.35">
      <c r="B13" s="569" t="s">
        <v>293</v>
      </c>
      <c r="C13" s="569"/>
    </row>
    <row r="14" spans="2:3" ht="6.75" customHeight="1" x14ac:dyDescent="0.35">
      <c r="B14" s="45"/>
      <c r="C14" s="45"/>
    </row>
    <row r="15" spans="2:3" ht="36" customHeight="1" x14ac:dyDescent="0.35">
      <c r="B15" s="484" t="s">
        <v>229</v>
      </c>
      <c r="C15" s="485" t="s">
        <v>309</v>
      </c>
    </row>
    <row r="16" spans="2:3" ht="25.5" customHeight="1" x14ac:dyDescent="0.35">
      <c r="B16" s="484" t="s">
        <v>230</v>
      </c>
      <c r="C16" s="486" t="s">
        <v>294</v>
      </c>
    </row>
    <row r="17" spans="2:3" ht="12.75" customHeight="1" x14ac:dyDescent="0.35">
      <c r="B17" s="45"/>
      <c r="C17" s="486"/>
    </row>
    <row r="18" spans="2:3" ht="39.75" hidden="1" customHeight="1" x14ac:dyDescent="0.35">
      <c r="B18" s="484"/>
      <c r="C18" s="485"/>
    </row>
    <row r="19" spans="2:3" ht="21" hidden="1" customHeight="1" x14ac:dyDescent="0.35">
      <c r="B19" s="484"/>
      <c r="C19" s="486"/>
    </row>
    <row r="20" spans="2:3" ht="15" hidden="1" customHeight="1" x14ac:dyDescent="0.35">
      <c r="B20" s="45"/>
      <c r="C20" s="486"/>
    </row>
    <row r="21" spans="2:3" ht="15" hidden="1" customHeight="1" x14ac:dyDescent="0.35">
      <c r="B21" s="45"/>
      <c r="C21" s="486"/>
    </row>
    <row r="22" spans="2:3" ht="15" hidden="1" customHeight="1" x14ac:dyDescent="0.35">
      <c r="B22" s="45"/>
      <c r="C22" s="486"/>
    </row>
    <row r="23" spans="2:3" ht="15" hidden="1" customHeight="1" x14ac:dyDescent="0.35">
      <c r="B23" s="45"/>
      <c r="C23" s="486"/>
    </row>
    <row r="24" spans="2:3" ht="15" hidden="1" customHeight="1" x14ac:dyDescent="0.35">
      <c r="B24" s="45"/>
      <c r="C24" s="45"/>
    </row>
  </sheetData>
  <sheetProtection password="9BF7" sheet="1" objects="1" scenarios="1"/>
  <mergeCells count="6">
    <mergeCell ref="B13:C13"/>
    <mergeCell ref="B4:C4"/>
    <mergeCell ref="B6:C6"/>
    <mergeCell ref="B7:C7"/>
    <mergeCell ref="B9:C9"/>
    <mergeCell ref="B11:C11"/>
  </mergeCells>
  <printOptions horizontalCentered="1"/>
  <pageMargins left="0.23622047244094491" right="0.23622047244094491" top="0.74803149606299213" bottom="0.74803149606299213" header="0.31496062992125984" footer="0.31496062992125984"/>
  <pageSetup paperSize="9" orientation="landscape" r:id="rId1"/>
  <headerFooter>
    <oddFooter>&amp;A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E35"/>
  <sheetViews>
    <sheetView showGridLines="0" zoomScaleNormal="100" workbookViewId="0"/>
  </sheetViews>
  <sheetFormatPr defaultColWidth="0" defaultRowHeight="14.5" zeroHeight="1" x14ac:dyDescent="0.35"/>
  <cols>
    <col min="1" max="1" width="5.6328125" style="45" customWidth="1"/>
    <col min="2" max="2" width="45.90625" style="45" customWidth="1"/>
    <col min="3" max="3" width="11.453125" style="45" customWidth="1"/>
    <col min="4" max="4" width="98" style="45" customWidth="1"/>
    <col min="5" max="5" width="5.6328125" style="45" customWidth="1"/>
    <col min="6" max="16384" width="11.453125" style="4" hidden="1"/>
  </cols>
  <sheetData>
    <row r="1" spans="2:4" ht="12.75" customHeight="1" x14ac:dyDescent="0.35"/>
    <row r="2" spans="2:4" ht="13.5" customHeight="1" x14ac:dyDescent="0.35">
      <c r="B2" s="487" t="s">
        <v>27</v>
      </c>
      <c r="C2" s="289"/>
      <c r="D2" s="289"/>
    </row>
    <row r="3" spans="2:4" ht="12.75" customHeight="1" x14ac:dyDescent="0.35">
      <c r="B3" s="289"/>
      <c r="C3" s="289"/>
      <c r="D3" s="289"/>
    </row>
    <row r="4" spans="2:4" ht="28.5" customHeight="1" x14ac:dyDescent="0.35">
      <c r="B4" s="760" t="s">
        <v>296</v>
      </c>
      <c r="C4" s="760"/>
      <c r="D4" s="760"/>
    </row>
    <row r="5" spans="2:4" x14ac:dyDescent="0.35">
      <c r="B5" s="488"/>
      <c r="C5" s="289"/>
      <c r="D5" s="289"/>
    </row>
    <row r="6" spans="2:4" x14ac:dyDescent="0.35">
      <c r="B6" s="487" t="s">
        <v>295</v>
      </c>
      <c r="C6" s="487" t="s">
        <v>28</v>
      </c>
      <c r="D6" s="487" t="s">
        <v>29</v>
      </c>
    </row>
    <row r="7" spans="2:4" x14ac:dyDescent="0.35">
      <c r="B7" s="489" t="s">
        <v>32</v>
      </c>
      <c r="C7" s="490"/>
      <c r="D7" s="489" t="s">
        <v>297</v>
      </c>
    </row>
    <row r="8" spans="2:4" ht="91" x14ac:dyDescent="0.35">
      <c r="B8" s="489" t="s">
        <v>357</v>
      </c>
      <c r="C8" s="489"/>
      <c r="D8" s="489" t="s">
        <v>356</v>
      </c>
    </row>
    <row r="9" spans="2:4" ht="26" x14ac:dyDescent="0.35">
      <c r="B9" s="489" t="s">
        <v>354</v>
      </c>
      <c r="C9" s="489"/>
      <c r="D9" s="489" t="s">
        <v>363</v>
      </c>
    </row>
    <row r="10" spans="2:4" ht="65" x14ac:dyDescent="0.35">
      <c r="B10" s="489" t="s">
        <v>182</v>
      </c>
      <c r="C10" s="489"/>
      <c r="D10" s="489" t="s">
        <v>358</v>
      </c>
    </row>
    <row r="11" spans="2:4" x14ac:dyDescent="0.35">
      <c r="B11" s="489" t="s">
        <v>261</v>
      </c>
      <c r="C11" s="490"/>
      <c r="D11" s="489" t="s">
        <v>298</v>
      </c>
    </row>
    <row r="12" spans="2:4" ht="26" x14ac:dyDescent="0.35">
      <c r="B12" s="489" t="s">
        <v>268</v>
      </c>
      <c r="C12" s="490"/>
      <c r="D12" s="489" t="s">
        <v>299</v>
      </c>
    </row>
    <row r="13" spans="2:4" ht="39.5" x14ac:dyDescent="0.35">
      <c r="B13" s="491" t="s">
        <v>192</v>
      </c>
      <c r="C13" s="408"/>
      <c r="D13" s="289" t="s">
        <v>359</v>
      </c>
    </row>
    <row r="14" spans="2:4" ht="26" x14ac:dyDescent="0.35">
      <c r="B14" s="489" t="s">
        <v>329</v>
      </c>
      <c r="C14" s="492" t="s">
        <v>328</v>
      </c>
      <c r="D14" s="489" t="s">
        <v>360</v>
      </c>
    </row>
    <row r="15" spans="2:4" x14ac:dyDescent="0.35">
      <c r="B15" s="492" t="s">
        <v>262</v>
      </c>
      <c r="C15" s="492" t="s">
        <v>46</v>
      </c>
      <c r="D15" s="489" t="s">
        <v>344</v>
      </c>
    </row>
    <row r="16" spans="2:4" x14ac:dyDescent="0.35">
      <c r="B16" s="492" t="s">
        <v>258</v>
      </c>
      <c r="C16" s="492"/>
      <c r="D16" s="489" t="s">
        <v>300</v>
      </c>
    </row>
    <row r="17" spans="2:4" ht="52" x14ac:dyDescent="0.35">
      <c r="B17" s="489" t="s">
        <v>361</v>
      </c>
      <c r="C17" s="489"/>
      <c r="D17" s="489" t="s">
        <v>365</v>
      </c>
    </row>
    <row r="18" spans="2:4" x14ac:dyDescent="0.35">
      <c r="B18" s="492" t="s">
        <v>183</v>
      </c>
      <c r="C18" s="492" t="s">
        <v>89</v>
      </c>
      <c r="D18" s="489" t="s">
        <v>301</v>
      </c>
    </row>
    <row r="19" spans="2:4" x14ac:dyDescent="0.35">
      <c r="B19" s="489" t="s">
        <v>59</v>
      </c>
      <c r="C19" s="489"/>
      <c r="D19" s="489" t="s">
        <v>302</v>
      </c>
    </row>
    <row r="20" spans="2:4" x14ac:dyDescent="0.35">
      <c r="B20" s="489" t="s">
        <v>263</v>
      </c>
      <c r="C20" s="489"/>
      <c r="D20" s="489" t="s">
        <v>303</v>
      </c>
    </row>
    <row r="21" spans="2:4" ht="39" x14ac:dyDescent="0.35">
      <c r="B21" s="489" t="s">
        <v>264</v>
      </c>
      <c r="C21" s="492"/>
      <c r="D21" s="489" t="s">
        <v>362</v>
      </c>
    </row>
    <row r="22" spans="2:4" ht="26" x14ac:dyDescent="0.35">
      <c r="B22" s="489" t="s">
        <v>306</v>
      </c>
      <c r="C22" s="489"/>
      <c r="D22" s="489" t="s">
        <v>366</v>
      </c>
    </row>
    <row r="23" spans="2:4" ht="52" x14ac:dyDescent="0.35">
      <c r="B23" s="489" t="s">
        <v>143</v>
      </c>
      <c r="C23" s="492"/>
      <c r="D23" s="489" t="s">
        <v>365</v>
      </c>
    </row>
    <row r="24" spans="2:4" ht="26" x14ac:dyDescent="0.35">
      <c r="B24" s="489" t="s">
        <v>112</v>
      </c>
      <c r="C24" s="489"/>
      <c r="D24" s="489" t="s">
        <v>353</v>
      </c>
    </row>
    <row r="25" spans="2:4" ht="26" x14ac:dyDescent="0.35">
      <c r="B25" s="489" t="s">
        <v>232</v>
      </c>
      <c r="C25" s="492" t="s">
        <v>8</v>
      </c>
      <c r="D25" s="489" t="s">
        <v>315</v>
      </c>
    </row>
    <row r="26" spans="2:4" ht="26" x14ac:dyDescent="0.35">
      <c r="B26" s="489" t="s">
        <v>146</v>
      </c>
      <c r="C26" s="492"/>
      <c r="D26" s="489" t="s">
        <v>314</v>
      </c>
    </row>
    <row r="27" spans="2:4" x14ac:dyDescent="0.35">
      <c r="B27" s="489" t="s">
        <v>265</v>
      </c>
      <c r="C27" s="489" t="s">
        <v>31</v>
      </c>
      <c r="D27" s="489" t="s">
        <v>307</v>
      </c>
    </row>
    <row r="28" spans="2:4" x14ac:dyDescent="0.35">
      <c r="B28" s="489" t="s">
        <v>48</v>
      </c>
      <c r="C28" s="489"/>
      <c r="D28" s="489" t="s">
        <v>304</v>
      </c>
    </row>
    <row r="29" spans="2:4" ht="26" x14ac:dyDescent="0.35">
      <c r="B29" s="489" t="s">
        <v>10</v>
      </c>
      <c r="C29" s="489"/>
      <c r="D29" s="489" t="s">
        <v>338</v>
      </c>
    </row>
    <row r="30" spans="2:4" ht="52" x14ac:dyDescent="0.35">
      <c r="B30" s="489" t="s">
        <v>30</v>
      </c>
      <c r="C30" s="489"/>
      <c r="D30" s="489" t="s">
        <v>367</v>
      </c>
    </row>
    <row r="31" spans="2:4" x14ac:dyDescent="0.35">
      <c r="B31" s="492" t="s">
        <v>266</v>
      </c>
      <c r="C31" s="492" t="s">
        <v>156</v>
      </c>
      <c r="D31" s="291" t="s">
        <v>390</v>
      </c>
    </row>
    <row r="32" spans="2:4" ht="26" x14ac:dyDescent="0.35">
      <c r="B32" s="489" t="s">
        <v>145</v>
      </c>
      <c r="C32" s="492"/>
      <c r="D32" s="489" t="s">
        <v>305</v>
      </c>
    </row>
    <row r="33" spans="1:5" x14ac:dyDescent="0.35">
      <c r="B33" s="489" t="s">
        <v>364</v>
      </c>
      <c r="C33" s="492"/>
      <c r="D33" s="489" t="s">
        <v>308</v>
      </c>
    </row>
    <row r="34" spans="1:5" s="45" customFormat="1" ht="26" x14ac:dyDescent="0.3">
      <c r="A34" s="306"/>
      <c r="B34" s="528" t="s">
        <v>200</v>
      </c>
      <c r="C34" s="529"/>
      <c r="D34" s="291" t="s">
        <v>389</v>
      </c>
      <c r="E34" s="306"/>
    </row>
    <row r="35" spans="1:5" ht="12.75" customHeight="1" x14ac:dyDescent="0.35"/>
  </sheetData>
  <sheetProtection password="9BF7" sheet="1" objects="1" scenarios="1"/>
  <sortState xmlns:xlrd2="http://schemas.microsoft.com/office/spreadsheetml/2017/richdata2" ref="B7:D22">
    <sortCondition ref="B7"/>
  </sortState>
  <mergeCells count="1">
    <mergeCell ref="B4:D4"/>
  </mergeCells>
  <printOptions horizontalCentered="1"/>
  <pageMargins left="0.23622047244094491" right="0.23622047244094491" top="0.74803149606299213" bottom="0.74803149606299213" header="0.31496062992125984" footer="0.31496062992125984"/>
  <pageSetup paperSize="9" scale="84" fitToHeight="2" orientation="landscape" r:id="rId1"/>
  <headerFooter>
    <oddFooter>&amp;A</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61</vt:i4>
      </vt:variant>
    </vt:vector>
  </HeadingPairs>
  <TitlesOfParts>
    <vt:vector size="73" baseType="lpstr">
      <vt:lpstr>Index</vt:lpstr>
      <vt:lpstr>1.0</vt:lpstr>
      <vt:lpstr>1.1</vt:lpstr>
      <vt:lpstr>1.2</vt:lpstr>
      <vt:lpstr>2.0</vt:lpstr>
      <vt:lpstr>2.1</vt:lpstr>
      <vt:lpstr>3.0</vt:lpstr>
      <vt:lpstr>4.1</vt:lpstr>
      <vt:lpstr>4.2</vt:lpstr>
      <vt:lpstr>4.3</vt:lpstr>
      <vt:lpstr>Instructions</vt:lpstr>
      <vt:lpstr>Glossary</vt:lpstr>
      <vt:lpstr>Back_testing_LGD</vt:lpstr>
      <vt:lpstr>Bank_s_assessment</vt:lpstr>
      <vt:lpstr>Bank_s_comments</vt:lpstr>
      <vt:lpstr>Coverage_in_internal_validation</vt:lpstr>
      <vt:lpstr>Discriminatory_Power_LGD</vt:lpstr>
      <vt:lpstr>Duration_of_the_recovery_process</vt:lpstr>
      <vt:lpstr>Estimation_period</vt:lpstr>
      <vt:lpstr>Expected_Loss</vt:lpstr>
      <vt:lpstr>Exposure_at_Default</vt:lpstr>
      <vt:lpstr>Exposure_Value</vt:lpstr>
      <vt:lpstr>Facility_grade___pool</vt:lpstr>
      <vt:lpstr>Generalised_AUC</vt:lpstr>
      <vt:lpstr>Information_on_the_initial_sample</vt:lpstr>
      <vt:lpstr>LGD_1.0a</vt:lpstr>
      <vt:lpstr>LGD_1.0b</vt:lpstr>
      <vt:lpstr>LGD_1.0c</vt:lpstr>
      <vt:lpstr>LGD_1.0d</vt:lpstr>
      <vt:lpstr>LGD_1.0e</vt:lpstr>
      <vt:lpstr>LGD_1.0f</vt:lpstr>
      <vt:lpstr>LGD_1.0g</vt:lpstr>
      <vt:lpstr>LGD_1.1a</vt:lpstr>
      <vt:lpstr>LGD_1.1b</vt:lpstr>
      <vt:lpstr>LGD_1.2a</vt:lpstr>
      <vt:lpstr>LGD_2.0a</vt:lpstr>
      <vt:lpstr>LGD_2.0b</vt:lpstr>
      <vt:lpstr>LGD_2.0c</vt:lpstr>
      <vt:lpstr>LGD_2.1a</vt:lpstr>
      <vt:lpstr>LGD_2.1b</vt:lpstr>
      <vt:lpstr>LGD_2.1c</vt:lpstr>
      <vt:lpstr>LGD_3.0a</vt:lpstr>
      <vt:lpstr>LGD_4.1a</vt:lpstr>
      <vt:lpstr>LGD_4.2a</vt:lpstr>
      <vt:lpstr>LGD_4.2b</vt:lpstr>
      <vt:lpstr>LGD_4.3a</vt:lpstr>
      <vt:lpstr>LGD_4.3b</vt:lpstr>
      <vt:lpstr>LGD_Distribution</vt:lpstr>
      <vt:lpstr>Missing_Values_LGD</vt:lpstr>
      <vt:lpstr>Model__ID</vt:lpstr>
      <vt:lpstr>Modelling_approach</vt:lpstr>
      <vt:lpstr>Number_facilities__backtesting</vt:lpstr>
      <vt:lpstr>number_facilities_default</vt:lpstr>
      <vt:lpstr>Number_of_facilities__application_portfolio</vt:lpstr>
      <vt:lpstr>Number_of_Facility_Grades_or_Pools__K</vt:lpstr>
      <vt:lpstr>Original_exposure</vt:lpstr>
      <vt:lpstr>Portfolio</vt:lpstr>
      <vt:lpstr>'1.0'!Print_Area</vt:lpstr>
      <vt:lpstr>'1.1'!Print_Area</vt:lpstr>
      <vt:lpstr>'1.2'!Print_Area</vt:lpstr>
      <vt:lpstr>'2.0'!Print_Area</vt:lpstr>
      <vt:lpstr>'2.1'!Print_Area</vt:lpstr>
      <vt:lpstr>'3.0'!Print_Area</vt:lpstr>
      <vt:lpstr>'4.1'!Print_Area</vt:lpstr>
      <vt:lpstr>'4.2'!Print_Area</vt:lpstr>
      <vt:lpstr>'4.3'!Print_Area</vt:lpstr>
      <vt:lpstr>Glossary!Print_Area</vt:lpstr>
      <vt:lpstr>Index!Print_Area</vt:lpstr>
      <vt:lpstr>Instructions!Print_Area</vt:lpstr>
      <vt:lpstr>Relevant_observation_period</vt:lpstr>
      <vt:lpstr>Risk_Weighted_Exposure_Amount</vt:lpstr>
      <vt:lpstr>Time_in_default</vt:lpstr>
      <vt:lpstr>Var_gAUC_init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2019-02-20T10:32:15Z</dcterms:created>
  <dcterms:modified xsi:type="dcterms:W3CDTF">2025-12-05T08:31:41Z</dcterms:modified>
</cp:coreProperties>
</file>